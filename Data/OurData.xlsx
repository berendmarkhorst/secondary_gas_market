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defaultThemeVersion="166925"/>
  <mc:AlternateContent xmlns:mc="http://schemas.openxmlformats.org/markup-compatibility/2006">
    <mc:Choice Requires="x15">
      <x15ac:absPath xmlns:x15ac="http://schemas.microsoft.com/office/spreadsheetml/2010/11/ac" url="/Users/berendmarkhorst/Library/Mobile Documents/com~apple~CloudDocs/PhD/READINESS/08 - Trondheim/Data/"/>
    </mc:Choice>
  </mc:AlternateContent>
  <xr:revisionPtr revIDLastSave="0" documentId="13_ncr:1_{1AA9D9ED-6EE0-DE4A-9C5A-40AA9A0123A7}" xr6:coauthVersionLast="47" xr6:coauthVersionMax="47" xr10:uidLastSave="{00000000-0000-0000-0000-000000000000}"/>
  <bookViews>
    <workbookView xWindow="0" yWindow="500" windowWidth="51200" windowHeight="26860" activeTab="2" xr2:uid="{D82E7092-1A4C-0041-9612-C431AA3B912B}"/>
  </bookViews>
  <sheets>
    <sheet name="Visualisation" sheetId="7" r:id="rId1"/>
    <sheet name="Units" sheetId="6" r:id="rId2"/>
    <sheet name="Nodes" sheetId="2" r:id="rId3"/>
    <sheet name="Demand Stage 1" sheetId="13" r:id="rId4"/>
    <sheet name="Demand Stage 2" sheetId="5" r:id="rId5"/>
    <sheet name="Demand Stage 3" sheetId="9" r:id="rId6"/>
    <sheet name="SalesPriceGasMix" sheetId="11" r:id="rId7"/>
    <sheet name="SalesPricePureHydrogen" sheetId="12" r:id="rId8"/>
    <sheet name="Parameters" sheetId="8" r:id="rId9"/>
    <sheet name="Arcs" sheetId="1" r:id="rId10"/>
    <sheet name="Traders" sheetId="3" r:id="rId11"/>
    <sheet name="Commodities" sheetId="4" r:id="rId1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I4" i="2" l="1"/>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3" i="2"/>
  <c r="AH2" i="9"/>
  <c r="AX2" i="9"/>
  <c r="BN2" i="9" s="1"/>
  <c r="R2" i="9"/>
  <c r="B2" i="9"/>
  <c r="AX2" i="5"/>
  <c r="AH2" i="5"/>
  <c r="R2" i="5"/>
  <c r="I41" i="5"/>
  <c r="K44" i="5"/>
  <c r="K45" i="5"/>
  <c r="K46" i="5"/>
  <c r="K43" i="5"/>
  <c r="CD2" i="9" l="1"/>
  <c r="CT2" i="9" s="1"/>
  <c r="DJ2" i="9" s="1"/>
  <c r="DZ2" i="9" s="1"/>
  <c r="EP2" i="9" s="1"/>
  <c r="FF2" i="9" s="1"/>
  <c r="FV2" i="9" s="1"/>
  <c r="GL2" i="9" s="1"/>
  <c r="HB2" i="9" s="1"/>
  <c r="HR2" i="9" s="1"/>
  <c r="IH2" i="9" s="1"/>
  <c r="C33" i="9"/>
  <c r="C6" i="13"/>
  <c r="D6" i="13"/>
  <c r="E6" i="13"/>
  <c r="F6" i="13"/>
  <c r="G6" i="13"/>
  <c r="H6" i="13"/>
  <c r="I6" i="13"/>
  <c r="C7" i="13"/>
  <c r="D7" i="13"/>
  <c r="E7" i="13"/>
  <c r="F7" i="13"/>
  <c r="G7" i="13"/>
  <c r="H7" i="13"/>
  <c r="I7" i="13"/>
  <c r="C8" i="13"/>
  <c r="D8" i="13"/>
  <c r="E8" i="13"/>
  <c r="F8" i="13"/>
  <c r="G8" i="13"/>
  <c r="H8" i="13"/>
  <c r="I8" i="13"/>
  <c r="C9" i="13"/>
  <c r="D9" i="13"/>
  <c r="E9" i="13"/>
  <c r="F9" i="13"/>
  <c r="G9" i="13"/>
  <c r="H9" i="13"/>
  <c r="I9" i="13"/>
  <c r="B7" i="13"/>
  <c r="B8" i="13"/>
  <c r="B9" i="13"/>
  <c r="B6" i="13"/>
  <c r="Q5" i="13"/>
  <c r="P5" i="13"/>
  <c r="O5" i="13"/>
  <c r="N5" i="13"/>
  <c r="M5" i="13"/>
  <c r="L5" i="13"/>
  <c r="K5" i="13"/>
  <c r="J5" i="13"/>
  <c r="I5" i="13"/>
  <c r="H5" i="13"/>
  <c r="G5" i="13"/>
  <c r="F5" i="13"/>
  <c r="E5" i="13"/>
  <c r="D5" i="13"/>
  <c r="C5" i="13"/>
  <c r="B5" i="13"/>
  <c r="IQ5" i="9"/>
  <c r="IR5" i="9"/>
  <c r="IS5" i="9"/>
  <c r="IT5" i="9"/>
  <c r="IU5" i="9"/>
  <c r="IV5" i="9"/>
  <c r="IW5" i="9"/>
  <c r="IQ6" i="9"/>
  <c r="IR6" i="9"/>
  <c r="IS6" i="9"/>
  <c r="IT6" i="9"/>
  <c r="IU6" i="9"/>
  <c r="IV6" i="9"/>
  <c r="IW6" i="9"/>
  <c r="IQ7" i="9"/>
  <c r="IR7" i="9"/>
  <c r="IS7" i="9"/>
  <c r="IT7" i="9"/>
  <c r="IU7" i="9"/>
  <c r="IV7" i="9"/>
  <c r="IW7" i="9"/>
  <c r="IQ8" i="9"/>
  <c r="IR8" i="9"/>
  <c r="IS8" i="9"/>
  <c r="IT8" i="9"/>
  <c r="IU8" i="9"/>
  <c r="IV8" i="9"/>
  <c r="IW8" i="9"/>
  <c r="IQ9" i="9"/>
  <c r="IR9" i="9"/>
  <c r="IS9" i="9"/>
  <c r="IT9" i="9"/>
  <c r="IU9" i="9"/>
  <c r="IV9" i="9"/>
  <c r="IW9" i="9"/>
  <c r="IP6" i="9"/>
  <c r="IP7" i="9"/>
  <c r="IP8" i="9"/>
  <c r="IP9" i="9"/>
  <c r="IP5" i="9"/>
  <c r="II5" i="9"/>
  <c r="IJ5" i="9"/>
  <c r="IK5" i="9"/>
  <c r="IL5" i="9"/>
  <c r="IM5" i="9"/>
  <c r="IN5" i="9"/>
  <c r="IO5" i="9"/>
  <c r="IH5" i="9"/>
  <c r="IA5" i="9"/>
  <c r="IB5" i="9"/>
  <c r="IC5" i="9"/>
  <c r="ID5" i="9"/>
  <c r="IE5" i="9"/>
  <c r="IF5" i="9"/>
  <c r="IG5" i="9"/>
  <c r="IA6" i="9"/>
  <c r="IB6" i="9"/>
  <c r="IC6" i="9"/>
  <c r="ID6" i="9"/>
  <c r="IE6" i="9"/>
  <c r="IF6" i="9"/>
  <c r="IG6" i="9"/>
  <c r="IA7" i="9"/>
  <c r="IB7" i="9"/>
  <c r="IC7" i="9"/>
  <c r="ID7" i="9"/>
  <c r="IE7" i="9"/>
  <c r="IF7" i="9"/>
  <c r="IG7" i="9"/>
  <c r="IA8" i="9"/>
  <c r="IB8" i="9"/>
  <c r="IC8" i="9"/>
  <c r="ID8" i="9"/>
  <c r="IE8" i="9"/>
  <c r="IF8" i="9"/>
  <c r="IG8" i="9"/>
  <c r="IA9" i="9"/>
  <c r="IB9" i="9"/>
  <c r="IC9" i="9"/>
  <c r="ID9" i="9"/>
  <c r="IE9" i="9"/>
  <c r="IF9" i="9"/>
  <c r="IG9" i="9"/>
  <c r="HZ6" i="9"/>
  <c r="HZ7" i="9"/>
  <c r="HZ8" i="9"/>
  <c r="HZ9" i="9"/>
  <c r="HZ5" i="9"/>
  <c r="HS5" i="9"/>
  <c r="HT5" i="9"/>
  <c r="HU5" i="9"/>
  <c r="HV5" i="9"/>
  <c r="HW5" i="9"/>
  <c r="HX5" i="9"/>
  <c r="HY5" i="9"/>
  <c r="HR5" i="9"/>
  <c r="HJ6" i="9"/>
  <c r="HK6" i="9"/>
  <c r="HL6" i="9"/>
  <c r="HM6" i="9"/>
  <c r="HN6" i="9"/>
  <c r="HO6" i="9"/>
  <c r="HP6" i="9"/>
  <c r="HQ6" i="9"/>
  <c r="HJ7" i="9"/>
  <c r="HK7" i="9"/>
  <c r="HL7" i="9"/>
  <c r="HM7" i="9"/>
  <c r="HN7" i="9"/>
  <c r="HO7" i="9"/>
  <c r="HP7" i="9"/>
  <c r="HQ7" i="9"/>
  <c r="HJ8" i="9"/>
  <c r="HK8" i="9"/>
  <c r="HL8" i="9"/>
  <c r="HM8" i="9"/>
  <c r="HN8" i="9"/>
  <c r="HO8" i="9"/>
  <c r="HP8" i="9"/>
  <c r="HQ8" i="9"/>
  <c r="HJ9" i="9"/>
  <c r="HK9" i="9"/>
  <c r="HL9" i="9"/>
  <c r="HM9" i="9"/>
  <c r="HN9" i="9"/>
  <c r="HO9" i="9"/>
  <c r="HP9" i="9"/>
  <c r="HQ9" i="9"/>
  <c r="HK5" i="9"/>
  <c r="HL5" i="9"/>
  <c r="HM5" i="9"/>
  <c r="HN5" i="9"/>
  <c r="HO5" i="9"/>
  <c r="HP5" i="9"/>
  <c r="HQ5" i="9"/>
  <c r="HJ5" i="9"/>
  <c r="HC5" i="9"/>
  <c r="HD5" i="9"/>
  <c r="HE5" i="9"/>
  <c r="HF5" i="9"/>
  <c r="HG5" i="9"/>
  <c r="HH5" i="9"/>
  <c r="HI5" i="9"/>
  <c r="HB5" i="9"/>
  <c r="GU5" i="9"/>
  <c r="GV5" i="9"/>
  <c r="GW5" i="9"/>
  <c r="GX5" i="9"/>
  <c r="GY5" i="9"/>
  <c r="GZ5" i="9"/>
  <c r="HA5" i="9"/>
  <c r="GU6" i="9"/>
  <c r="GV6" i="9"/>
  <c r="GW6" i="9"/>
  <c r="GX6" i="9"/>
  <c r="GY6" i="9"/>
  <c r="GZ6" i="9"/>
  <c r="HA6" i="9"/>
  <c r="GU7" i="9"/>
  <c r="GV7" i="9"/>
  <c r="GW7" i="9"/>
  <c r="GX7" i="9"/>
  <c r="GY7" i="9"/>
  <c r="GZ7" i="9"/>
  <c r="HA7" i="9"/>
  <c r="GU8" i="9"/>
  <c r="GV8" i="9"/>
  <c r="GW8" i="9"/>
  <c r="GX8" i="9"/>
  <c r="GY8" i="9"/>
  <c r="GZ8" i="9"/>
  <c r="HA8" i="9"/>
  <c r="GU9" i="9"/>
  <c r="GV9" i="9"/>
  <c r="GW9" i="9"/>
  <c r="GX9" i="9"/>
  <c r="GY9" i="9"/>
  <c r="GZ9" i="9"/>
  <c r="HA9" i="9"/>
  <c r="GT6" i="9"/>
  <c r="GT7" i="9"/>
  <c r="GT8" i="9"/>
  <c r="GT9" i="9"/>
  <c r="GT5" i="9"/>
  <c r="GM5" i="9"/>
  <c r="GN5" i="9"/>
  <c r="GO5" i="9"/>
  <c r="GP5" i="9"/>
  <c r="GQ5" i="9"/>
  <c r="GR5" i="9"/>
  <c r="GS5" i="9"/>
  <c r="GL5" i="9"/>
  <c r="GE5" i="9"/>
  <c r="GF5" i="9"/>
  <c r="GG5" i="9"/>
  <c r="GH5" i="9"/>
  <c r="GI5" i="9"/>
  <c r="GJ5" i="9"/>
  <c r="GK5" i="9"/>
  <c r="GE6" i="9"/>
  <c r="GF6" i="9"/>
  <c r="GG6" i="9"/>
  <c r="GH6" i="9"/>
  <c r="GI6" i="9"/>
  <c r="GJ6" i="9"/>
  <c r="GK6" i="9"/>
  <c r="GE7" i="9"/>
  <c r="GF7" i="9"/>
  <c r="GG7" i="9"/>
  <c r="GH7" i="9"/>
  <c r="GI7" i="9"/>
  <c r="GJ7" i="9"/>
  <c r="GK7" i="9"/>
  <c r="GE8" i="9"/>
  <c r="GF8" i="9"/>
  <c r="GG8" i="9"/>
  <c r="GH8" i="9"/>
  <c r="GI8" i="9"/>
  <c r="GJ8" i="9"/>
  <c r="GK8" i="9"/>
  <c r="GE9" i="9"/>
  <c r="GF9" i="9"/>
  <c r="GG9" i="9"/>
  <c r="GH9" i="9"/>
  <c r="GI9" i="9"/>
  <c r="GJ9" i="9"/>
  <c r="GK9" i="9"/>
  <c r="GD6" i="9"/>
  <c r="GD7" i="9"/>
  <c r="GD8" i="9"/>
  <c r="GD9" i="9"/>
  <c r="GD5" i="9"/>
  <c r="FW5" i="9"/>
  <c r="FX5" i="9"/>
  <c r="FY5" i="9"/>
  <c r="FZ5" i="9"/>
  <c r="GA5" i="9"/>
  <c r="GB5" i="9"/>
  <c r="GC5" i="9"/>
  <c r="FV5" i="9"/>
  <c r="FN6" i="9"/>
  <c r="FO6" i="9"/>
  <c r="FP6" i="9"/>
  <c r="FQ6" i="9"/>
  <c r="FR6" i="9"/>
  <c r="FS6" i="9"/>
  <c r="FT6" i="9"/>
  <c r="FU6" i="9"/>
  <c r="FN7" i="9"/>
  <c r="FO7" i="9"/>
  <c r="FP7" i="9"/>
  <c r="FQ7" i="9"/>
  <c r="FR7" i="9"/>
  <c r="FS7" i="9"/>
  <c r="FT7" i="9"/>
  <c r="FU7" i="9"/>
  <c r="FN8" i="9"/>
  <c r="FO8" i="9"/>
  <c r="FP8" i="9"/>
  <c r="FQ8" i="9"/>
  <c r="FR8" i="9"/>
  <c r="FS8" i="9"/>
  <c r="FT8" i="9"/>
  <c r="FU8" i="9"/>
  <c r="FN9" i="9"/>
  <c r="FO9" i="9"/>
  <c r="FP9" i="9"/>
  <c r="FQ9" i="9"/>
  <c r="FR9" i="9"/>
  <c r="FS9" i="9"/>
  <c r="FT9" i="9"/>
  <c r="FU9" i="9"/>
  <c r="FO5" i="9"/>
  <c r="FP5" i="9"/>
  <c r="FQ5" i="9"/>
  <c r="FR5" i="9"/>
  <c r="FS5" i="9"/>
  <c r="FT5" i="9"/>
  <c r="FU5" i="9"/>
  <c r="FN5" i="9"/>
  <c r="FG5" i="9"/>
  <c r="FH5" i="9"/>
  <c r="FI5" i="9"/>
  <c r="FJ5" i="9"/>
  <c r="FK5" i="9"/>
  <c r="FL5" i="9"/>
  <c r="FM5" i="9"/>
  <c r="FF5" i="9"/>
  <c r="EY5" i="9"/>
  <c r="EZ5" i="9"/>
  <c r="FA5" i="9"/>
  <c r="FB5" i="9"/>
  <c r="FC5" i="9"/>
  <c r="FD5" i="9"/>
  <c r="FE5" i="9"/>
  <c r="EY6" i="9"/>
  <c r="EZ6" i="9"/>
  <c r="FA6" i="9"/>
  <c r="FB6" i="9"/>
  <c r="FC6" i="9"/>
  <c r="FD6" i="9"/>
  <c r="FE6" i="9"/>
  <c r="EY7" i="9"/>
  <c r="EZ7" i="9"/>
  <c r="FA7" i="9"/>
  <c r="FB7" i="9"/>
  <c r="FC7" i="9"/>
  <c r="FD7" i="9"/>
  <c r="FE7" i="9"/>
  <c r="EY8" i="9"/>
  <c r="EZ8" i="9"/>
  <c r="FA8" i="9"/>
  <c r="FB8" i="9"/>
  <c r="FC8" i="9"/>
  <c r="FD8" i="9"/>
  <c r="FE8" i="9"/>
  <c r="EY9" i="9"/>
  <c r="EZ9" i="9"/>
  <c r="FA9" i="9"/>
  <c r="FB9" i="9"/>
  <c r="FC9" i="9"/>
  <c r="FD9" i="9"/>
  <c r="FE9" i="9"/>
  <c r="EX6" i="9"/>
  <c r="EX7" i="9"/>
  <c r="EX8" i="9"/>
  <c r="EX9" i="9"/>
  <c r="EX5" i="9"/>
  <c r="EQ5" i="9"/>
  <c r="ER5" i="9"/>
  <c r="ES5" i="9"/>
  <c r="ET5" i="9"/>
  <c r="EU5" i="9"/>
  <c r="EV5" i="9"/>
  <c r="EW5" i="9"/>
  <c r="EP5" i="9"/>
  <c r="EH6" i="9"/>
  <c r="EI6" i="9"/>
  <c r="EJ6" i="9"/>
  <c r="EK6" i="9"/>
  <c r="EL6" i="9"/>
  <c r="EM6" i="9"/>
  <c r="EN6" i="9"/>
  <c r="EO6" i="9"/>
  <c r="EH7" i="9"/>
  <c r="EI7" i="9"/>
  <c r="EJ7" i="9"/>
  <c r="EK7" i="9"/>
  <c r="EL7" i="9"/>
  <c r="EM7" i="9"/>
  <c r="EN7" i="9"/>
  <c r="EO7" i="9"/>
  <c r="EH8" i="9"/>
  <c r="EI8" i="9"/>
  <c r="EJ8" i="9"/>
  <c r="EK8" i="9"/>
  <c r="EL8" i="9"/>
  <c r="EM8" i="9"/>
  <c r="EN8" i="9"/>
  <c r="EO8" i="9"/>
  <c r="EH9" i="9"/>
  <c r="EI9" i="9"/>
  <c r="EJ9" i="9"/>
  <c r="EK9" i="9"/>
  <c r="EL9" i="9"/>
  <c r="EM9" i="9"/>
  <c r="EN9" i="9"/>
  <c r="EO9" i="9"/>
  <c r="EI5" i="9"/>
  <c r="EJ5" i="9"/>
  <c r="EK5" i="9"/>
  <c r="EL5" i="9"/>
  <c r="EM5" i="9"/>
  <c r="EN5" i="9"/>
  <c r="EO5" i="9"/>
  <c r="EH5" i="9"/>
  <c r="EA5" i="9"/>
  <c r="EB5" i="9"/>
  <c r="EC5" i="9"/>
  <c r="ED5" i="9"/>
  <c r="EE5" i="9"/>
  <c r="EF5" i="9"/>
  <c r="EG5" i="9"/>
  <c r="DZ5" i="9"/>
  <c r="BN5" i="9"/>
  <c r="CD5" i="9" s="1"/>
  <c r="CT5" i="9" s="1"/>
  <c r="DJ5" i="9" s="1"/>
  <c r="DR6" i="9"/>
  <c r="DS6" i="9"/>
  <c r="DT6" i="9"/>
  <c r="DU6" i="9"/>
  <c r="DV6" i="9"/>
  <c r="DW6" i="9"/>
  <c r="DX6" i="9"/>
  <c r="DY6" i="9"/>
  <c r="DR7" i="9"/>
  <c r="DS7" i="9"/>
  <c r="DT7" i="9"/>
  <c r="DU7" i="9"/>
  <c r="DV7" i="9"/>
  <c r="DW7" i="9"/>
  <c r="DX7" i="9"/>
  <c r="DY7" i="9"/>
  <c r="DR8" i="9"/>
  <c r="DS8" i="9"/>
  <c r="DT8" i="9"/>
  <c r="DU8" i="9"/>
  <c r="DV8" i="9"/>
  <c r="DW8" i="9"/>
  <c r="DX8" i="9"/>
  <c r="DY8" i="9"/>
  <c r="DR9" i="9"/>
  <c r="DS9" i="9"/>
  <c r="DT9" i="9"/>
  <c r="DU9" i="9"/>
  <c r="DV9" i="9"/>
  <c r="DW9" i="9"/>
  <c r="DX9" i="9"/>
  <c r="DY9" i="9"/>
  <c r="DS5" i="9"/>
  <c r="DT5" i="9"/>
  <c r="DU5" i="9"/>
  <c r="DV5" i="9"/>
  <c r="DW5" i="9"/>
  <c r="DX5" i="9"/>
  <c r="DY5" i="9"/>
  <c r="DR5" i="9"/>
  <c r="DK5" i="9"/>
  <c r="DL5" i="9"/>
  <c r="DM5" i="9"/>
  <c r="DN5" i="9"/>
  <c r="DO5" i="9"/>
  <c r="DP5" i="9"/>
  <c r="DQ5" i="9"/>
  <c r="DC5" i="9"/>
  <c r="DD5" i="9"/>
  <c r="DE5" i="9"/>
  <c r="DF5" i="9"/>
  <c r="DG5" i="9"/>
  <c r="DH5" i="9"/>
  <c r="DI5" i="9"/>
  <c r="DC6" i="9"/>
  <c r="DD6" i="9"/>
  <c r="DE6" i="9"/>
  <c r="DF6" i="9"/>
  <c r="DG6" i="9"/>
  <c r="DH6" i="9"/>
  <c r="DI6" i="9"/>
  <c r="DC7" i="9"/>
  <c r="DD7" i="9"/>
  <c r="DE7" i="9"/>
  <c r="DF7" i="9"/>
  <c r="DG7" i="9"/>
  <c r="DH7" i="9"/>
  <c r="DI7" i="9"/>
  <c r="DC8" i="9"/>
  <c r="DD8" i="9"/>
  <c r="DE8" i="9"/>
  <c r="DF8" i="9"/>
  <c r="DG8" i="9"/>
  <c r="DH8" i="9"/>
  <c r="DI8" i="9"/>
  <c r="DC9" i="9"/>
  <c r="DD9" i="9"/>
  <c r="DE9" i="9"/>
  <c r="DF9" i="9"/>
  <c r="DG9" i="9"/>
  <c r="DH9" i="9"/>
  <c r="DI9" i="9"/>
  <c r="DB5" i="9"/>
  <c r="DB6" i="9"/>
  <c r="DB7" i="9"/>
  <c r="DB8" i="9"/>
  <c r="DB9" i="9"/>
  <c r="CU5" i="9"/>
  <c r="CV5" i="9"/>
  <c r="CW5" i="9"/>
  <c r="CX5" i="9"/>
  <c r="CY5" i="9"/>
  <c r="CZ5" i="9"/>
  <c r="DA5" i="9"/>
  <c r="CM5" i="9"/>
  <c r="CN5" i="9"/>
  <c r="CO5" i="9"/>
  <c r="CP5" i="9"/>
  <c r="CQ5" i="9"/>
  <c r="CR5" i="9"/>
  <c r="CS5" i="9"/>
  <c r="CM6" i="9"/>
  <c r="CN6" i="9"/>
  <c r="CO6" i="9"/>
  <c r="CP6" i="9"/>
  <c r="CQ6" i="9"/>
  <c r="CR6" i="9"/>
  <c r="CS6" i="9"/>
  <c r="CM7" i="9"/>
  <c r="CN7" i="9"/>
  <c r="CO7" i="9"/>
  <c r="CP7" i="9"/>
  <c r="CQ7" i="9"/>
  <c r="CR7" i="9"/>
  <c r="CS7" i="9"/>
  <c r="CM8" i="9"/>
  <c r="CN8" i="9"/>
  <c r="CO8" i="9"/>
  <c r="CP8" i="9"/>
  <c r="CQ8" i="9"/>
  <c r="CR8" i="9"/>
  <c r="CS8" i="9"/>
  <c r="CM9" i="9"/>
  <c r="CN9" i="9"/>
  <c r="CO9" i="9"/>
  <c r="CP9" i="9"/>
  <c r="CQ9" i="9"/>
  <c r="CR9" i="9"/>
  <c r="CS9" i="9"/>
  <c r="CL6" i="9"/>
  <c r="CL7" i="9"/>
  <c r="CL8" i="9"/>
  <c r="CL9" i="9"/>
  <c r="CL5" i="9"/>
  <c r="CE5" i="9"/>
  <c r="CF5" i="9"/>
  <c r="CG5" i="9"/>
  <c r="CH5" i="9"/>
  <c r="CI5" i="9"/>
  <c r="CJ5" i="9"/>
  <c r="CK5" i="9"/>
  <c r="BO5" i="9"/>
  <c r="BP5" i="9"/>
  <c r="BQ5" i="9"/>
  <c r="BR5" i="9"/>
  <c r="BS5" i="9"/>
  <c r="BT5" i="9"/>
  <c r="BU5" i="9"/>
  <c r="BV5" i="9"/>
  <c r="BW5" i="9"/>
  <c r="BX5" i="9"/>
  <c r="BY5" i="9"/>
  <c r="BZ5" i="9"/>
  <c r="CA5" i="9"/>
  <c r="CB5" i="9"/>
  <c r="CC5" i="9"/>
  <c r="BV6" i="9"/>
  <c r="BW6" i="9"/>
  <c r="BX6" i="9"/>
  <c r="BY6" i="9"/>
  <c r="BZ6" i="9"/>
  <c r="CA6" i="9"/>
  <c r="CB6" i="9"/>
  <c r="CC6" i="9"/>
  <c r="BV7" i="9"/>
  <c r="BW7" i="9"/>
  <c r="BX7" i="9"/>
  <c r="BY7" i="9"/>
  <c r="BZ7" i="9"/>
  <c r="CA7" i="9"/>
  <c r="CB7" i="9"/>
  <c r="CC7" i="9"/>
  <c r="BV8" i="9"/>
  <c r="BW8" i="9"/>
  <c r="BX8" i="9"/>
  <c r="BY8" i="9"/>
  <c r="BZ8" i="9"/>
  <c r="CA8" i="9"/>
  <c r="CB8" i="9"/>
  <c r="CC8" i="9"/>
  <c r="BV9" i="9"/>
  <c r="BW9" i="9"/>
  <c r="BX9" i="9"/>
  <c r="BY9" i="9"/>
  <c r="BZ9" i="9"/>
  <c r="CA9" i="9"/>
  <c r="CB9" i="9"/>
  <c r="CC9" i="9"/>
  <c r="BF6" i="9"/>
  <c r="BG6" i="9"/>
  <c r="BH6" i="9"/>
  <c r="BI6" i="9"/>
  <c r="BJ6" i="9"/>
  <c r="BK6" i="9"/>
  <c r="BL6" i="9"/>
  <c r="BM6" i="9"/>
  <c r="BF7" i="9"/>
  <c r="BG7" i="9"/>
  <c r="BH7" i="9"/>
  <c r="BI7" i="9"/>
  <c r="BJ7" i="9"/>
  <c r="BK7" i="9"/>
  <c r="BL7" i="9"/>
  <c r="BM7" i="9"/>
  <c r="BE8" i="9"/>
  <c r="BF8" i="9"/>
  <c r="BG8" i="9"/>
  <c r="BH8" i="9"/>
  <c r="BI8" i="9"/>
  <c r="BJ8" i="9"/>
  <c r="BK8" i="9"/>
  <c r="BL8" i="9"/>
  <c r="BM8" i="9"/>
  <c r="BF9" i="9"/>
  <c r="BG9" i="9"/>
  <c r="BH9" i="9"/>
  <c r="BI9" i="9"/>
  <c r="BJ9" i="9"/>
  <c r="BK9" i="9"/>
  <c r="BL9" i="9"/>
  <c r="BM9" i="9"/>
  <c r="AY5" i="9"/>
  <c r="AZ5" i="9"/>
  <c r="BA5" i="9"/>
  <c r="BB5" i="9"/>
  <c r="BC5" i="9"/>
  <c r="BD5" i="9"/>
  <c r="BE5" i="9"/>
  <c r="BF5" i="9"/>
  <c r="BG5" i="9"/>
  <c r="BH5" i="9"/>
  <c r="BI5" i="9"/>
  <c r="BJ5" i="9"/>
  <c r="BK5" i="9"/>
  <c r="BL5" i="9"/>
  <c r="BM5" i="9"/>
  <c r="AX5" i="9"/>
  <c r="AQ5" i="9"/>
  <c r="AR5" i="9"/>
  <c r="AS5" i="9"/>
  <c r="AT5" i="9"/>
  <c r="AU5" i="9"/>
  <c r="AV5" i="9"/>
  <c r="AW5" i="9"/>
  <c r="AQ6" i="9"/>
  <c r="AR6" i="9"/>
  <c r="AS6" i="9"/>
  <c r="AT6" i="9"/>
  <c r="AU6" i="9"/>
  <c r="AV6" i="9"/>
  <c r="AW6" i="9"/>
  <c r="AQ7" i="9"/>
  <c r="AR7" i="9"/>
  <c r="AS7" i="9"/>
  <c r="AT7" i="9"/>
  <c r="AU7" i="9"/>
  <c r="AV7" i="9"/>
  <c r="AW7" i="9"/>
  <c r="AQ8" i="9"/>
  <c r="AR8" i="9"/>
  <c r="AS8" i="9"/>
  <c r="AT8" i="9"/>
  <c r="AU8" i="9"/>
  <c r="AV8" i="9"/>
  <c r="AW8" i="9"/>
  <c r="AQ9" i="9"/>
  <c r="AR9" i="9"/>
  <c r="AS9" i="9"/>
  <c r="AT9" i="9"/>
  <c r="AU9" i="9"/>
  <c r="AV9" i="9"/>
  <c r="AW9" i="9"/>
  <c r="AP6" i="9"/>
  <c r="AP7" i="9"/>
  <c r="AP8" i="9"/>
  <c r="AP9" i="9"/>
  <c r="AP5" i="9"/>
  <c r="AI5" i="9"/>
  <c r="AJ5" i="9"/>
  <c r="AK5" i="9"/>
  <c r="AL5" i="9"/>
  <c r="AM5" i="9"/>
  <c r="AN5" i="9"/>
  <c r="AO5" i="9"/>
  <c r="AH5" i="9"/>
  <c r="Z6" i="9"/>
  <c r="AA6" i="9"/>
  <c r="AB6" i="9"/>
  <c r="AC6" i="9"/>
  <c r="AD6" i="9"/>
  <c r="AE6" i="9"/>
  <c r="AF6" i="9"/>
  <c r="AG6" i="9"/>
  <c r="Z7" i="9"/>
  <c r="AA7" i="9"/>
  <c r="AB7" i="9"/>
  <c r="AC7" i="9"/>
  <c r="AD7" i="9"/>
  <c r="AE7" i="9"/>
  <c r="AF7" i="9"/>
  <c r="AG7" i="9"/>
  <c r="Z8" i="9"/>
  <c r="AA8" i="9"/>
  <c r="AB8" i="9"/>
  <c r="AC8" i="9"/>
  <c r="AD8" i="9"/>
  <c r="AE8" i="9"/>
  <c r="AF8" i="9"/>
  <c r="AG8" i="9"/>
  <c r="Z9" i="9"/>
  <c r="AA9" i="9"/>
  <c r="AB9" i="9"/>
  <c r="AC9" i="9"/>
  <c r="AD9" i="9"/>
  <c r="AE9" i="9"/>
  <c r="AF9" i="9"/>
  <c r="AG9" i="9"/>
  <c r="S5" i="9"/>
  <c r="T5" i="9"/>
  <c r="U5" i="9"/>
  <c r="V5" i="9"/>
  <c r="W5" i="9"/>
  <c r="X5" i="9"/>
  <c r="Y5" i="9"/>
  <c r="Z5" i="9"/>
  <c r="AA5" i="9"/>
  <c r="AB5" i="9"/>
  <c r="AC5" i="9"/>
  <c r="AD5" i="9"/>
  <c r="AE5" i="9"/>
  <c r="AF5" i="9"/>
  <c r="AG5" i="9"/>
  <c r="R5" i="9"/>
  <c r="C5" i="9"/>
  <c r="D5" i="9"/>
  <c r="E5" i="9"/>
  <c r="F5" i="9"/>
  <c r="G5" i="9"/>
  <c r="H5" i="9"/>
  <c r="I5" i="9"/>
  <c r="J5" i="9"/>
  <c r="K5" i="9"/>
  <c r="L5" i="9"/>
  <c r="M5" i="9"/>
  <c r="N5" i="9"/>
  <c r="O5" i="9"/>
  <c r="P5" i="9"/>
  <c r="Q5" i="9"/>
  <c r="J6" i="9"/>
  <c r="K6" i="9"/>
  <c r="L6" i="9"/>
  <c r="M6" i="9"/>
  <c r="N6" i="9"/>
  <c r="O6" i="9"/>
  <c r="P6" i="9"/>
  <c r="Q6" i="9"/>
  <c r="J7" i="9"/>
  <c r="K7" i="9"/>
  <c r="L7" i="9"/>
  <c r="M7" i="9"/>
  <c r="N7" i="9"/>
  <c r="O7" i="9"/>
  <c r="P7" i="9"/>
  <c r="Q7" i="9"/>
  <c r="J8" i="9"/>
  <c r="K8" i="9"/>
  <c r="L8" i="9"/>
  <c r="M8" i="9"/>
  <c r="N8" i="9"/>
  <c r="O8" i="9"/>
  <c r="P8" i="9"/>
  <c r="Q8" i="9"/>
  <c r="J9" i="9"/>
  <c r="K9" i="9"/>
  <c r="L9" i="9"/>
  <c r="M9" i="9"/>
  <c r="N9" i="9"/>
  <c r="O9" i="9"/>
  <c r="P9" i="9"/>
  <c r="Q9" i="9"/>
  <c r="B5" i="9"/>
  <c r="BG4" i="5"/>
  <c r="BH4" i="5"/>
  <c r="BI4" i="5"/>
  <c r="BJ4" i="5"/>
  <c r="BK4" i="5"/>
  <c r="BL4" i="5"/>
  <c r="BM4" i="5"/>
  <c r="BF4" i="5"/>
  <c r="AY4" i="5"/>
  <c r="AZ4" i="5"/>
  <c r="BA4" i="5"/>
  <c r="BB4" i="5"/>
  <c r="BC4" i="5"/>
  <c r="BD4" i="5"/>
  <c r="BE4" i="5"/>
  <c r="AX4" i="5"/>
  <c r="AY5" i="5"/>
  <c r="GM6" i="9" s="1"/>
  <c r="HC6" i="9" s="1"/>
  <c r="HS6" i="9" s="1"/>
  <c r="II6" i="9" s="1"/>
  <c r="AZ5" i="5"/>
  <c r="GN6" i="9" s="1"/>
  <c r="HD6" i="9" s="1"/>
  <c r="HT6" i="9" s="1"/>
  <c r="IJ6" i="9" s="1"/>
  <c r="BA5" i="5"/>
  <c r="GO6" i="9" s="1"/>
  <c r="HE6" i="9" s="1"/>
  <c r="HU6" i="9" s="1"/>
  <c r="IK6" i="9" s="1"/>
  <c r="BB5" i="5"/>
  <c r="GP6" i="9" s="1"/>
  <c r="HF6" i="9" s="1"/>
  <c r="HV6" i="9" s="1"/>
  <c r="IL6" i="9" s="1"/>
  <c r="BC5" i="5"/>
  <c r="GQ6" i="9" s="1"/>
  <c r="HG6" i="9" s="1"/>
  <c r="HW6" i="9" s="1"/>
  <c r="IM6" i="9" s="1"/>
  <c r="BD5" i="5"/>
  <c r="GR6" i="9" s="1"/>
  <c r="HH6" i="9" s="1"/>
  <c r="HX6" i="9" s="1"/>
  <c r="IN6" i="9" s="1"/>
  <c r="BE5" i="5"/>
  <c r="GS6" i="9" s="1"/>
  <c r="HI6" i="9" s="1"/>
  <c r="HY6" i="9" s="1"/>
  <c r="IO6" i="9" s="1"/>
  <c r="AY6" i="5"/>
  <c r="GM7" i="9" s="1"/>
  <c r="HC7" i="9" s="1"/>
  <c r="HS7" i="9" s="1"/>
  <c r="II7" i="9" s="1"/>
  <c r="AZ6" i="5"/>
  <c r="GN7" i="9" s="1"/>
  <c r="HD7" i="9" s="1"/>
  <c r="HT7" i="9" s="1"/>
  <c r="IJ7" i="9" s="1"/>
  <c r="BA6" i="5"/>
  <c r="GO7" i="9" s="1"/>
  <c r="HE7" i="9" s="1"/>
  <c r="HU7" i="9" s="1"/>
  <c r="IK7" i="9" s="1"/>
  <c r="BB6" i="5"/>
  <c r="GP7" i="9" s="1"/>
  <c r="HF7" i="9" s="1"/>
  <c r="HV7" i="9" s="1"/>
  <c r="IL7" i="9" s="1"/>
  <c r="BC6" i="5"/>
  <c r="GQ7" i="9" s="1"/>
  <c r="HG7" i="9" s="1"/>
  <c r="HW7" i="9" s="1"/>
  <c r="IM7" i="9" s="1"/>
  <c r="BD6" i="5"/>
  <c r="GR7" i="9" s="1"/>
  <c r="HH7" i="9" s="1"/>
  <c r="HX7" i="9" s="1"/>
  <c r="IN7" i="9" s="1"/>
  <c r="BE6" i="5"/>
  <c r="GS7" i="9" s="1"/>
  <c r="HI7" i="9" s="1"/>
  <c r="HY7" i="9" s="1"/>
  <c r="IO7" i="9" s="1"/>
  <c r="AY7" i="5"/>
  <c r="GM8" i="9" s="1"/>
  <c r="HC8" i="9" s="1"/>
  <c r="HS8" i="9" s="1"/>
  <c r="II8" i="9" s="1"/>
  <c r="AZ7" i="5"/>
  <c r="GN8" i="9" s="1"/>
  <c r="HD8" i="9" s="1"/>
  <c r="HT8" i="9" s="1"/>
  <c r="IJ8" i="9" s="1"/>
  <c r="BA7" i="5"/>
  <c r="GO8" i="9" s="1"/>
  <c r="HE8" i="9" s="1"/>
  <c r="HU8" i="9" s="1"/>
  <c r="IK8" i="9" s="1"/>
  <c r="BB7" i="5"/>
  <c r="GP8" i="9" s="1"/>
  <c r="HF8" i="9" s="1"/>
  <c r="HV8" i="9" s="1"/>
  <c r="IL8" i="9" s="1"/>
  <c r="BC7" i="5"/>
  <c r="GQ8" i="9" s="1"/>
  <c r="HG8" i="9" s="1"/>
  <c r="HW8" i="9" s="1"/>
  <c r="IM8" i="9" s="1"/>
  <c r="BD7" i="5"/>
  <c r="GR8" i="9" s="1"/>
  <c r="HH8" i="9" s="1"/>
  <c r="HX8" i="9" s="1"/>
  <c r="IN8" i="9" s="1"/>
  <c r="BE7" i="5"/>
  <c r="GS8" i="9" s="1"/>
  <c r="HI8" i="9" s="1"/>
  <c r="HY8" i="9" s="1"/>
  <c r="IO8" i="9" s="1"/>
  <c r="AY8" i="5"/>
  <c r="GM9" i="9" s="1"/>
  <c r="HC9" i="9" s="1"/>
  <c r="HS9" i="9" s="1"/>
  <c r="II9" i="9" s="1"/>
  <c r="AZ8" i="5"/>
  <c r="GN9" i="9" s="1"/>
  <c r="HD9" i="9" s="1"/>
  <c r="HT9" i="9" s="1"/>
  <c r="IJ9" i="9" s="1"/>
  <c r="BA8" i="5"/>
  <c r="GO9" i="9" s="1"/>
  <c r="HE9" i="9" s="1"/>
  <c r="HU9" i="9" s="1"/>
  <c r="IK9" i="9" s="1"/>
  <c r="BB8" i="5"/>
  <c r="GP9" i="9" s="1"/>
  <c r="HF9" i="9" s="1"/>
  <c r="HV9" i="9" s="1"/>
  <c r="IL9" i="9" s="1"/>
  <c r="BC8" i="5"/>
  <c r="GQ9" i="9" s="1"/>
  <c r="HG9" i="9" s="1"/>
  <c r="HW9" i="9" s="1"/>
  <c r="IM9" i="9" s="1"/>
  <c r="BD8" i="5"/>
  <c r="GR9" i="9" s="1"/>
  <c r="HH9" i="9" s="1"/>
  <c r="HX9" i="9" s="1"/>
  <c r="IN9" i="9" s="1"/>
  <c r="BE8" i="5"/>
  <c r="GS9" i="9" s="1"/>
  <c r="HI9" i="9" s="1"/>
  <c r="HY9" i="9" s="1"/>
  <c r="IO9" i="9" s="1"/>
  <c r="AX6" i="5"/>
  <c r="GL7" i="9" s="1"/>
  <c r="HB7" i="9" s="1"/>
  <c r="HR7" i="9" s="1"/>
  <c r="IH7" i="9" s="1"/>
  <c r="AX7" i="5"/>
  <c r="GL8" i="9" s="1"/>
  <c r="HB8" i="9" s="1"/>
  <c r="HR8" i="9" s="1"/>
  <c r="IH8" i="9" s="1"/>
  <c r="AX8" i="5"/>
  <c r="GL9" i="9" s="1"/>
  <c r="HB9" i="9" s="1"/>
  <c r="HR9" i="9" s="1"/>
  <c r="IH9" i="9" s="1"/>
  <c r="AX5" i="5"/>
  <c r="GL6" i="9" s="1"/>
  <c r="HB6" i="9" s="1"/>
  <c r="HR6" i="9" s="1"/>
  <c r="IH6" i="9" s="1"/>
  <c r="AI5" i="5"/>
  <c r="EA6" i="9" s="1"/>
  <c r="EQ6" i="9" s="1"/>
  <c r="FG6" i="9" s="1"/>
  <c r="FW6" i="9" s="1"/>
  <c r="AJ5" i="5"/>
  <c r="EB6" i="9" s="1"/>
  <c r="ER6" i="9" s="1"/>
  <c r="FH6" i="9" s="1"/>
  <c r="FX6" i="9" s="1"/>
  <c r="AK5" i="5"/>
  <c r="EC6" i="9" s="1"/>
  <c r="ES6" i="9" s="1"/>
  <c r="FI6" i="9" s="1"/>
  <c r="FY6" i="9" s="1"/>
  <c r="AL5" i="5"/>
  <c r="ED6" i="9" s="1"/>
  <c r="ET6" i="9" s="1"/>
  <c r="FJ6" i="9" s="1"/>
  <c r="FZ6" i="9" s="1"/>
  <c r="AM5" i="5"/>
  <c r="EE6" i="9" s="1"/>
  <c r="EU6" i="9" s="1"/>
  <c r="FK6" i="9" s="1"/>
  <c r="GA6" i="9" s="1"/>
  <c r="AN5" i="5"/>
  <c r="EF6" i="9" s="1"/>
  <c r="EV6" i="9" s="1"/>
  <c r="FL6" i="9" s="1"/>
  <c r="GB6" i="9" s="1"/>
  <c r="AO5" i="5"/>
  <c r="EG6" i="9" s="1"/>
  <c r="EW6" i="9" s="1"/>
  <c r="FM6" i="9" s="1"/>
  <c r="GC6" i="9" s="1"/>
  <c r="AI6" i="5"/>
  <c r="EA7" i="9" s="1"/>
  <c r="EQ7" i="9" s="1"/>
  <c r="FG7" i="9" s="1"/>
  <c r="FW7" i="9" s="1"/>
  <c r="AJ6" i="5"/>
  <c r="EB7" i="9" s="1"/>
  <c r="ER7" i="9" s="1"/>
  <c r="FH7" i="9" s="1"/>
  <c r="FX7" i="9" s="1"/>
  <c r="AK6" i="5"/>
  <c r="EC7" i="9" s="1"/>
  <c r="ES7" i="9" s="1"/>
  <c r="FI7" i="9" s="1"/>
  <c r="FY7" i="9" s="1"/>
  <c r="AL6" i="5"/>
  <c r="ED7" i="9" s="1"/>
  <c r="ET7" i="9" s="1"/>
  <c r="FJ7" i="9" s="1"/>
  <c r="FZ7" i="9" s="1"/>
  <c r="AM6" i="5"/>
  <c r="EE7" i="9" s="1"/>
  <c r="EU7" i="9" s="1"/>
  <c r="FK7" i="9" s="1"/>
  <c r="GA7" i="9" s="1"/>
  <c r="AN6" i="5"/>
  <c r="EF7" i="9" s="1"/>
  <c r="EV7" i="9" s="1"/>
  <c r="FL7" i="9" s="1"/>
  <c r="GB7" i="9" s="1"/>
  <c r="AO6" i="5"/>
  <c r="EG7" i="9" s="1"/>
  <c r="EW7" i="9" s="1"/>
  <c r="FM7" i="9" s="1"/>
  <c r="GC7" i="9" s="1"/>
  <c r="AI7" i="5"/>
  <c r="EA8" i="9" s="1"/>
  <c r="EQ8" i="9" s="1"/>
  <c r="FG8" i="9" s="1"/>
  <c r="FW8" i="9" s="1"/>
  <c r="AJ7" i="5"/>
  <c r="EB8" i="9" s="1"/>
  <c r="ER8" i="9" s="1"/>
  <c r="FH8" i="9" s="1"/>
  <c r="FX8" i="9" s="1"/>
  <c r="AK7" i="5"/>
  <c r="EC8" i="9" s="1"/>
  <c r="ES8" i="9" s="1"/>
  <c r="FI8" i="9" s="1"/>
  <c r="FY8" i="9" s="1"/>
  <c r="AL7" i="5"/>
  <c r="ED8" i="9" s="1"/>
  <c r="ET8" i="9" s="1"/>
  <c r="FJ8" i="9" s="1"/>
  <c r="FZ8" i="9" s="1"/>
  <c r="AM7" i="5"/>
  <c r="EE8" i="9" s="1"/>
  <c r="EU8" i="9" s="1"/>
  <c r="FK8" i="9" s="1"/>
  <c r="GA8" i="9" s="1"/>
  <c r="AN7" i="5"/>
  <c r="EF8" i="9" s="1"/>
  <c r="EV8" i="9" s="1"/>
  <c r="FL8" i="9" s="1"/>
  <c r="GB8" i="9" s="1"/>
  <c r="AO7" i="5"/>
  <c r="EG8" i="9" s="1"/>
  <c r="EW8" i="9" s="1"/>
  <c r="FM8" i="9" s="1"/>
  <c r="GC8" i="9" s="1"/>
  <c r="AI8" i="5"/>
  <c r="EA9" i="9" s="1"/>
  <c r="EQ9" i="9" s="1"/>
  <c r="FG9" i="9" s="1"/>
  <c r="FW9" i="9" s="1"/>
  <c r="AJ8" i="5"/>
  <c r="EB9" i="9" s="1"/>
  <c r="ER9" i="9" s="1"/>
  <c r="FH9" i="9" s="1"/>
  <c r="FX9" i="9" s="1"/>
  <c r="AK8" i="5"/>
  <c r="EC9" i="9" s="1"/>
  <c r="ES9" i="9" s="1"/>
  <c r="FI9" i="9" s="1"/>
  <c r="FY9" i="9" s="1"/>
  <c r="AL8" i="5"/>
  <c r="ED9" i="9" s="1"/>
  <c r="ET9" i="9" s="1"/>
  <c r="FJ9" i="9" s="1"/>
  <c r="FZ9" i="9" s="1"/>
  <c r="AM8" i="5"/>
  <c r="EE9" i="9" s="1"/>
  <c r="EU9" i="9" s="1"/>
  <c r="FK9" i="9" s="1"/>
  <c r="GA9" i="9" s="1"/>
  <c r="AN8" i="5"/>
  <c r="EF9" i="9" s="1"/>
  <c r="EV9" i="9" s="1"/>
  <c r="FL9" i="9" s="1"/>
  <c r="GB9" i="9" s="1"/>
  <c r="AO8" i="5"/>
  <c r="EG9" i="9" s="1"/>
  <c r="EW9" i="9" s="1"/>
  <c r="FM9" i="9" s="1"/>
  <c r="GC9" i="9" s="1"/>
  <c r="AH6" i="5"/>
  <c r="DZ7" i="9" s="1"/>
  <c r="EP7" i="9" s="1"/>
  <c r="FF7" i="9" s="1"/>
  <c r="FV7" i="9" s="1"/>
  <c r="AH7" i="5"/>
  <c r="DZ8" i="9" s="1"/>
  <c r="EP8" i="9" s="1"/>
  <c r="FF8" i="9" s="1"/>
  <c r="FV8" i="9" s="1"/>
  <c r="AH8" i="5"/>
  <c r="DZ9" i="9" s="1"/>
  <c r="EP9" i="9" s="1"/>
  <c r="FF9" i="9" s="1"/>
  <c r="FV9" i="9" s="1"/>
  <c r="AH5" i="5"/>
  <c r="DZ6" i="9" s="1"/>
  <c r="EP6" i="9" s="1"/>
  <c r="FF6" i="9" s="1"/>
  <c r="FV6" i="9" s="1"/>
  <c r="AV6" i="5"/>
  <c r="AU6" i="5"/>
  <c r="AT6" i="5"/>
  <c r="AS6" i="5"/>
  <c r="S5" i="5"/>
  <c r="BO6" i="9" s="1"/>
  <c r="CE6" i="9" s="1"/>
  <c r="CU6" i="9" s="1"/>
  <c r="DK6" i="9" s="1"/>
  <c r="T5" i="5"/>
  <c r="BP6" i="9" s="1"/>
  <c r="CF6" i="9" s="1"/>
  <c r="CV6" i="9" s="1"/>
  <c r="DL6" i="9" s="1"/>
  <c r="U5" i="5"/>
  <c r="BQ6" i="9" s="1"/>
  <c r="CG6" i="9" s="1"/>
  <c r="CW6" i="9" s="1"/>
  <c r="DM6" i="9" s="1"/>
  <c r="V5" i="5"/>
  <c r="BR6" i="9" s="1"/>
  <c r="CH6" i="9" s="1"/>
  <c r="CX6" i="9" s="1"/>
  <c r="DN6" i="9" s="1"/>
  <c r="W5" i="5"/>
  <c r="BS6" i="9" s="1"/>
  <c r="CI6" i="9" s="1"/>
  <c r="CY6" i="9" s="1"/>
  <c r="DO6" i="9" s="1"/>
  <c r="X5" i="5"/>
  <c r="BT6" i="9" s="1"/>
  <c r="CJ6" i="9" s="1"/>
  <c r="CZ6" i="9" s="1"/>
  <c r="DP6" i="9" s="1"/>
  <c r="Y5" i="5"/>
  <c r="BU6" i="9" s="1"/>
  <c r="CK6" i="9" s="1"/>
  <c r="DA6" i="9" s="1"/>
  <c r="DQ6" i="9" s="1"/>
  <c r="S6" i="5"/>
  <c r="BO7" i="9" s="1"/>
  <c r="CE7" i="9" s="1"/>
  <c r="CU7" i="9" s="1"/>
  <c r="DK7" i="9" s="1"/>
  <c r="T6" i="5"/>
  <c r="BP7" i="9" s="1"/>
  <c r="CF7" i="9" s="1"/>
  <c r="CV7" i="9" s="1"/>
  <c r="DL7" i="9" s="1"/>
  <c r="U6" i="5"/>
  <c r="BQ7" i="9" s="1"/>
  <c r="CG7" i="9" s="1"/>
  <c r="CW7" i="9" s="1"/>
  <c r="DM7" i="9" s="1"/>
  <c r="V6" i="5"/>
  <c r="BR7" i="9" s="1"/>
  <c r="CH7" i="9" s="1"/>
  <c r="CX7" i="9" s="1"/>
  <c r="DN7" i="9" s="1"/>
  <c r="W6" i="5"/>
  <c r="BS7" i="9" s="1"/>
  <c r="CI7" i="9" s="1"/>
  <c r="CY7" i="9" s="1"/>
  <c r="DO7" i="9" s="1"/>
  <c r="X6" i="5"/>
  <c r="BT7" i="9" s="1"/>
  <c r="CJ7" i="9" s="1"/>
  <c r="CZ7" i="9" s="1"/>
  <c r="DP7" i="9" s="1"/>
  <c r="Y6" i="5"/>
  <c r="BU7" i="9" s="1"/>
  <c r="CK7" i="9" s="1"/>
  <c r="DA7" i="9" s="1"/>
  <c r="DQ7" i="9" s="1"/>
  <c r="S7" i="5"/>
  <c r="BO8" i="9" s="1"/>
  <c r="CE8" i="9" s="1"/>
  <c r="CU8" i="9" s="1"/>
  <c r="DK8" i="9" s="1"/>
  <c r="T7" i="5"/>
  <c r="BP8" i="9" s="1"/>
  <c r="CF8" i="9" s="1"/>
  <c r="CV8" i="9" s="1"/>
  <c r="DL8" i="9" s="1"/>
  <c r="U7" i="5"/>
  <c r="BQ8" i="9" s="1"/>
  <c r="CG8" i="9" s="1"/>
  <c r="CW8" i="9" s="1"/>
  <c r="DM8" i="9" s="1"/>
  <c r="V7" i="5"/>
  <c r="BR8" i="9" s="1"/>
  <c r="CH8" i="9" s="1"/>
  <c r="CX8" i="9" s="1"/>
  <c r="DN8" i="9" s="1"/>
  <c r="W7" i="5"/>
  <c r="BS8" i="9" s="1"/>
  <c r="CI8" i="9" s="1"/>
  <c r="CY8" i="9" s="1"/>
  <c r="DO8" i="9" s="1"/>
  <c r="X7" i="5"/>
  <c r="BT8" i="9" s="1"/>
  <c r="CJ8" i="9" s="1"/>
  <c r="CZ8" i="9" s="1"/>
  <c r="DP8" i="9" s="1"/>
  <c r="Y7" i="5"/>
  <c r="BU8" i="9" s="1"/>
  <c r="CK8" i="9" s="1"/>
  <c r="DA8" i="9" s="1"/>
  <c r="DQ8" i="9" s="1"/>
  <c r="S8" i="5"/>
  <c r="BO9" i="9" s="1"/>
  <c r="CE9" i="9" s="1"/>
  <c r="CU9" i="9" s="1"/>
  <c r="DK9" i="9" s="1"/>
  <c r="T8" i="5"/>
  <c r="BP9" i="9" s="1"/>
  <c r="CF9" i="9" s="1"/>
  <c r="CV9" i="9" s="1"/>
  <c r="DL9" i="9" s="1"/>
  <c r="U8" i="5"/>
  <c r="BQ9" i="9" s="1"/>
  <c r="CG9" i="9" s="1"/>
  <c r="CW9" i="9" s="1"/>
  <c r="DM9" i="9" s="1"/>
  <c r="V8" i="5"/>
  <c r="BR9" i="9" s="1"/>
  <c r="CH9" i="9" s="1"/>
  <c r="CX9" i="9" s="1"/>
  <c r="DN9" i="9" s="1"/>
  <c r="W8" i="5"/>
  <c r="BS9" i="9" s="1"/>
  <c r="CI9" i="9" s="1"/>
  <c r="CY9" i="9" s="1"/>
  <c r="DO9" i="9" s="1"/>
  <c r="X8" i="5"/>
  <c r="BT9" i="9" s="1"/>
  <c r="CJ9" i="9" s="1"/>
  <c r="CZ9" i="9" s="1"/>
  <c r="DP9" i="9" s="1"/>
  <c r="Y8" i="5"/>
  <c r="BU9" i="9" s="1"/>
  <c r="CK9" i="9" s="1"/>
  <c r="DA9" i="9" s="1"/>
  <c r="DQ9" i="9" s="1"/>
  <c r="R6" i="5"/>
  <c r="BN7" i="9" s="1"/>
  <c r="CD7" i="9" s="1"/>
  <c r="CT7" i="9" s="1"/>
  <c r="DJ7" i="9" s="1"/>
  <c r="R7" i="5"/>
  <c r="BN8" i="9" s="1"/>
  <c r="CD8" i="9" s="1"/>
  <c r="CT8" i="9" s="1"/>
  <c r="DJ8" i="9" s="1"/>
  <c r="R8" i="5"/>
  <c r="BN9" i="9" s="1"/>
  <c r="CD9" i="9" s="1"/>
  <c r="CT9" i="9" s="1"/>
  <c r="DJ9" i="9" s="1"/>
  <c r="R5" i="5"/>
  <c r="BN6" i="9" s="1"/>
  <c r="CD6" i="9" s="1"/>
  <c r="CT6" i="9" s="1"/>
  <c r="DJ6" i="9" s="1"/>
  <c r="S4" i="5"/>
  <c r="AI4" i="5" s="1"/>
  <c r="T4" i="5"/>
  <c r="AJ4" i="5" s="1"/>
  <c r="U4" i="5"/>
  <c r="AK4" i="5" s="1"/>
  <c r="V4" i="5"/>
  <c r="AL4" i="5" s="1"/>
  <c r="W4" i="5"/>
  <c r="AM4" i="5" s="1"/>
  <c r="X4" i="5"/>
  <c r="AN4" i="5" s="1"/>
  <c r="Y4" i="5"/>
  <c r="AO4" i="5" s="1"/>
  <c r="R4" i="5"/>
  <c r="AH4" i="5" s="1"/>
  <c r="K4" i="5"/>
  <c r="AA4" i="5" s="1"/>
  <c r="AQ4" i="5" s="1"/>
  <c r="L4" i="5"/>
  <c r="AB4" i="5" s="1"/>
  <c r="AR4" i="5" s="1"/>
  <c r="M4" i="5"/>
  <c r="AC4" i="5" s="1"/>
  <c r="AS4" i="5" s="1"/>
  <c r="N4" i="5"/>
  <c r="AD4" i="5" s="1"/>
  <c r="AT4" i="5" s="1"/>
  <c r="O4" i="5"/>
  <c r="AE4" i="5" s="1"/>
  <c r="AU4" i="5" s="1"/>
  <c r="P4" i="5"/>
  <c r="AF4" i="5" s="1"/>
  <c r="AV4" i="5" s="1"/>
  <c r="Q4" i="5"/>
  <c r="AG4" i="5" s="1"/>
  <c r="AW4" i="5" s="1"/>
  <c r="J4" i="5"/>
  <c r="Z4" i="5" s="1"/>
  <c r="AP4" i="5" s="1"/>
  <c r="I8" i="5"/>
  <c r="AO9" i="9" s="1"/>
  <c r="C5" i="5"/>
  <c r="AI6" i="9" s="1"/>
  <c r="D5" i="5"/>
  <c r="T6" i="9" s="1"/>
  <c r="E5" i="5"/>
  <c r="E6" i="9" s="1"/>
  <c r="F5" i="5"/>
  <c r="BB6" i="9" s="1"/>
  <c r="G5" i="5"/>
  <c r="AM6" i="9" s="1"/>
  <c r="H5" i="5"/>
  <c r="AN6" i="9" s="1"/>
  <c r="I5" i="5"/>
  <c r="BE6" i="9" s="1"/>
  <c r="C6" i="5"/>
  <c r="C7" i="9" s="1"/>
  <c r="D6" i="5"/>
  <c r="D7" i="9" s="1"/>
  <c r="E6" i="5"/>
  <c r="AK7" i="9" s="1"/>
  <c r="F6" i="5"/>
  <c r="F7" i="9" s="1"/>
  <c r="G6" i="5"/>
  <c r="BC7" i="9" s="1"/>
  <c r="H6" i="5"/>
  <c r="AN7" i="9" s="1"/>
  <c r="I6" i="5"/>
  <c r="AO7" i="9" s="1"/>
  <c r="C7" i="5"/>
  <c r="AI8" i="9" s="1"/>
  <c r="D7" i="5"/>
  <c r="T8" i="9" s="1"/>
  <c r="E7" i="5"/>
  <c r="AK8" i="9" s="1"/>
  <c r="F7" i="5"/>
  <c r="V8" i="9" s="1"/>
  <c r="G7" i="5"/>
  <c r="W8" i="9" s="1"/>
  <c r="H7" i="5"/>
  <c r="AN8" i="9" s="1"/>
  <c r="I7" i="5"/>
  <c r="Y8" i="9" s="1"/>
  <c r="C8" i="5"/>
  <c r="S9" i="9" s="1"/>
  <c r="D8" i="5"/>
  <c r="T9" i="9" s="1"/>
  <c r="E8" i="5"/>
  <c r="AK9" i="9" s="1"/>
  <c r="F8" i="5"/>
  <c r="F9" i="9" s="1"/>
  <c r="G8" i="5"/>
  <c r="AM9" i="9" s="1"/>
  <c r="H8" i="5"/>
  <c r="X9" i="9" s="1"/>
  <c r="B6" i="5"/>
  <c r="R7" i="9" s="1"/>
  <c r="B7" i="5"/>
  <c r="AX8" i="9" s="1"/>
  <c r="B8" i="5"/>
  <c r="R9" i="9" s="1"/>
  <c r="B5" i="5"/>
  <c r="R6" i="9" s="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3" i="1"/>
  <c r="L4" i="1"/>
  <c r="L5" i="1"/>
  <c r="L6" i="1"/>
  <c r="L7" i="1"/>
  <c r="L8" i="1"/>
  <c r="L9" i="1"/>
  <c r="L10" i="1"/>
  <c r="L11" i="1"/>
  <c r="L12" i="1"/>
  <c r="L13" i="1"/>
  <c r="L14" i="1"/>
  <c r="L15" i="1"/>
  <c r="L16" i="1"/>
  <c r="L17" i="1"/>
  <c r="L18" i="1"/>
  <c r="L19" i="1"/>
  <c r="L20" i="1"/>
  <c r="L21" i="1"/>
  <c r="L22" i="1"/>
  <c r="L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3" i="1"/>
  <c r="K4" i="1"/>
  <c r="K5" i="1"/>
  <c r="K6" i="1"/>
  <c r="K7" i="1"/>
  <c r="K8" i="1"/>
  <c r="K9" i="1"/>
  <c r="K10" i="1"/>
  <c r="K11" i="1"/>
  <c r="K12" i="1"/>
  <c r="K13" i="1"/>
  <c r="K14" i="1"/>
  <c r="K15" i="1"/>
  <c r="K16" i="1"/>
  <c r="K17" i="1"/>
  <c r="K18" i="1"/>
  <c r="K19" i="1"/>
  <c r="K20" i="1"/>
  <c r="K21" i="1"/>
  <c r="K22" i="1"/>
  <c r="K2" i="1"/>
  <c r="B9" i="9" l="1"/>
  <c r="BD8" i="9"/>
  <c r="G9" i="9"/>
  <c r="BA8" i="9"/>
  <c r="G6" i="9"/>
  <c r="S8" i="9"/>
  <c r="AY7" i="9"/>
  <c r="U6" i="9"/>
  <c r="AJ8" i="9"/>
  <c r="AI7" i="9"/>
  <c r="BC9" i="9"/>
  <c r="B8" i="9"/>
  <c r="AK6" i="9"/>
  <c r="BC6" i="9"/>
  <c r="H6" i="9"/>
  <c r="X6" i="9"/>
  <c r="BD6" i="9"/>
  <c r="T7" i="9"/>
  <c r="AZ7" i="9"/>
  <c r="AJ7" i="9"/>
  <c r="U7" i="9"/>
  <c r="AL7" i="9"/>
  <c r="V7" i="9"/>
  <c r="H7" i="9"/>
  <c r="BD7" i="9"/>
  <c r="AH8" i="9"/>
  <c r="R8" i="9"/>
  <c r="AL8" i="9"/>
  <c r="BB8" i="9"/>
  <c r="H8" i="9"/>
  <c r="X8" i="9"/>
  <c r="C9" i="9"/>
  <c r="AI9" i="9"/>
  <c r="AY9" i="9"/>
  <c r="BB9" i="9"/>
  <c r="V9" i="9"/>
  <c r="W9" i="9"/>
  <c r="AN9" i="9"/>
  <c r="Y9" i="9"/>
  <c r="I9" i="9"/>
  <c r="BE9" i="9"/>
  <c r="BD9" i="9"/>
  <c r="H9" i="9"/>
  <c r="AL9" i="9"/>
  <c r="E9" i="9"/>
  <c r="U9" i="9"/>
  <c r="BA9" i="9"/>
  <c r="AZ9" i="9"/>
  <c r="D9" i="9"/>
  <c r="AJ9" i="9"/>
  <c r="AH9" i="9"/>
  <c r="AX9" i="9"/>
  <c r="AM8" i="9"/>
  <c r="BC8" i="9"/>
  <c r="G8" i="9"/>
  <c r="F8" i="9"/>
  <c r="U8" i="9"/>
  <c r="E8" i="9"/>
  <c r="AZ8" i="9"/>
  <c r="D8" i="9"/>
  <c r="C8" i="9"/>
  <c r="AY8" i="9"/>
  <c r="X7" i="9"/>
  <c r="AM7" i="9"/>
  <c r="G7" i="9"/>
  <c r="W7" i="9"/>
  <c r="BB7" i="9"/>
  <c r="E7" i="9"/>
  <c r="BA7" i="9"/>
  <c r="S7" i="9"/>
  <c r="B7" i="9"/>
  <c r="AH7" i="9"/>
  <c r="AX7" i="9"/>
  <c r="W6" i="9"/>
  <c r="F6" i="9"/>
  <c r="V6" i="9"/>
  <c r="AL6" i="9"/>
  <c r="BA6" i="9"/>
  <c r="AX6" i="9"/>
  <c r="AY6" i="9"/>
  <c r="S6" i="9"/>
  <c r="AJ6" i="9"/>
  <c r="D6" i="9"/>
  <c r="AZ6" i="9"/>
  <c r="C6" i="9"/>
  <c r="B6" i="9"/>
  <c r="AH6" i="9"/>
  <c r="Y7" i="9"/>
  <c r="AO8" i="9"/>
  <c r="I8" i="9"/>
  <c r="I7" i="9"/>
  <c r="BE7" i="9"/>
  <c r="Y6" i="9"/>
  <c r="AO6" i="9"/>
  <c r="I6" i="9"/>
  <c r="R1" i="9"/>
  <c r="AH1" i="9" s="1"/>
  <c r="AX1" i="9" s="1"/>
  <c r="BN1" i="9" s="1"/>
  <c r="CD1" i="9" s="1"/>
  <c r="CT1" i="9" s="1"/>
  <c r="DJ1" i="9" s="1"/>
  <c r="DZ1" i="9" s="1"/>
  <c r="EP1" i="9" s="1"/>
  <c r="FF1" i="9" s="1"/>
  <c r="FV1" i="9" s="1"/>
  <c r="GL1" i="9" s="1"/>
  <c r="HB1" i="9" s="1"/>
  <c r="HR1" i="9" s="1"/>
  <c r="IH1" i="9" s="1"/>
  <c r="AR6" i="5"/>
  <c r="AQ6" i="5"/>
  <c r="AP6" i="5"/>
  <c r="R1" i="5"/>
  <c r="AH1" i="5" s="1"/>
  <c r="AX1" i="5" s="1"/>
  <c r="A9" i="6" l="1"/>
  <c r="A8" i="6"/>
  <c r="A7" i="6"/>
  <c r="A6" i="6"/>
  <c r="A5" i="6"/>
  <c r="A4" i="6"/>
  <c r="A3" i="6"/>
  <c r="A2" i="6"/>
</calcChain>
</file>

<file path=xl/sharedStrings.xml><?xml version="1.0" encoding="utf-8"?>
<sst xmlns="http://schemas.openxmlformats.org/spreadsheetml/2006/main" count="651" uniqueCount="273">
  <si>
    <t>ID</t>
  </si>
  <si>
    <t>Name</t>
  </si>
  <si>
    <t>Source</t>
  </si>
  <si>
    <t>Sink</t>
  </si>
  <si>
    <t>Type</t>
  </si>
  <si>
    <t>Tampen Link</t>
  </si>
  <si>
    <t>Vesterled</t>
  </si>
  <si>
    <t>Langeled</t>
  </si>
  <si>
    <t>Zeepipe II A</t>
  </si>
  <si>
    <t>Zeepipe II B</t>
  </si>
  <si>
    <t>Statpipe</t>
  </si>
  <si>
    <t>Franpipe</t>
  </si>
  <si>
    <t>Europipe I</t>
  </si>
  <si>
    <t>Europipe II</t>
  </si>
  <si>
    <t>Source_ID</t>
  </si>
  <si>
    <t>Sink_ID</t>
  </si>
  <si>
    <t>gas</t>
  </si>
  <si>
    <t>hydrogen</t>
  </si>
  <si>
    <t>Hour</t>
  </si>
  <si>
    <t>Demand</t>
  </si>
  <si>
    <t>Unit</t>
  </si>
  <si>
    <t>Explanation</t>
  </si>
  <si>
    <t>Quantity</t>
  </si>
  <si>
    <t>NOK / MSm3</t>
  </si>
  <si>
    <t>MSm3</t>
  </si>
  <si>
    <t>MSm3/h</t>
  </si>
  <si>
    <t xml:space="preserve">Mega (or million) standard cubic metres per hour. One standard cubic meter means the amount of gas which occupies a Cubic Meter at fifteen (15) Degrees Celsius and a pressure of one hundred one decimal three two five (101.325) kPa. </t>
  </si>
  <si>
    <t>Probability</t>
  </si>
  <si>
    <t>gas or mix</t>
  </si>
  <si>
    <t>pure hydrogen</t>
  </si>
  <si>
    <t>Loss rate</t>
  </si>
  <si>
    <t>Allowed percentage</t>
  </si>
  <si>
    <t>Gamma</t>
  </si>
  <si>
    <t>Capacity</t>
  </si>
  <si>
    <t>Node Number</t>
  </si>
  <si>
    <t>Parent Node Number</t>
  </si>
  <si>
    <t>Stage 2 nodes</t>
  </si>
  <si>
    <t>Stage 3 nodes</t>
  </si>
  <si>
    <t>Value</t>
  </si>
  <si>
    <t>Production Capacity Gas</t>
  </si>
  <si>
    <t>Entry Capacity Gas</t>
  </si>
  <si>
    <t>Exit Capacity Gas</t>
  </si>
  <si>
    <t>Production Costs Gas</t>
  </si>
  <si>
    <t>Storage Capacity Gas</t>
  </si>
  <si>
    <t>Entry Storage Costs Gas</t>
  </si>
  <si>
    <t>Entry Costs Gas Stage 1</t>
  </si>
  <si>
    <t>Exit Costs Gas Stage 1</t>
  </si>
  <si>
    <t>Entry Costs Gas Stage 2</t>
  </si>
  <si>
    <t>Exit Costs Gas Stage 2</t>
  </si>
  <si>
    <t>Entry Costs Gas Stage 3</t>
  </si>
  <si>
    <t>Exit Costs Gas Stage 3</t>
  </si>
  <si>
    <t>Production Capacity Hydrogen</t>
  </si>
  <si>
    <t>Entry Capacity Hydrogen</t>
  </si>
  <si>
    <t>Exit Capacity Hydrogen</t>
  </si>
  <si>
    <t>Production Costs Hydrogen</t>
  </si>
  <si>
    <t>Storage Capacity Hydrogen</t>
  </si>
  <si>
    <t>Entry Storage Costs Hydrogen</t>
  </si>
  <si>
    <t>Entry Costs Hydrogen Stage 1</t>
  </si>
  <si>
    <t>Exit Costs Hydrogen Stage 1</t>
  </si>
  <si>
    <t>Entry Costs Hydrogen Stage 2</t>
  </si>
  <si>
    <t>Exit Costs Hydrogen Stage 2</t>
  </si>
  <si>
    <t>Entry Costs Hydrogen Stage 3</t>
  </si>
  <si>
    <t>Exit Costs Hydrogen Stage 3</t>
  </si>
  <si>
    <t>Number hours</t>
  </si>
  <si>
    <t>Number markets</t>
  </si>
  <si>
    <t>Number shippers</t>
  </si>
  <si>
    <t>Flow costs Gas</t>
  </si>
  <si>
    <t>Flow costs Hydrogen</t>
  </si>
  <si>
    <t>X_coordinate</t>
  </si>
  <si>
    <t>Y_coordinate</t>
  </si>
  <si>
    <t>Asgard Transport</t>
  </si>
  <si>
    <t>TSO entry costs Gas</t>
  </si>
  <si>
    <t>TSO exit costs Gas</t>
  </si>
  <si>
    <t>TSO entry costs Hydrogen</t>
  </si>
  <si>
    <t>TSO exit costs Hydrogen</t>
  </si>
  <si>
    <t>Basis</t>
  </si>
  <si>
    <t>AASTA HANSTEEN PLEM</t>
  </si>
  <si>
    <t>NORNE ERB</t>
  </si>
  <si>
    <t>SKARV ERB</t>
  </si>
  <si>
    <t>HEIDRUN</t>
  </si>
  <si>
    <t>NORNE/HEIDRUN T</t>
  </si>
  <si>
    <t>DRAUGEN T</t>
  </si>
  <si>
    <t>DRAUGEN</t>
  </si>
  <si>
    <t>ORMEN LANGE A</t>
  </si>
  <si>
    <t>ORMEN LANGE B</t>
  </si>
  <si>
    <t>TJELDBERGODDEN</t>
  </si>
  <si>
    <t>NYHAMNA</t>
  </si>
  <si>
    <t>STATFJORD B</t>
  </si>
  <si>
    <t>STAT-SSTC</t>
  </si>
  <si>
    <t>MURCHISON</t>
  </si>
  <si>
    <t>FLAGS-T</t>
  </si>
  <si>
    <t>BRAGE</t>
  </si>
  <si>
    <t>TROLL A</t>
  </si>
  <si>
    <t>KOLLSNES</t>
  </si>
  <si>
    <t>BRAGE-T</t>
  </si>
  <si>
    <t>FRIGG TP1-Y</t>
  </si>
  <si>
    <t>OSEBERG D</t>
  </si>
  <si>
    <t>MARTIN LINGE A</t>
  </si>
  <si>
    <t>HEIMDAL HRP</t>
  </si>
  <si>
    <t>HEIMDAL</t>
  </si>
  <si>
    <t>EDVARD GRIEG</t>
  </si>
  <si>
    <t>JOHAN SVERDRUP RP</t>
  </si>
  <si>
    <t>GRANE</t>
  </si>
  <si>
    <t>GUDRUN</t>
  </si>
  <si>
    <t>JOHAN SVERDRUP STATPIPE PLEM</t>
  </si>
  <si>
    <t>SAGE-T</t>
  </si>
  <si>
    <t>SLEIPNER A</t>
  </si>
  <si>
    <t>SLEIPNER R</t>
  </si>
  <si>
    <t>DRAUPNER E</t>
  </si>
  <si>
    <t>DRAUPNER S</t>
  </si>
  <si>
    <t>CATS PLATFORM</t>
  </si>
  <si>
    <t>ST.FERGUS</t>
  </si>
  <si>
    <t>EKOFISK J</t>
  </si>
  <si>
    <t>NORPIPE Y</t>
  </si>
  <si>
    <t>BALTIC ENTRANCE</t>
  </si>
  <si>
    <t>B-11</t>
  </si>
  <si>
    <t>ZEEPIPE-SCP</t>
  </si>
  <si>
    <t>TEESSIDE</t>
  </si>
  <si>
    <t>H-7 BP</t>
  </si>
  <si>
    <t>POLAND</t>
  </si>
  <si>
    <t>EUROPIPE-SCP</t>
  </si>
  <si>
    <t>EASINGTON</t>
  </si>
  <si>
    <t>EMDEN</t>
  </si>
  <si>
    <t>ZEEBRUGGE</t>
  </si>
  <si>
    <t>DUNKERQUE</t>
  </si>
  <si>
    <t>Denmark 1</t>
  </si>
  <si>
    <t>Denmark 2</t>
  </si>
  <si>
    <t>Denmark 3</t>
  </si>
  <si>
    <t>Denmark 4</t>
  </si>
  <si>
    <t>EMDEN 2</t>
  </si>
  <si>
    <t>Note</t>
  </si>
  <si>
    <t>curOperNam</t>
  </si>
  <si>
    <t>curPhase</t>
  </si>
  <si>
    <t>curPhDate</t>
  </si>
  <si>
    <t>geometry</t>
  </si>
  <si>
    <t>OKEA ASA</t>
  </si>
  <si>
    <t>IN SERVICE</t>
  </si>
  <si>
    <t>1993-09-23</t>
  </si>
  <si>
    <t>Gas</t>
  </si>
  <si>
    <t>LINESTRING (2.8963509232204276 60.56011387499288, 3.0081770764843703 60.54330065370974, 3.0361264151934804 60.54281098835386)</t>
  </si>
  <si>
    <t>Draugen Gasseksport</t>
  </si>
  <si>
    <t>2000-10-10</t>
  </si>
  <si>
    <t>LINESTRING (6.439513710701037 64.2329284780315, 6.449055151210916 64.23122552146818, 6.9889691272997645 64.16618923704642, 7.002129636522198 64.1654333609896, 7.062959750852773 64.16582309393723, 7.079793180607852 64.1684484007406, 7.315588528377448 64.21648815910106, 7.404876944904599 64.22853570382964, 7.7111336534916886 64.26379673831497, 7.742816609118542 64.26662022380145, 7.7583349842149065 64.26951952443925, 7.768576121988894 64.27321979697747, 7.777126085464185 64.27877412682054, 7.794889263285606 64.30243431539115, 7.799528206240841 64.30605051942663, 7.814497208966536 64.31468805195007, 7.818431088596768 64.31892227349209, 7.822468792099478 64.3260716173518, 7.822654557749491 64.32997778178854, 7.820946211228841 64.33460195407923, 7.813834552501298 64.34114814350907, 7.803842909263228 64.34577121958141, 7.789322217253073 64.35026182872208)</t>
  </si>
  <si>
    <t>Gassco AS</t>
  </si>
  <si>
    <t>2000-10-04</t>
  </si>
  <si>
    <t>LINESTRING (4.686853131474261 62.302302667129126, 4.718448369792201 62.33153457574122, 4.688439971644288 62.3037851068389, 4.686853131474261 62.302302667129126)</t>
  </si>
  <si>
    <t>1995-10-01</t>
  </si>
  <si>
    <t>LINESTRING (2.4628033065972583 58.187535644407276, 2.4552520524712187 58.184953438321706, 2.4452049867077155 58.180375145706634, 2.436617995005262 58.175027843433966, 2.429810080350187 58.16903554003433, 2.4242352589667133 58.16170720354026, 2.4216804587721366 58.15572095378309, 2.420763668776968 58.150490752095145, 2.426013302961221 57.79197297830305, 2.4273683651050777 57.744652296305, 2.4307660116249323 57.731640871117875, 2.5189763662906746 57.54282418963404, 2.525334834467185 57.53571501317608, 2.533882330387126 57.52932388902057, 2.626753808075191 57.48140630803102, 2.634996253186544 57.476003215383955, 2.6416436818262556 57.469978081185985, 2.892508614943398 57.19726841667463, 3.1808761081020624 56.87852461127476, 3.3815273271602124 56.652408055910364, 3.3877327714301955 56.645227877927695, 3.3940302923778023 56.63614363434331, 3.407040228398652 56.62094625631261, 3.488556990884267 56.527907966634345, 3.5023358534307882 56.514987678083074, 3.5316709132669435 56.48164286007732, 3.7483611486674855 56.23177571073057, 3.7531254465816257 56.227200607773526, 3.7643760649266835 56.218642442647905, 3.7697814095819724 56.21326931952618, 3.790266850389006 56.18931372836613, 3.839064504651688 56.126131109314514, 3.934679180445567 56.01437035940241, 4.162862090050761 55.74384669140317, 4.169082473425813 55.737766554617956, 4.174770772717963 55.73361347786694, 4.22120097485071 55.70629307727897)</t>
  </si>
  <si>
    <t>LINESTRING (7.32514696267687 53.678990373954015, 7.4011991596642055 53.6717909446933, 7.457720037063928 53.69159219597222, 7.459880117479199 53.690792192525514, 7.392222039507814 53.80041408933186, 7.385774700403287 53.806039206561145, 7.376466304590163 53.81106727365384, 7.328866404808301 53.83265948047898, 7.288392929172429 53.8464035035132, 7.278673552321244 53.8504395333066, 7.262380893760357 53.85808161218755, 7.228824429980407 53.87731789016703, 7.198848206644844 53.891721046428636, 7.074762247452948 53.94774357279723, 7.057455583514114 53.95463561550292, 6.935184657906649 54.01079416322335, 6.913802682890788 54.024247379246496, 6.899254985907223 54.03447256177636, 6.723974812853038 54.149766498876836, 6.711057289384026 54.15570555657124, 6.682101245030956 54.16490554899234, 6.669647722687629 54.17118562296475, 6.656208075879919 54.1805967904066, 6.6363099722722305 54.199142191830155, 6.626373370356491 54.21000044551771, 6.614460706207759 54.221186688736346, 6.5628532775701665 54.255379267317224, 6.308824390950888 54.42001799284584, 6.070030196798607 54.57315649992453, 5.825662722185294 54.72824000985346, 5.538138196814379 54.90863989146273, 5.192243895422825 55.12265125287183, 4.842733392057502 55.33561553316483, 4.433070006211278 55.58123923441443, 4.22120097485071 55.70629307727897)</t>
  </si>
  <si>
    <t>1999-10-01</t>
  </si>
  <si>
    <t>LINESTRING (7.32514696267687 53.678990373954015, 7.4018391191549755 53.6736910140084, 7.457720037063928 53.69159219597222, 7.3912040184029255 53.80023307253265, 7.385839745862257 53.804597159626695, 7.376585359132399 53.80937321896535, 7.207379156798347 53.86794435123968, 7.196257682974817 53.873948430963466, 7.189033325096543 53.87948353680844, 7.1828019512158905 53.88638469845168, 7.179239668743901 53.892571865029815, 7.07287915992026 54.238568222291235, 6.954123952986654 54.618748694382255, 6.951744735480611 54.62355083050632, 6.9475274407248255 54.629238976605, 6.91435341083016 54.66494882157537, 6.844013037278041 54.77318271501995, 6.82572387531898 54.79395421902926, 6.822869642321458 54.798776351217526, 6.82105105899166 54.81517188666376, 6.817557502901281 54.82935532914016, 6.8184742056092515 54.83919367254637, 6.822799022993953 54.84828902798043, 6.851084508911495 54.88695264766349, 6.853805318302932 54.89497494962288, 6.853867156811409 54.8999491191781, 6.852907985843898 54.90438225926019, 6.762586539463472 55.14724854526278, 6.732610119020615 55.225489892557896, 6.7192063448907815 55.2675981877146, 6.659437622153171 55.41888172462993, 6.55948781700785 55.68425977905299, 6.376442937430352 56.163945446675825, 6.366990912207593 56.18532809009322, 6.29007689498581 56.37653394351937, 6.2266440960601335 56.5419370636239, 6.153750360678373 56.72334266488432, 6.144533402332305 56.742187229560564, 6.136373445064696 56.76175383205678, 6.124713422188593 56.78046136477, 6.117670442948578 56.801375028289215, 6.112261406836086 56.82496880591513, 6.045868384363048 56.988414877144784, 6.029937475492769 57.0268990706172, 6.027259235876948 57.03122819487978, 6.019634679573686 57.04025043069543, 6.0164003707718985 57.045980598748336, 6.01129617661792 57.073485524093144, 6.006053392813598 57.090137060133635, 5.882265323070877 57.389813406797785, 5.843181573649857 57.48274231021467, 5.787723210177421 57.578864147378475, 5.744195143467337 57.70012603894833, 5.743078892679234 57.70559322438704, 5.7430824558562765 57.71647661920235, 5.74153615304275 57.72293083557926, 5.713664200236187 57.776762469129466, 5.705743181431557 57.8094292930658, 5.702134676544558 57.81916460592942, 5.671704604767221 57.87246119397898, 5.666207992134112 57.88345153086098, 5.663974538366843 57.8928358476163, 5.661309827761735 57.91690221334874, 5.659574547773731 57.92263240230303, 5.634282228764614 57.962359561519165, 5.626826441051245 57.97661599626146, 5.6015447869922745 58.04900234957891, 5.498052523352002 58.276132480791766, 5.44886896626917 58.400045469897265, 5.33373284953689 58.63294373411097, 5.27303743191979 58.76560394442499, 5.255784732723547 58.83989350175517, 5.253779094368541 58.85331797723998, 5.253486657785566 58.86321034148343, 5.256935376568359 58.964048133727054, 5.260937900080833 58.97762868624936, 5.3341410520985 59.13667047515026, 5.336396470526604 59.15135705078712, 5.337335211527728 59.1805031525413, 5.338832006547012 59.18612938060962, 5.341812890901496 59.19071158688051, 5.346003841716669 59.194587780810494, 5.351645846687613 59.19819598159988, 5.359979924926262 59.20192321817846, 5.45263349810432 59.22752925491493, 5.460363677174937 59.228590384492115, 5.49151883392187 59.245650386055004, 5.495891764726569 59.250106603985515, 5.500656462097981 59.260094034013406, 5.511409601642026 59.27158221781404)</t>
  </si>
  <si>
    <t>1998-07-01</t>
  </si>
  <si>
    <t>LINESTRING (2.462793932626184 58.187564308871586, 2.4407347681738827 58.18254916875378, 2.426581608721842 58.17758981075382, 2.4141335463681033 58.171497432927865, 2.4037985870977585 58.164382044429516, 2.3958257278646333 58.15645865623247, 2.3905159669324467 58.14794428002664, 2.3878312920834315 58.13908592432718, 2.3942545139056106 57.74391486502216, 2.387481133220786 57.46549682910719, 2.3888157116288666 57.11516541679584, 2.390744497161882 57.09724380729154, 2.396017361690176 57.07950824522029, 2.3998048184557836 57.07076898278174, 2.4097907794122495 57.05365550019906, 2.63990297551028 56.7267347917067, 2.8607632624317807 56.40789431612352, 2.867710756570045 56.39981411825243, 3.061844761120804 56.24502205988923, 3.24525613774847 56.09731012445693, 3.2632701670217603 56.082428823517695, 3.2789201643187957 56.06675446732257, 3.2857666484025527 56.0586242675889, 3.2971025757273944 56.04181282137616, 3.4010379791351397 55.86237586888284, 3.408059811401045 55.844858349797924, 3.410425202336356 55.83597407256406, 3.4120395757060216 55.82703578471101, 3.4127432600317906 55.809071176508034, 3.3431789865448183 55.19035530975019, 3.282337974893751 54.63431698371356, 3.1851965057591403 54.01682552402704, 3.135769926735322 53.694618487704055, 3.0911947458113174 53.26400114276598, 3.091156317275986 53.24603256896663, 3.0942339600355293 53.22816003421934, 3.2037699603857526 52.80179077223789, 3.2071115923871907 52.783934247959635, 3.207720884431341 52.77495397222961, 3.2074711561753078 52.765962686469784, 3.205415660530116 52.7480320991446, 3.174522790252268 52.5240867312607, 3.1739213229452417 52.506119163544994, 3.18474229895764 52.41647849224174, 3.184623839880268 52.39849993148289, 3.1584716876897474 52.183331965428664, 3.1555421524577936 52.16545238011896, 3.1498395442142417 52.14781977147627, 3.141337856629478 52.130630145252326, 3.1267442708620528 52.10520119669943, 3.1198786288976716 52.08774058135959, 3.117578838818818 52.078859281936154, 3.0872904764791085 51.86391334551881, 3.0871567363904235 51.854948069918784, 3.0909870791640435 51.84630384878643, 3.0890822929111246 51.83749555821743, 3.080738311574879 51.83022124217935, 3.0608402312024108 51.817139618953796, 3.0517792256296037 51.81012430290981, 2.9980102156698405 51.76771440474135, 2.9809162426556606 51.75320277034245, 2.8184741674922567 51.626732099228725, 2.8031982578395813 51.61149546550424, 2.7205786636528777 51.51668869826472, 2.7104296225124846 51.51038639641104, 2.6460147788171158 51.490312068927075, 2.623609610011189 51.479092482289715, 2.6099223823597675 51.47649424938388, 2.595557080088606 51.47593306874132, 2.581872851999604 51.47335883653051, 2.5705497621159252 51.46785754506058, 2.53871559060467 51.44962964446193, 2.5289405669249545 51.443045338935626, 2.520946608594902 51.43557602778169, 2.4738328880111853 51.39038916096986, 2.4678189927197107 51.38225585339655, 2.443803698849599 51.33988033575361, 2.436647766224928 51.33215202744673, 2.425260671340582 51.326791740203085, 2.412102485705382 51.32320948480792, 2.401068407625747 51.317544192701256, 2.3832054235947027 51.303486576859704, 2.3756774805384007 51.295837266918205, 2.3693475758917097 51.2877729586066, 2.311210966950842 51.195854609782266, 2.2945163201719656 51.17100869498148, 2.2815557795434653 51.14530079847652, 2.2727493489165576 51.11890593020748, 2.2667172274891216 51.08385184294803, 2.263658413378572 51.075073553186826, 2.255355726345203 51.05789195982969, 2.251373994112591 51.04555455657972)</t>
  </si>
  <si>
    <t>2004-09-26</t>
  </si>
  <si>
    <t>LINESTRING (2.505334724239661 61.07707774169544, 2.5156455681055907 61.071997878159074, 2.5377977279092474 61.062647978419804, 2.5646782087413573 61.055777788606115, 2.5935935079498407 61.0428191329123, 2.6304754065886806 61.03267211951432, 2.6736810405753033 61.0142813077769, 2.691757822526383 61.00430190560882, 2.724656463325102 60.99193841544909, 2.7895566473072657 60.965345963761706, 2.913002584879702 60.9191345135096, 3.0241658483214495 60.87601292793791, 3.1000395791199953 60.84453761159612, 3.172550595707477 60.81665202010422, 3.3402050598966624 60.75399914125977, 3.4108706043382027 60.72244745743365, 3.4877486817090713 60.693158054533534, 3.5033281260282663 60.68867962360441, 3.594309140523922 60.67182678982449, 3.6199527070745785 60.66853871729266, 3.671705600727987 60.65977667129293, 3.8279352729208194 60.6449427054429, 3.9666037675743664 60.6243633591868, 4.106784461393816 60.60645441721475, 4.49082348304984 60.543371875521764, 4.57487746809513 60.52691946001078, 4.594357104033375 60.52176202389192, 4.638453194429097 60.50789177918331, 4.660990819612634 60.5039169817447, 4.675405125324347 60.50311603612439, 4.689631966698213 60.503573987585554, 4.720515491488312 60.508407762922886, 4.737185003204646 60.51374492891444, 4.7556554022336295 60.5227901439113, 4.779853432830677 60.528390623758156, 4.7989680591442845 60.53742821614213, 4.817711490441821 60.54090757731105, 4.824484073357435 60.543738272883424, 4.8354464342204535 60.54606225557832)</t>
  </si>
  <si>
    <t>2007-09-13</t>
  </si>
  <si>
    <t>LINESTRING (6.944126203226062 62.851181615233024, 6.958395523951621 62.86029927747193, 6.959437244320278 62.86393865781273, 6.9570327642936345 62.86726899544155, 6.951934588436433 62.8697485892215, 6.921528053263533 62.87815616721939, 6.899386123315378 62.89035198884869, 6.886777842767185 62.8953836300255, 6.877956384860074 62.898088257304074, 6.866665841970104 62.89970943684877, 6.83570513329627 62.90083445610842, 6.793422846264172 62.90430929058319, 6.784754991596397 62.90599916839668, 6.776374110964865 62.909314176300974, 6.770653550753617 62.91340362970615, 6.76783554845767 62.9183133113238, 6.767935965344757 62.921849679595034, 6.771996710328848 62.93271442488213, 6.769980083879582 62.941404632985616, 6.76733956506815 62.94464722628713, 6.763156912161753 62.94771813255899, 6.7510231137718995 62.95249799976163, 6.7421721503336025 62.95411539341296, 6.732601671465161 62.954748545754484, 6.66374699991203 62.95367576380796, 6.645619018729286 62.9524738731098, 6.612273046705815 62.9544190547306, 6.550780152010196 62.951316856424924, 6.459188607203072 62.934301539519794, 6.436844037625559 62.92923133783547, 6.2005430893532365 62.89161792298806, 6.171018100836043 62.88602500007172, 6.096305416462524 62.86645392639351, 5.841660615074013 62.809678282241926, 5.192750669676527 62.653437105178334, 5.179054745778569 62.64927875317483, 5.168065967344774 62.644197239808406, 5.161009295330372 62.63946674097722, 5.141530320079816 62.623131317043836, 4.978638417356975 62.472305442665856, 4.960700515785536 62.457911797772326, 4.947616128029106 62.441595527969056, 4.924426817586714 62.42423768153443, 4.900299455459889 62.399883390834034, 4.893937102167241 62.394756156317406, 4.882526842824044 62.38867896282539, 4.787859027736522 62.350121134033316, 4.659694523144031 62.30671041013584, 4.649196899707808 62.301716644888145, 4.640969617538731 62.29586456608697, 4.386800200301029 62.05731660282345, 4.344596452933942 61.99795702500478, 4.331978453627834 61.97310312695476, 4.312378293852157 61.949851377941584, 4.304935303551111 61.93804432811713, 4.296090688329816 61.928999211186444, 4.290280306466911 61.91951923933059, 4.284526071151988 61.91219084348436, 4.279965704523582 61.90785330319081, 4.263948932725386 61.89570280908999, 4.234825690039018 61.878516550479596, 4.20494980972435 61.85583690118129, 4.1858528843090435 61.83818917221627, 4.181106630707915 61.83232569146734, 4.174332658602673 61.82054916939476, 4.16149276505776 61.80677740603877, 4.153950028858588 61.79639329452358, 4.146609219179174 61.78214474499531, 4.141779098870773 61.75823321677975, 4.139030309714342 61.75356762390407, 4.127781706248229 61.73913591233521, 4.121785130033305 61.733547084116445, 4.0794075301593695 61.703920441550636, 4.014854046984061 61.655223097072806, 4.01100086725725 61.65054986033026, 4.004321738780614 61.63960116278898, 3.9908766863041434 61.62634439799704, 3.9843833160585347 61.61492647855347, 3.9745948550849732 61.5914574134949, 3.970326636309154 61.58571601473945, 3.962803048038805 61.57820067011437, 3.629607258110459 61.34867237440673, 3.5752092436308605 61.30916132071472, 3.494087609241543 61.25485213912258, 3.4597742196430663 61.230654135216966, 3.4462868956168147 61.21859523561273, 3.4216982246851844 61.202263567473395, 3.4093542306531215 61.193119224210825, 3.3995006317451986 61.18327298233412, 3.397093442024004 61.17968699604514, 3.393819791372758 61.17213737438463, 3.3900507889606226 61.140908998705584, 3.389776202126317 61.13067757906042, 3.391300162378597 61.1097913188949, 3.388695423088713 61.09106420854371, 3.3892034290231026 61.07052127145189, 3.3862908686188864 61.052000159780484, 3.386362031653565 61.041101147310734, 3.3853111305414125 61.030797236791564, 3.3855537990687727 61.00959814382851, 3.382780905819289 60.9697634940148, 3.384481065935622 60.952997271426035, 3.381848548125957 60.92743396013548, 3.383092846115363 60.88817922032942, 3.38124857775132 60.87563980145837, 3.3803649341987922 60.854005804957886, 3.3827216333948305 60.83870067770924, 3.382445159220309 60.82787414445291, 3.3802421990845675 60.81266814554372, 3.3820061365706895 60.7709871741128, 3.382273086189696 60.74561464662316, 3.3785967067959195 60.72934810312221, 3.3788071556994534 60.70830160864621, 3.3779709834892895 60.69950838184881, 3.37592077600572 60.69018487629203, 3.376504560987115 60.67432657520458, 3.3753646170917464 60.66132175647101, 3.3714182916589293 60.64587921742628, 3.3715713883183196 60.6226391881461, 3.370418808309397 60.60499933435139, 3.369268180546799 60.600181171316635, 3.3597410039294595 60.5760025693117, 3.356536744401816 60.56340591320805, 3.3532057786795852 60.557344083931305, 3.345279347989877 60.5476504659061, 3.3240438579901035 60.531559185660484, 3.300682079642526 60.515635731140485, 3.282358438439253 60.50493486214748, 3.2609818019447743 60.488809247282354, 3.2298410553365464 60.470119933555196, 3.170495063566217 60.42807960522853, 3.1233680792447562 60.396446326663835, 3.1166119253331637 60.38970159767318, 3.079377328322243 60.34205754789581, 3.077626587173248 60.33710204413744, 3.0322829970271283 60.07278245829359, 2.664302445883573 59.239975130681586, 2.289287471492959 58.75941515474237, 2.034339921087082 58.43834759060378, 2.030182684178442 58.43442970075392, 2.023888448104477 58.43041259822925, 1.9164397893768848 58.37203959978089)</t>
  </si>
  <si>
    <t>2006-10-01</t>
  </si>
  <si>
    <t>LINESTRING (1.899695221113172 58.36436527043758, 1.8784147277470742 58.35608339708614, 1.850138658654632 58.341038489896164, 1.8409389688885731 58.32889193053247, 1.8254206604383028 58.316987892258354, 1.817204956533934 58.30553737567446, 1.799309087369085 58.29205066522481, 1.7869555250903297 58.27498589443389, 1.764993670007685 58.25877703540146, 1.749683217143433 58.23750107623741, 1.7358973286119976 58.22686252056317, 1.6188505027315663 58.10889481118326, 1.6125886598478378 58.10165547269084, 1.6101848864723851 58.09512920791515, 1.6102523595573162 58.08450582652492, 1.6000687353883531 58.047421366318446, 1.5013792065167715 57.84171876517869, 1.4040590209838884 57.63632581368914, 1.3179819853842516 57.51537844049209, 1.29433545304512 57.44339959195478, 1.1896400889962824 57.223380512825265, 1.187218640410845 57.208822969644636, 1.1685140002338135 57.04565799932774, 1.1688008648754984 56.807433667010045, 1.1680780376993984 56.80277649561659, 1.166123156518566 56.79867132827492, 1.1590063798473484 56.788821896865095, 1.1120108933437145 56.747194865586714, 1.107709988244552 56.74221363897368, 0.9372868461785486 56.44282315190418, 0.9361600473351338 56.43712394120704, 0.9374433255271666 56.43100874594434, 0.9404375971719453 56.42611961415787, 0.9562207131693672 56.40818519010667, 0.9584770060263339 56.402298014848355, 0.9582082510818832 56.396023795107276, 0.8252127156613631 55.972768641740736, 0.7029410893581942 55.57533666453199, 0.6506142793224539 55.05845672177157, 0.5901340949215869 54.44661982830093, 0.5385180611860005 54.329051369838716, 0.3965376078347606 54.16261624745859, 0.2969573911825778 53.959658493290895, 0.2740877003561589 53.90673851599404, 0.266623964650687 53.89413602111301, 0.1891298583283023 53.72956281570764, 0.1795411137006649 53.71570425739035, 0.1712915183957134 53.69839260535605, 0.1678125985223448 53.69372441440906, 0.162787629415652 53.68945121737258, 0.1283854800068933 53.67071220389232, 0.1225264955098541 53.666328993356274, 0.1145815833180996 53.65843864590715)</t>
  </si>
  <si>
    <t>Norne Gasstransport</t>
  </si>
  <si>
    <t>2001-02-05</t>
  </si>
  <si>
    <t>LINESTRING (8.076739809297488 66.0290992001487, 8.049952275789764 66.03461122233705, 8.035274630789567 66.03578610056198, 8.020745093151788 66.03552691927945, 8.005136630697196 66.03362665528284, 7.9916243513180385 66.03027735399247, 7.980457256940544 66.02558502288387, 7.972929349330346 66.02022070578727, 7.969554515997286 66.01604748821262, 7.968156733270531 66.0122253088075, 7.96428376514426 65.98140094910526, 7.9653086077705195 65.97001747590772, 7.9644519857133345 65.9641962177665, 7.942484711062593 65.91358780424298, 7.937239044184883 65.906003419779, 7.896733556792352 65.86248309230324, 7.885406442938344 65.84367615932851, 7.8844501200532 65.83346771392577, 7.881150449543889 65.82695939843613, 7.878190546808611 65.82396023617277, 7.864722738061047 65.81391265092375, 7.837636371099828 65.80448193205186, 7.828952414651774 65.7991486033899, 7.792946698166718 65.7611895676376, 7.7632301135033455 65.7246886685379, 7.756237371962055 65.71716626704935, 7.751546688410944 65.71005491009879, 7.743322892885875 65.70263849870216, 7.738034904854274 65.69959430736218, 7.714613695874004 65.68989662049826, 7.6910600134438365 65.67252360651625, 7.665076124627933 65.65681363456532, 7.617081927697724 65.63362708656271, 7.551842006791016 65.59710977056594, 7.511467699108599 65.57969855702473, 7.465527269203192 65.5610662259892, 7.385117687556028 65.51147217787529, 7.287001952985897 65.46914122757471, 7.26798671189772 65.46238871704533, 7.260522735840396 65.45800944362855, 7.257023876196616 65.45407223588359, 7.242717150681102 65.42772695397366, 7.215395845411127 65.37347134086356, 7.208600948218103 65.33887780173625, 7.206963770594495 65.32587723438796, 7.202632686463978 65.31002251496722, 7.200227812604905 65.30685635306799, 7.156537079376469 65.26442704817285, 7.15054808814501 65.26104683484508, 7.1279918556371085 65.25224919695133, 7.109142767445553 65.24333059793251, 7.073263195053345 65.217534086688, 7.061720612881881 65.20507442560248, 7.024843484883916 65.17211360186565, 6.985108536241274 65.1497961918335, 6.9600837249260525 65.13341520619272, 6.950211905367923 65.12537275104032, 6.934112979023002 65.11554514688243, 6.903849653220438 65.10400130210719, 6.871178380308759 65.09037434117272, 6.862755247975175 65.08778813231534, 6.846844815577928 65.085628852136, 6.799674199493331 65.08422923098904)</t>
  </si>
  <si>
    <t>Norpipe Gassledning</t>
  </si>
  <si>
    <t>1998-08-18</t>
  </si>
  <si>
    <t>LINESTRING (3.3290292860187574 56.489709742026285, 3.305546804781628 56.51203524273058, 3.284842350708143 56.5354888160289, 3.2749758273122316 56.542294936603795, 3.261916303978955 56.54694794399001, 3.2445327335121013 56.549902840591834, 3.2366435192292764 56.55009975366412, 3.227394481609175 56.54814556522217)</t>
  </si>
  <si>
    <t>1977-09-17</t>
  </si>
  <si>
    <t>LINESTRING (3.3290292860187574 56.489709742026285, 3.330676444777829 56.486726657455016, 3.3424942583349124 56.47371234349503, 3.3466835075679904 56.47010726739637, 3.3579143381240786 56.45623691671912, 3.3714012584881563 56.44155356452933, 3.3906724879526906 56.42276113772779, 3.500879958309773 56.30318627870742, 3.538557411491352 56.264666384736444, 3.6118027526864562 56.200712027635284, 3.617145022389291 56.197272971205486, 3.632026916265012 56.183916683072184, 3.6470438822864732 56.16872733304711, 3.6602286326813025 56.15796611503218, 3.6874852624572165 56.133601591060824, 3.6924105188970278 56.13020453122605, 3.732323963684818 56.092867706920444, 3.746171744326769 56.08168748240841, 3.7673570726015866 56.06098101441544, 3.7897775378020495 56.037433462847105, 3.7961808790999045 56.03276637649111, 3.8818753890969773 55.94471133785859, 3.90155955962649 55.92695895535068, 3.9354507273911428 55.89219915248219, 3.943859218329518 55.88482999659486, 4.000729775000716 55.82842871696599, 4.009163257640626 55.82126156848398, 4.0201009632657625 55.809786300960184, 4.059361351803726 55.77244947357689, 4.073331257970057 55.75759312533259, 4.083434855224062 55.74842992784704, 4.162088622104297 55.701162216958906, 4.181978616239381 55.688030996722, 4.189575955366003 55.68413095086749, 4.241700454113648 55.65257847170792, 4.544898599545277 55.46494113096292)</t>
  </si>
  <si>
    <t>LINESTRING (4.555543700984773 55.458301808769356, 4.650384162399258 55.39868748851234, 4.8079166879876665 55.30126396665721, 4.8192652574455925 55.29343082925558, 4.936497867206868 55.22004066589839, 5.034094569035456 55.15764765311913, 5.045064058330728 55.1517475770384, 5.115123448024602 55.1062918272438, 5.124404923711334 55.09948070115307, 5.178745507185681 55.06540515960004, 5.191610074909951 55.05860507429792, 5.2905348748623675 54.99341198121595, 5.345942518048307 54.958061408333, 5.363632327437174 54.947769259017264, 5.3856224342494965 54.93198597237713, 5.414015721189716 54.91578274335029, 5.435746821952378 54.89993245156406, 5.463482103050209 54.883346202176995, 5.483977127802918 54.86875193897939, 5.529157276279768 54.839806467663415, 5.5381547380845335 54.8330203393477, 5.580245669092001 54.80807796844945, 5.6045830002358406 54.78720253654166, 5.631781399446805 54.766480141792954, 5.673997750851817 54.72883234475741, 5.694370789990234 54.71350105569486, 5.718775089698997 54.693448652761596, 5.727820610078458 54.68483946389196, 5.741073303883913 54.67428925655231, 5.750004819224051 54.66572806808691, 5.7835066402528605 54.636955473548426, 5.831677707560235 54.6122221773034, 5.867968296463304 54.59259392057246, 5.887686107724785 54.58350183376937, 5.98067607740759 54.536121272780754, 5.9987348705370165 54.526215140109315, 6.028643076035905 54.51153546562834)</t>
  </si>
  <si>
    <t>LINESTRING (6.039301167830125 54.50510521442703, 6.04343482142148 54.5020348229678, 6.069416034794971 54.48550955583884, 6.084983805487862 54.474250350345805, 6.102828607588238 54.463839198286756, 6.117974362229504 54.452713992650715, 6.13477813960399 54.4422088259877, 6.142297520862314 54.43647171675608, 6.2393021009702485 54.37271865069528, 6.263970230829005 54.357532413852404, 6.36868917207517 54.28828624888128, 6.411518815572208 54.24025711608296, 6.455716602766651 54.18861187908468, 6.471372466295029 54.1741785695788, 6.4953016272830375 54.1571162627455, 6.532534557694476 54.12657765287666, 6.541851068552621 54.11803847050697, 6.561061011429534 54.103927210582434, 6.567266364932028 54.09780707479565, 6.593451676482341 54.07769269141038, 6.6241972689033926 54.05235118420208, 6.629778533634648 54.04852311774389, 6.638859036225852 54.0399919332903, 6.650509597102145 54.03172578546046, 6.693986822268945 53.99658009153512, 6.699295186134762 53.989318908507926, 6.738751332391408 53.92095007321798, 6.769575828616295 53.86603759216567, 6.773168176681616 53.857768358013395, 6.781254715593925 53.84707909248904, 6.8111351374293925 53.793471647100766, 6.815213404218818 53.78821651787531, 6.818527704221049 53.78123032345002, 6.830414610418238 53.761690807986554, 6.855169663143446 53.71547555376438, 6.879996546110087 53.67473548162355, 6.899916670264981 53.65468803701827, 6.959918524930978 53.64468535132143, 6.98991990651654 53.624685015990714, 7.023203537569012 53.532822361582674, 7.023208907913416 53.35327650078332, 7.18802338147323 53.34547799895728)</t>
  </si>
  <si>
    <t>Oseberg Gasstransport</t>
  </si>
  <si>
    <t>2001-09-30</t>
  </si>
  <si>
    <t>LINESTRING (2.822343823006944 60.48637755543986, 2.819238625765153 60.48484800357955, 2.813665724976562 60.479857741189896, 2.808083035005395 60.4708353241696, 2.7743733532336714 60.426884210607554, 2.769288655486858 60.418266815857464, 2.7639560916682613 60.406940314340716, 2.763056340901885 60.40166010082124, 2.7637721686916965 60.36695678264522, 2.7410110002419406 60.24163470737024, 2.7377857592785984 60.20567229552815, 2.7361920219092952 60.19967204661943, 2.7335121839510212 60.1950178351767, 2.7171408357347637 60.173150793831624, 2.697875298776772 60.13380805114621, 2.6810709577248892 60.111498988650624, 2.616570054261434 59.99485473810632, 2.600937598949472 59.97532279851361, 2.5480828847363655 59.92017503629881, 2.539068154779294 59.90975652712506, 2.5158026657739625 59.88653535214452, 2.4323727999958678 59.79714091136518, 2.4096613258737816 59.773862743539425, 2.344849065194971 59.70257723063006, 2.22451758480264 59.60422599639641, 2.2207947473367002 59.5988577472748, 2.217991212273688 59.58792130090927, 2.2196314968334367 59.583118141585814, 2.2238303654890808 59.57899054577102)</t>
  </si>
  <si>
    <t>1985-10-01</t>
  </si>
  <si>
    <t>LINESTRING (1.844167218716536 61.185321420985844, 1.8544151797612212 61.1735100969537, 1.8601436158227025 61.16870998569168, 1.8677831156663394 61.16376589379229, 1.8784257044334849 61.15879884018001, 1.9441950483914874 61.13333471109721, 1.9639551818155145 61.12335958211587, 2.0909597393781514 61.05407255159421, 2.4005142023408426 60.88234292174657, 2.5515011949876376 60.79771860187375, 2.779058755965756 60.668639548750185, 2.7890594407361387 60.661255392556534, 2.9244341651343384 60.533063194350795, 3.149525616405527 60.40116999724175, 3.1585510903064153 60.39710895606737, 3.1687875628614512 60.39375595734497, 3.1902244269381446 60.38915905282618, 3.354615878428507 60.37671865524025, 3.3710385274755503 60.373457737649346, 3.385151259102972 60.3672766789666, 3.4086797400927153 60.35187938599911, 3.4390375777920257 60.33340406122959, 3.4447909881866883 60.3286869531259, 3.4597031826819347 60.31389557475976, 3.4904714346095225 60.28747495110002, 3.5101709484271386 60.26911049647158, 3.544373096910258 60.24658306508891, 3.562490298057159 60.233387788310935, 3.5779504086774683 60.22042648711208, 3.585336834139601 60.21630142222688, 3.6099461162467286 60.20521830765332, 3.6599022472856326 60.172222673829225, 3.6805834520096097 60.16034447943186, 3.7104474224089334 60.138583022709945, 3.7542220869460685 60.11105552001942, 3.7901524646681186 60.08459595992801, 3.8264673673568357 60.0677987730315, 3.834526828712713 60.063284701549435, 3.882376974972347 60.02826696389474, 3.909942562075824 60.01257270957484, 4.100443356836905 59.88659828396718, 4.123527918103729 59.86853088346314, 4.183228633702968 59.828252092697, 4.2091033213928215 59.809157687785735, 4.236809925545285 59.79284341106092, 4.289135153660181 59.75786473013443, 4.319620944867454 59.73927840137284, 4.347808750744626 59.71896397870245, 4.412281783734146 59.6761248922683, 4.467359690040704 59.6481104906598, 4.474347088577124 59.643907415203905, 4.481827588957691 59.63781527437096, 4.530253229900562 59.58958603160386, 4.538264791457011 59.58246985858145, 4.550690493351881 59.57509172805898, 4.6031300549374645 59.55260850291716, 4.615066756740915 59.54489935403915, 4.637445358721813 59.52418783935917, 4.672934636530157 59.497001236260395, 4.678498110833904 59.49016804501143, 4.694166793058012 59.46330622014112, 4.702103381898934 59.455453018706116, 4.711759952932388 59.449082893339515, 4.938799360061654 59.34300658382575, 4.950051890704025 59.33849054652712, 4.961166354946383 59.335359559549396, 4.972238775580322 59.33317060739415, 4.995328567568457 59.33050177820411, 5.031068770127716 59.326896062054814, 5.044164174472908 59.32638519638624, 5.065453734364789 59.327730496335306, 5.1157678329327 59.33594239374459, 5.127435123479551 59.33705357201233, 5.145680665213971 59.33684577769815, 5.1727196174210786 59.33320895739473, 5.184846127768808 59.33300779164941)</t>
  </si>
  <si>
    <t>1985-10-15</t>
  </si>
  <si>
    <t>LINESTRING (2.2328500878055273 59.57017269735443, 2.23985604363817 59.56336765873878, 2.244217542088986 59.5557764296348, 2.245650848274539 59.5504062464957, 2.244821296122599 59.540891879082615, 2.230474830359906 59.501735228287316, 2.229731228202462 59.49325390106795, 2.2377276344280794 59.40822882103771, 2.245642478762275 59.33415115434442, 2.258623104496853 59.163727969454506, 2.3315714689888742 58.84154795405019, 2.4294717557257828 58.3968938469033, 2.47123769269886 58.202565279912484, 2.471891052123577 58.194968011495014, 2.471877023541268 58.193846915382665)</t>
  </si>
  <si>
    <t>LINESTRING (5.184843019862938 59.332944946012596, 5.1721116061208035 59.33306494487901, 5.144263628879562 59.33673375691488, 5.124668074497887 59.336345513048634, 5.1123957957468855 59.33457830306812, 5.100981592434936 59.33168906099436, 5.092434488491649 59.32844983934513, 5.084326445327226 59.324141582720564, 5.011221030543739 59.263552454404476, 4.983416078637286 59.2444064113127, 4.944027402122258 59.211565720125634, 4.937121562006698 59.20349333711618, 4.909381863374926 59.15623324477502, 4.904403954942874 59.150935988453654, 4.898064995936392 59.14589072560349, 4.884033921157646 59.13844828298742, 4.59043624892652 59.030818817201904, 4.222598904595299 58.89439846347256, 4.1198924828060655 58.8616759869584, 4.107117378932639 58.85602061994826, 4.076039320786786 58.838013569270025, 4.064622221192284 58.83311324704139, 3.9369955361262035 58.79098311454787, 3.881601019441824 58.768067583074156, 3.8710728912129406 58.76437531659266, 3.857342672732184 58.7606860107883, 3.812813821495397 58.751868135503386, 3.7849104369265576 58.74309546660859, 3.759860304463947 58.730564693706114, 3.733454011337372 58.72073000393956, 3.7239709692063836 58.715815705065225, 3.7176270188369536 58.71082144197623, 3.69724138621323 58.690206427808896, 3.6909634569632295 58.68478714992594, 3.6203387198985566 58.63553445799982, 3.606141673311473 58.6278249979919, 3.375629924075715 58.54693916387834, 3.0363966599579015 58.412026993851455, 2.7495043400351014 58.31157773939249, 2.589499556574674 58.254562656641916, 2.574057461424373 58.247371201014936, 2.4784758508557214 58.19158092983042)</t>
  </si>
  <si>
    <t>LINESTRING (2.4721325354982553 58.18379583685691, 2.4725476073516663 58.16074077414816, 2.47752170530007 57.74459990713223, 2.4788890891010507 57.73646563198972, 2.550930569192368 57.58188297432267, 2.6215309049224587 57.42791533762265, 2.701351268730091 57.253015086063286, 2.81255329463184 57.00573267797487, 2.817267711966899 56.99847947882871, 2.822012034388426 56.993590363468535, 2.9982147512125095 56.842065142629686, 3.0696525763318827 56.76793039256551, 3.076317165207713 56.75748810563184, 3.1626038735164483 56.593800400073135, 3.168918359822925 56.585597188438214, 3.171165499697498 56.583525142754546, 3.228211007442319 56.58317880970515, 3.2381493436037427 56.581240860166325, 3.246246692586636 56.57773883401469, 3.252767078954243 56.57221871853683, 3.3290292860187574 56.489709742026285)</t>
  </si>
  <si>
    <t>LINESTRING (1.8297556432426154 61.20193692457381, 1.844167218716536 61.185321420985844)</t>
  </si>
  <si>
    <t>2007-10-12</t>
  </si>
  <si>
    <t>LINESTRING (1.8212863257780907 61.20380475710424, 1.8209631769263472 61.20323097829491, 1.8366340800707561 61.192126168418724, 1.851723087077361 61.17497482258146, 1.8531525868750693 61.17249137699074, 1.8531638563135522 61.169237314027306, 1.8469327194398473 61.15226498707672, 1.8243535782614093 61.12884917347858, 1.8152578449172525 61.11029746359552, 1.7957541593819484 61.088926448070495, 1.78444105955216 61.06620126950183, 1.7657078041124847 61.045536011107124, 1.7586724987705151 61.04059951048421, 1.7500593498457067 61.03681125763887, 1.698425223783683 61.021501611747546)</t>
  </si>
  <si>
    <t>LINESTRING (2.2202473573918815 59.57783967183809, 2.213110145821148 59.586505185399375, 2.2090428595053697 59.58997326360567, 2.2036405609711798 59.59293330568482, 2.196248231438083 59.59539430359397, 2.1076767355094486 59.61577593579078, 1.892148383191021 59.662256916267815, 1.8686005693835466 59.66536973041592, 1.6975387338296093 59.665569865300974, 1.6831364283988641 59.66373461491118, 1.6598311441374147 59.65651605117658, 1.6453758509564007 59.65441078997169, 1.593876402048782 59.65512316535473, 1.3388839574971945 59.644319530452385, 1.3172924464504985 59.64274019732987, 1.3034661832042396 59.64044093600193, 1.2888270405125861 59.63526555721629, 1.275946993638028 59.62912716493873, 1.227021947491085 59.60316157647706, 1.1018826953811245 59.53954861931261, 1.0540187016902205 59.51317203041842, 0.9794605757691631 59.47487265955311, 0.9573386694100628 59.46085785803094, 0.9320746052027312 59.44833207170136, 0.920640634619756 59.44147667191718, 0.8589015465220349 59.409496700105336, 0.8229185508269315 59.3897395097975, 0.7851044617595276 59.37089433003002, 0.7497104930288491 59.35092914002913, 0.7241494152128038 59.33856435660639, 0.6901685166677063 59.31795216121357, 0.5770822616547027 59.2615266334141, 0.5542183226036714 59.24782883606125, 0.4936632942537729 59.215453868499694, 0.481207117030582 59.212312593249784, 0.4694242841062991 59.20247808048807, 0.385526289112243 59.156775324753, 0.3122402285417055 59.11823196923259, 0.2417153037520088 59.07842960397774, 0.2173042843230545 59.065597820145435, 0.170126331326679 59.039066242166136, 0.1330152750052743 59.020134072110984, 0.122082327754823 59.01312567512611, 0.0973822937674088 59.00046089420657, 0.062171334466901 58.980570714064996, 0.0378013142044246 58.96781193421993, 0.0154213978828332 58.95398014094601, -0.0210596252712475 58.9347459690009, -0.1035645520256901 58.888676225770865, -0.1279315703189976 58.875908446394696, -0.1405596001721058 58.86971705801825, -0.1541176895676767 58.86426368452727, -0.1696679120163416 58.860505347027235, -0.1866042816194448 58.859063075901496, -0.238566711430342 58.860806468203066, -0.2557420481727264 58.85856716476681, -0.2705122042891571 58.85387280306291, -0.2810261340049247 58.84676440857481, -0.2868728814544138 58.8383750278851, -0.2881913800601565 58.827240606003315, -0.2881159532070142 58.818399285591674, -0.2844744263507468 58.809388005157906, -0.2664202166116006 58.79389267541945, -0.2601226583915484 58.785639456957874, -0.2584101822872721 58.77662315161027, -0.2612988321109742 58.76775079213963, -0.2688686351587294 58.759552396756874, -0.2943871769998281 58.73620722004678, -0.3404255576303238 58.69840525474867, -0.3820307543170144 58.659108293886945, -0.3913326319190398 58.65151989901583, -0.3986804324318998 58.6433635088986, -0.4075992947129852 58.63565711481705, -0.4317377813943648 58.61183394128526, -0.4663431963769648 58.58083837385867, -0.4734679918011188 58.57267898705184, -0.4985645190484822 58.54915881345012, -0.5140471541792587 58.533094033599255, -0.5484795637698059 58.50202346794374, -0.5723430435823799 58.47812429817116, -0.5896767548371443 58.462646516567496, -0.6804219899920044 58.37614223164384, -0.6877357937522424 58.36801084496164, -0.6961886401020856 58.36017145408073, -0.7029634222609754 58.35186606825326, -0.7209651597740258 58.3365452854398, -0.7464507086123305 58.31314711631274, -0.762334370148448 58.297332343766456, -0.7769749805989323 58.28108757214901, -0.803288564892802 58.25797240363942, -0.8316332312040565 58.23551223274387, -0.8483049185722394 58.21979845474771, -0.8674767095817217 58.20495867582902, -0.9106149973982574 58.166347737522834, -0.9293727707086918 58.15133895865967, -0.9396846954952819 58.144152568556414, -0.9669593233325505 58.12140440358425, -1.009752596873753 58.082613466323004, -1.0379632658756004 58.06022830342417, -1.0560160132824972 58.04501652793785, -1.0639128430609064 58.03706614267347, -1.1364568482042594 57.97633004294208, -1.1523065118255988 57.960462273949055, -1.1714423042153155 57.94562049894077, -1.1886140206768858 57.930180728424446, -1.2246665202406826 57.899820184262, -1.250352092874894 57.87663302952878, -1.3043513404642826 57.83105071545151, -1.311811832857413 57.81590308307419, -1.321379053371838 57.81557794730331, -1.3293618885994363 57.8076605638179, -1.3576309639108244 57.78533900220265, -1.3653897929060732 57.777352618738234, -1.4013863053338729 57.74700407745753, -1.435749754615652 57.71614154011591, -1.453965522418392 57.701090771770154, -1.4886269854933374 57.67034423598293, -1.4968377416767902 57.66048278139606, -1.50647873777079 57.655138467553265, -1.5156266230475965 57.64761508333423, -1.5324263347914897 57.632081317359294, -1.5763916919416878 57.593876400001776, -1.58702264551911 57.58705102147636, -1.6127367551497698 57.57546427918638, -1.6293090606958565 57.57320898412036, -1.6462534776693738 57.57322476403093, -1.6793153934165583 57.575527414314244, -1.7613957871039314 57.583943640017424, -1.7778851767285884 57.58362341359304, -1.7943885140631364 57.58214314615699, -1.8269691252251694 57.5780205758784)</t>
  </si>
  <si>
    <t>Zeepipe I</t>
  </si>
  <si>
    <t>1993-10-01</t>
  </si>
  <si>
    <t>LINESTRING (1.9142427095681973 58.36433032603462, 1.9325662409974538 58.35484203840274, 1.9383805703393375 58.35107197459627, 1.9424888806748513 58.34671386773139, 1.9449812056533624 58.341085694095156, 1.970671140474452 58.13787262731023, 1.9752390931634245 58.11947801762247, 1.981700928385055 58.10478856646904, 2.245581814718489 57.69117015492063, 2.3658071271879457 57.499570779190925, 2.3741999473645032 57.485356374850504, 2.3795475900494063 57.47343301513901, 2.384748472606545 57.45569144648078, 2.386056818606071 57.448269198077185, 2.386807334780063 57.436431785715754, 2.3879938720058878 57.11073225022503, 2.3896694363859385 57.0980398223435, 2.392008889227447 57.08848351336151, 2.397247609430104 57.07424207430163, 2.4029292093403565 57.06321075401834, 2.409104777729052 57.05325747783625, 2.501740509576659 56.922617998708745, 2.6511859669155684 56.70921231406008, 2.8622844625760844 56.4037601905823, 3.173341099334298 56.154666255428225, 3.256047779649187 56.087728921156234, 3.27241276731688 56.0728065993516, 3.2829104822914283 56.06106731816471, 3.293914347963523 56.04566691669549, 3.3926842547100544 55.87605124048241, 3.4034303067295473 55.85522565140453, 3.407505830773987 55.84395231217095, 3.411067525083488 55.82772479693309, 3.412093027230579 55.81489936883415, 3.411451470212081 55.80250093593298, 3.3610944256035946 55.35804419000616, 3.298404019965438 54.78877631323162)</t>
  </si>
  <si>
    <t>LINESTRING (3.298404019965438 54.78877631323162, 3.28085414095209 54.628432771002274, 3.209498703522583 54.17824208553879, 3.1353648208748073 53.69755557799866, 3.090372769814031 53.26262708949295, 3.09036527384928 53.24679858434184, 3.091426591254613 53.237629304027244, 3.0945071241043154 53.22320687943221, 3.1204078736011764 53.12453703463878, 3.1961029755918693 52.82767850072616, 3.204087151153907 52.795869589368316, 3.206159634617467 52.7818331710049, 3.206452062389697 52.768212745686036, 3.205333416984055 52.75586234445874, 3.1728838967025257 52.51931556371773, 3.1726122500297187 52.50749619169142, 3.1733405370255374 52.498628923231855, 3.1838063372182033 52.41448241952888, 3.1834988247411724 52.39812090696865, 3.1552000473017046 52.16870747677852, 3.151361374159261 52.15472400173724, 3.146761612184605 52.1431125915034, 3.1257142393792057 52.10544719266412, 3.120998458998452 52.0943407972862, 3.1176786902232076 52.083940439521804, 3.114874015501233 52.07077400252987, 3.0810803156475903 51.83035425008762, 3.020509736976767 51.63031447988052, 3.0175880503974843 51.61716104808776, 3.016710310459683 51.60747774461323, 3.0168295284413094 51.6000415205279, 3.0184939240700643 51.58769616508144, 3.024041556111355 51.57026869942282, 3.033214577303187 51.553133333998424, 3.0466623614122517 51.53659399699194, 3.0572999042959186 51.526149808606895, 3.216901291690337 51.39470273250931, 3.2326830466986243 51.3807805002686, 3.2358993117496877 51.374083339192644, 3.2359664645167823 51.36883318524507, 3.2284748483936863 51.34967653644988)</t>
  </si>
  <si>
    <t>1996-10-01</t>
  </si>
  <si>
    <t>LINESTRING (4.837005844956142 60.54485553637879, 4.795850487918225 60.52682286614312, 4.686804118520753 60.48796707228162, 4.674613046217023 60.48198569702206, 4.665468092189737 60.47545533706807, 4.657699296478629 60.4665349018217, 4.649790792570581 60.451565232811284, 4.645554948502338 60.44578696049628, 4.611286597477308 60.41154123770174, 4.465852309758188 60.28737374569085, 4.426457931495699 60.250443863299445, 4.379121407267921 60.21265018021663, 4.301686453516901 60.14574966033689, 4.262572814435279 60.115298011393826, 4.221062716990422 60.072511862448735, 4.186763039599055 60.04565841222037, 4.143177652817658 60.007419413277454, 4.121650075688167 59.98609633357808, 4.081192502454091 59.95345058818797, 4.015473742331071 59.889288331569276, 3.9597130758262993 59.84941412401974, 3.8511367913467915 59.74996200259428, 3.8210041361559113 59.72501868327119, 3.7105140745527105 59.619608323156974, 3.6993843344704875 59.60764373292337, 3.681831486103405 59.594096003066966, 3.6606117985380537 59.575050020318415, 3.622996013686165 59.54827654228619, 3.618001118850998 59.54313728637788, 3.6078465014972076 59.529192634486535, 3.6007626138551805 59.52266130019604, 3.586174609658584 59.51408879552411, 3.5420962276229564 59.49585155930575, 3.5307120942248122 59.49186526726899, 3.4905533737398677 59.48299743240007, 3.43352416964436 59.47419338892111, 3.3795343938290343 59.45835911874315, 3.3069670452149658 59.44347965163291, 3.2764666697412266 59.43328488683194, 3.266221607660197 59.428536580229235, 3.257349615971988 59.423139266479275, 3.203269919203551 59.38500715820529, 3.096108994359974 59.29956661410607, 3.0101937397097114 59.23345406434842, 2.884989049518236 59.13235772054264, 2.4740776566508633 58.793230970703654, 2.135442585118323 58.50987227341342, 2.037537313522119 58.436609353552484, 1.9597761898816142 58.39368780062553, 1.9167101890031402 58.37189828757291)</t>
  </si>
  <si>
    <t>1997-10-01</t>
  </si>
  <si>
    <t>LINESTRING (4.837025274409104 60.54484442710732, 4.79600849605688 60.52675386537289, 4.690991214533179 60.48857014542534, 4.6821241479705815 60.48450388340246, 4.673907149960307 60.47943759074207, 4.668573217985461 60.47478734849486, 4.66269036747969 60.46813802296197, 4.652342027056966 60.44833413928146, 4.649158154338903 60.443783926664466, 4.643041280999307 60.437450610633384, 4.466644359831789 60.286826734256806, 4.428376969158718 60.25084090142899, 4.385823400967716 60.2167524203511, 4.354990974265948 60.18698489851258, 4.346875196419158 60.17771844327391, 4.34214141714632 60.1704851077982, 4.33862569450566 60.16283677157122, 4.324577184049836 60.12458113436963, 4.319476461062018 60.115978742349824, 4.310644715260088 60.10561423685227, 4.252128572150049 60.05355952400782, 4.217262219292567 60.019759802454665, 4.182745985828416 59.98372400097168, 4.10426452481343 59.90580506165865, 4.049182120887763 59.86089967140761, 4.007965963559841 59.819183575907054, 3.9553672099143466 59.76238076865995, 3.843169399478807 59.65057714348066, 3.8118697620802036 59.62445676754688, 3.7794875792224025 59.58828799948678, 3.7712536862200463 59.581169628505464, 3.7331379958438973 59.552054056336736, 3.6605392860544788 59.482031515384385, 3.6499055231216375 59.47076595911007, 3.613140732566613 59.42366373029706, 3.565774565640968 59.37802642638211, 3.5358253363229917 59.3440397781186, 3.5020587040709485 59.31619131331672, 3.4735430737724835 59.29142503003164, 3.442843638941023 59.26123751712624, 3.415627017542261 59.237035272272855, 3.408494200763847 59.22892187989936, 3.386511036561653 59.1981854568201, 3.3802952074974892 59.19086810590249, 3.2365810797353984 59.0441928431422, 3.2144813545966504 59.02514185831441, 3.1563155348216227 58.96522490460437, 3.1489326981461896 58.95732451895713, 3.1331331773149595 58.937639590736126, 3.047051935534112 58.84848220946802, 3.029035216554176 58.83166636164083, 3.0150684984097227 58.81724965346932, 2.7397912445553745 58.527867541119114, 2.6696427329639922 58.4532489247847, 2.6523601942368003 58.43276695773868, 2.4603803281927266 58.22634000965597, 2.4572644715163023 58.22128878655949, 2.455714634636524 58.21673760134398, 2.4553308374927534 58.212003424109895, 2.4560150533702836 58.20762027307384, 2.457598285939934 58.20340513944662, 2.460565572392319 58.19882300982814, 2.4662345008783793 58.193068517562985)</t>
  </si>
  <si>
    <t>2010-10-10</t>
  </si>
  <si>
    <t>LINESTRING (1.6982214376200755 61.020280858941206, 1.7267241024355358 61.01867899645538, 1.9533834732742261 61.02446144091837, 1.9676713033607358 61.02551833868281, 2.475536995079691 61.100532402847996, 2.5882319493584895 61.11812410778957, 2.699230403180186 61.13339636279034, 2.765852863112952 61.143968155992596, 2.837880759365112 61.15298737553409, 2.8800554702923673 61.16038871739836, 2.93533902956544 61.16841967650518, 2.982565622870697 61.173715287520345, 3.075739225350611 61.18785048287746, 3.167216554147966 61.19981882275721, 3.352669818545554 61.225838437091355, 3.3990620645763547 61.23310630886401, 3.565645582030296 61.24688001949014, 3.60659091584716 61.25130194534965, 3.6695369910996143 61.25571652029352, 3.907631304462643 61.27483572447029, 3.9206718871854447 61.27700272164218, 3.9323717189576364 61.28069945568047, 3.9422882694509385 61.286124291789626, 3.9484376698595773 61.291942010785526, 3.951360929082193 61.29779402147878, 3.951413266386852 61.30429452037035, 3.948732327272709 61.310115942268915, 3.9432351281962514 61.315460473018405, 3.936496508861485 61.31963764544855, 3.9284201247871104 61.32302512710385, 3.9032744896393186 61.32971726093207)</t>
  </si>
  <si>
    <t>Equinor Energy AS</t>
  </si>
  <si>
    <t>2003-09-23</t>
  </si>
  <si>
    <t>LINESTRING (2.2335530002846897 59.5705101974623, 2.2423881391298455 59.562872672494805, 2.245681420660527 59.55905457129581, 2.3066871627643484 59.45705752671195, 2.311907682740358 59.44944730831283, 2.48597241329532 59.288177492300726, 2.496703205668375 59.27799924848552, 2.4998784866522508 59.274024140400456, 2.50221181584029 59.26856496628287, 2.5021631339348036 59.26195771917296, 2.488068608799875 59.2232680979675, 2.4851710170766546 59.213123683218605, 2.485689447922298 59.16914939567933)</t>
  </si>
  <si>
    <t>2014-04-07</t>
  </si>
  <si>
    <t>LINESTRING (1.748853694830363 58.84180861413989, 1.7570418929767202 58.83730810784387, 1.7595569656928067 58.83502797978119, 1.7609330663120362 58.83250012639844, 1.760536980370099 58.82820812923682, 1.7561922231784262 58.823166453243985, 1.755046574285578 58.82041673021808, 1.757188364624366 58.80813579235503, 1.7705785933422062 58.75898624342778, 1.8169386452633574 58.60912447281071, 1.8406736156500592 58.55663757906912, 1.8701136519019812 58.44297070707488, 1.880384690599085 58.38237242695622, 1.8830699124805093 58.377900554872326, 1.8882537136716968 58.37370757166951, 1.8939604854430843 58.370959984827216, 1.8971415293764529 58.369919946952315)</t>
  </si>
  <si>
    <t>Haltenpipe</t>
  </si>
  <si>
    <t>1996-11-11</t>
  </si>
  <si>
    <t>LINESTRING (7.318461614481368 65.32122893713415, 7.33375038472155 65.29709952234711, 7.342616905821159 65.26454325563815, 7.344963280655608 65.2602561028032, 7.367660621767677 65.23783942692732, 7.385516296886071 65.22264899819167, 7.401175107897205 65.20419340615602, 7.406209827507114 65.19619712904372, 7.40772828858302 65.19013189174659, 7.4088975774649715 65.141446857907, 7.410777959032364 65.13674668246688, 7.426424443487452 65.10796765719465, 7.427825752361944 65.10408351048218, 7.425443574304631 65.06012963610573, 7.425746043468031 65.0531933484176, 7.4277603980797915 65.04893619339387, 7.438773788007536 65.03395969431806, 7.452420012638636 65.00772875402608, 7.476404854147889 64.97776677911867, 7.507181895650361 64.94843091054678, 7.549120466610453 64.91710408964857, 7.60010138081955 64.87001371434754, 7.700126342589819 64.7874464280769, 7.730683778483152 64.76676991993347, 7.751961599436766 64.75038948313744, 7.756096006608244 64.74636836321, 7.765864182371249 64.73351293960609, 7.769806582593431 64.72948381712425, 7.8705285453406155 64.6458794964991, 7.875757208415027 64.63838724441732, 7.88062733940962 64.62327266996131, 7.878184772761367 64.56735430818667, 7.886951394030519 64.51464021220487, 7.898730482147897 64.48801323945713, 7.919053446953454 64.46823665147153, 7.9364767703431065 64.4570523877346, 7.955341975480427 64.4485912540606, 7.961147401576005 64.44509617579943, 7.97434892438393 64.42821262583018, 7.978707353155376 64.42382549368612, 7.984853819665085 64.41986540002168, 8.019306161912022 64.40204305699409, 8.02304548646333 64.39896797228431, 8.025299772604406 64.39564886024691, 8.026123042965356 64.39175070757322, 8.0241482885044 64.38662347141741, 8.010417888454105 64.36889957536586, 7.987659411679648 64.34714640756367, 7.976180357611858 64.32508135760904, 7.936844801135091 64.2786239725429, 7.9336560032435965 64.27346572145696, 7.932839184883897 64.27002456913378, 7.932525803723988 64.24338945995622, 7.928931163728447 64.21902040728779, 7.925838675596399 64.17597358649213, 7.910202589553781 64.11878103601508, 7.9018156373933275 64.07998333284952, 7.892640169997592 64.06576163824302, 7.891353380606096 64.06151244755924, 7.892085615901836 64.05804031238522, 7.898415776518347 64.04249874272394, 7.901770140128716 64.03843261333964, 7.910751920095415 64.03075739976117, 7.913635334608082 64.02556121822086, 7.9114545337311935 64.00430431422303, 7.911684834553827 63.99942511521379, 7.9271781199789615 63.953689404546616, 7.930276493915641 63.882088484832835, 7.9314948170773345 63.877369304218654, 7.9456583044739135 63.8438260843078, 7.9485754209819275 63.82668541136421, 8.014146328901868 63.73146724474912, 8.016867016750195 63.721350859713, 8.023995364445506 63.68545646503024, 8.023137971393066 63.674535006049084, 8.024584281366359 63.67008683977663, 8.027881609660923 63.6664357275623, 8.032304933759816 63.66353265904695, 8.064570850621257 63.65002047424687, 8.071871374258505 63.6454123686585, 8.074622661453931 63.64212826525954, 8.08267677825767 63.627749766792334, 8.088686479053655 63.602030779109846, 8.090759801750933 63.5977086253672, 8.095040184145413 63.593687509315515, 8.120231116193356 63.575502051381115, 8.137944832607504 63.556481473492774, 8.143763268761552 63.55244137431004, 8.169243961207581 63.538510094307675, 8.181821936657444 63.529186855669124, 8.204339130842309 63.52209482226327, 8.215482037530451 63.5130765796763, 8.22118644041582 63.5095254992079, 8.222504682554916 63.50610337389011, 8.220155815068441 63.50235719336815, 8.219334960262273 63.4993210594475, 8.222454590226812 63.490218721780444, 8.22249471732553 63.48802163213538, 8.22595911803635 63.48313047115122, 8.226366482697806 63.47700022443827, 8.225160691760237 63.47260503045262, 8.22135378250558 63.468690826475765, 8.215723814361628 63.46469359827076, 8.216969153636445 63.459512400119735, 8.213539450475835 63.45221506183149, 8.212537710879966 63.447037838210036, 8.216846189296055 63.441281651562925, 8.221750514206594 63.43858059691844, 8.223608693512942 63.43657053578532, 8.22445786593525 63.43406344276229, 8.22291410538334 63.428914214160336, 8.224226297491454 63.42634312381759, 8.227801569100036 63.42376005883688, 8.237751154758561 63.41956000041071, 8.239614306928777 63.41802595884608, 8.241980655089115 63.41335279444594, 8.25004618450378 63.40898170748901, 8.261956814227872 63.40520068856975, 8.275210364968512 63.403633775617074, 8.321824054625365 63.402489260252025, 8.364242678574907 63.39993763894423, 8.380554192771372 63.40090686434077, 8.426282751084656 63.40157541196985, 8.580092933470421 63.422734025411216, 8.605075485155812 63.428460543335675, 8.621436019493126 63.42915075697243, 8.635306614573272 63.42722083490548, 8.644621114941899 63.42413881397204, 8.650306483129674 63.421143755510485, 8.66359056544714 63.41019945709756, 8.663484714468837 63.40748734470943, 8.656598515467143 63.39855586322732)</t>
  </si>
  <si>
    <t>Heidrun Gasstransport</t>
  </si>
  <si>
    <t>LINESTRING (7.30529174068814 65.32450341419975, 7.283737651811677 65.33118841253551, 7.273684968921583 65.3327752744454, 7.262379175487817 65.33343892657577, 7.250969020613213 65.33308019434197, 7.242131075424988 65.33189748381434, 7.232185471584411 65.32960845151834, 7.224096314871682 65.3265717286911, 7.216041632783841 65.32143683384581, 7.156886937793015 65.26390044515261, 7.151290788605242 65.26068826855959, 7.119775422191403 65.24720618721375, 7.09995481299845 65.23525781718993, 7.073067683037729 65.2164197304961, 7.062554767117117 65.20494451304654, 7.025891635826097 65.17199896750274, 6.962672305985938 65.13447527750131, 6.951348568538194 65.1254797080535, 6.9360850909654514 65.11601868022859, 6.907900959890361 65.10363531797788, 6.870002008286876 65.08922996514312, 6.86183174642369 65.08680361900635, 6.84569703983327 65.08470525470928, 6.799675372884323 65.08422403378502)</t>
  </si>
  <si>
    <t>2019-10-05</t>
  </si>
  <si>
    <t>LINESTRING (5.052648426736198 59.3262712915409, 5.033053937438196 59.302158157380525, 5.02759198408168 59.297569921312366, 5.020670964262904 59.293517688254596, 4.99728874844768 59.28315502566964, 4.8919904773744225 59.24326829590808, 4.874472188743006 59.23837290689208, 4.862877930449605 59.236638705766374, 4.851029620796167 59.23588953849703, 4.801411107422143 59.23760601931793, 4.767481199889027 59.23595255818535, 4.619384958329398 59.21287494968954, 4.052397587915658 59.1210858289414, 4.030028153288409 59.11670838971955, 3.9635067324858464 59.10648718764104, 3.9302700986332475 59.0997735267509, 3.9040365022093995 59.09654708241233, 3.869797792507216 59.09087744783898, 3.8476623853809824 59.08611299646096, 3.8184657514331937 59.08191747895933, 3.769809803819088 59.07262053022576, 3.7444942499980685 59.06909908555294, 3.712776635892829 59.06299146503518, 3.675814836741347 59.057680809112085, 3.5840479903334264 59.041633072977035, 3.4754897594887626 59.02380306052803, 2.7770859357162228 58.90187980343675, 2.67081077157894 58.885233850512655, 2.6119980120051167 58.86676442654716, 2.571878271970075 58.858919630873345, 2.5654711865436597 58.8569714780742, 2.559608183737319 58.85358427892615, 2.556260284298428 58.849474084765205, 2.5555374231481762 58.84609095058822, 2.556143175679374 58.8413428550527)</t>
  </si>
  <si>
    <t>2021-06-30</t>
  </si>
  <si>
    <t>LINESTRING (2.0158205937851323 59.89440622107269, 2.015826966102272 59.89440352105264, 2.0717590136534745 59.9284717929583, 2.0943589835565954 59.95516871264985, 2.0967119929738187 59.95939894086962, 2.0973894242988402 59.963583271840015, 1.9989481993541087 60.46535418773628, 1.99950001166334 60.46917089773931, 2.009715195425002 60.49066237145234, 2.0096610076405046 60.501502547346135)</t>
  </si>
  <si>
    <t>Ormen Lange PL-A</t>
  </si>
  <si>
    <t>ORMEN LANGE</t>
  </si>
  <si>
    <t>A/S Norske Shell</t>
  </si>
  <si>
    <t>LINESTRING (5.385026841800048 63.52771352080978, 5.385139834378202 63.51604773682606, 5.388026859190845 63.509061987177425, 5.388172881668789 63.50514681945144, 5.378218650591668 63.48636071378721, 5.377352205374424 63.48270043424778, 5.3806179926604285 63.47384846336836, 5.387063051704126 63.46795743155446, 5.395662378659577 63.46421458326474, 5.4161596421511655 63.45908625250339, 5.431006240227388 63.45214024932756, 5.4511596509956775 63.444173748724516, 5.479271956717393 63.4353907209537, 5.499461854977371 63.43140808270337, 5.5222930121273 63.42447323609101, 5.537946037736988 63.422597208620815, 5.5600006462318605 63.42139456569343, 5.588861956881375 63.41427727399151, 5.611646338657861 63.410013385001605, 5.620280431311801 63.4073532307487, 5.6384828386759365 63.399646676345235, 5.6463130754072015 63.39425992143213, 5.667356718059981 63.37420580886264, 5.690395965185813 63.36093885636479, 5.70350220862278 63.33505680159911, 5.7066888145609616 63.332731635375325, 5.733992581235468 63.31886335967167, 5.7363080288767065 63.31628375263916, 5.741433634690754 63.3053250888667, 5.74344720003422 63.30301512918177, 5.764360463013253 63.2890475927011, 5.776693178531299 63.28267522178736, 5.787728748624203 63.27090332600102, 5.792154964631033 63.267213199208335, 5.893657694852646 63.19950231604897, 6.026820320658352 63.11699983024003, 6.158103893230328 63.05567002778803, 6.176327961677209 63.04862436893469, 6.299550360331841 63.007030716259614, 6.423505233769268 62.979325040808355, 6.451972416089946 62.97373162053802, 6.502224777430908 62.96664992674438, 6.602576801967038 62.9578746535206, 6.624084757916514 62.95453003114442, 6.637940737085322 62.95329342401721, 6.733614758924942 62.95509346060611, 6.7435828710271615 62.95442699057837, 6.752622089653981 62.95268826621979, 6.764323919921913 62.94793735111823, 6.768320877415628 62.94494049666481, 6.770992012255779 62.941609423139106, 6.772855042489777 62.932601510374, 6.768891678054969 62.92215683122717, 6.76874598616065 62.918700079645625, 6.771278938818727 62.914058061514176, 6.776911564799459 62.90977870439287, 6.784844980782754 62.906564237311215, 6.794614773628248 62.904586051742456, 6.834806455240972 62.900993047006054, 6.865647123595031 62.89992649471489, 6.878703934077648 62.8980502315073, 6.901920784932177 62.89021710601631, 6.9242144199696645 62.877753342305276, 6.954354647397771 62.87023533015834, 6.960491221555395 62.86681849358636, 6.961651837356998 62.86365747928695, 6.959871952010969 62.86071894967475, 6.942172147944282 62.849943187350355)</t>
  </si>
  <si>
    <t>Ormen Lange PL-B</t>
  </si>
  <si>
    <t>LINESTRING (5.3847792228295965 63.52770813759151, 5.383520330741603 63.51758537986363, 5.387348093561592 63.50889554217794, 5.387797712558682 63.50517232594802, 5.37739909475502 63.48491529500453, 5.376258144235391 63.47608842178124, 5.377950775023709 63.47150976586393, 5.382748078394162 63.467610635205226, 5.389054686735123 63.46495808356089, 5.41768041295159 63.45706796874281, 5.424231913594676 63.453764403513205, 5.433750352602124 63.44674569294226, 5.43997761859121 63.44401512709988, 5.471440160572476 63.43517783768079, 5.4971969511317 63.43164179486705, 5.514804066921007 63.42584704161141, 5.524086938240296 63.42370682655227, 5.573762294067051 63.41809615739274, 5.586684608756496 63.414297578577035, 5.616553542949372 63.408246392206664, 5.637091000267969 63.39996046235687, 5.644771292515153 63.394748742762644, 5.667345394936351 63.37338113518495, 5.689266272695471 63.3607489450605, 5.702421944521433 63.33490495244569, 5.705773038204871 63.33249163461647, 5.733054321310529 63.31855256577464, 5.735089092253947 63.316264427218165, 5.740393789429597 63.30513108850133, 5.742399876525762 63.30282106872522, 5.7639679661479 63.28843535312159, 5.775957874858292 63.28227120655753, 5.791133661040733 63.267051720406656, 5.897358287942377 63.19625393850598, 6.025824167429856 63.11684481208543, 6.15805152437147 63.05508273338211, 6.175643060712751 63.04826204612913, 6.299150219364935 63.00660523429876, 6.4209851427866775 62.97935620230633, 6.451725534368909 62.97337146304886, 6.502845793449991 62.96625893824315, 6.60160364881864 62.957708475345115, 6.624086559365265 62.95438214518012, 6.637893157049222 62.953160138063225, 6.733110048736171 62.95500970129278, 6.742740640654133 62.95439373935135, 6.7521078510726085 62.95260568684483, 6.764173076568039 62.94771258024999, 6.767964517789399 62.94479311652044, 6.770605071296374 62.9414497521393, 6.77245804838413 62.93266866843834, 6.768397527390573 62.92194587689828, 6.768294047879579 62.91841874296439, 6.77091065067415 62.91377073557247, 6.776664473855666 62.909506540486234, 6.784834955289511 62.90630073653367, 6.795055063069698 62.904325266350014, 6.8351561168987525 62.900923128269966, 6.852048724230437 62.90074869889666, 6.874780509657834 62.8987583142743, 6.897643913445266 62.891820180882775, 6.902963241847916 62.88950549941118, 6.923456551218415 62.87781265585187, 6.953575033577553 62.86983622491534, 6.959279822599673 62.86668099388668, 6.960641537553374 62.863655777427326, 6.959054840636531 62.86034279492654, 6.942125378462677 62.849959527465046)</t>
  </si>
  <si>
    <t>Polarled</t>
  </si>
  <si>
    <t>2017-01-01</t>
  </si>
  <si>
    <t>LINESTRING (7.105308240859343 67.0554108391106, 7.134766163082987 66.982195031646, 7.138671293377076 66.96973354074339, 7.185695332782664 66.72183142434629, 7.215043574671465 66.56258993388656, 7.215851893625795 66.51893707061639, 7.222434152042567 66.49223400418416, 7.222048531389839 66.4869757741286, 7.2163591328904175 66.46266266392038, 7.222230243837732 66.42402107844482, 7.221910520140291 66.40672033364423, 7.214328068948014 66.38197718364334, 7.213592406271841 66.37705496414996, 7.21443586303515 66.37133672946668, 7.222508135363708 66.34484869235818, 7.2207607645877445 66.26764036988473, 7.219003201506514 66.26078405589311, 7.206104410608492 66.23761691208148, 7.204304764711607 66.23185364441115, 7.201934476354856 66.13871664047606, 7.202231779639783 66.13470147275203, 7.2036791726929215 66.13005029162855, 7.214303089633546 66.10919952912353, 7.2141457040621955 66.07301598479216, 7.21323102945376 66.06803576165336, 7.200438353992062 66.02911795121499, 7.197330304042189 66.00038969093235, 7.2012311843245715 65.9762527100675, 7.203057898968023 65.95328375452927, 7.203040745656326 65.91343705967918, 7.206216242054989 65.79540308342581, 7.204962613114407 65.78948181720905, 7.1900828280279 65.75015097155449, 7.189211200729326 65.7443897168462, 7.190611892607573 65.72105374402449, 7.2004656226307935 65.70162803777079, 7.202204097594486 65.69577281028815, 7.200415182286797 65.6650074855117, 7.2008275531400665 65.65991627475918, 7.208922294088053 65.63927649685193, 7.223401444346234 65.58731846953287, 7.232068098607066 65.53916153548991, 7.227364202559904 65.46247823922101, 7.231109948702259 65.43902329324139, 7.2303212746536465 65.43383606490261, 7.228029547804377 65.42860681698613, 7.19126690934535 65.37415808370035, 7.188228201944738 65.36822079727676, 7.1863515853374444 65.36157649484998, 7.178917119793023 65.30552204421151, 7.180010552998804 65.2997218128378, 7.189674657341678 65.27386683849322, 7.190407090583747 65.26785259393688, 7.1891174804090054 65.26137930611407, 7.180453479425588 65.24186138186118, 7.17905678439487 65.23657714292246, 7.181603875575531 65.19200529802426, 7.179662710761875 65.16357807980731, 7.18663112341827 65.08630691608045, 7.195962037587098 65.06262203223083, 7.205735236596331 64.95908780576374, 7.207737732195936 64.92221328465271, 7.2201902925844825 64.8287125186417, 7.219143330108759 64.78137052716895, 7.220891783672369 64.77534529602016, 7.229788253354683 64.75759765946682, 7.2312576873736 64.75170543066328, 7.232126305971144 64.69609711913476, 7.231635114728985 64.683250577265, 7.232982969941484 64.63951676897582, 7.239636210287465 64.60822754301553, 7.2455292376047735 64.54834511790435, 7.24625041613317 64.53019837092832, 7.248430929378599 64.52333811104522, 7.250010639148637 64.51303470083471, 7.254325489674769 64.50204129415783, 7.256458389875685 64.48901977751832, 7.256383112762422 64.46170764074643, 7.254668171282377 64.44395388248886, 7.258144415928638 64.42615518360559, 7.2614567577085944 64.39076075208916, 7.261189656253194 64.37627914755939, 7.262670346569167 64.36609874226798, 7.261673653905872 64.36062350325724, 7.257051103889371 64.35080704148018, 7.256608403522247 64.3457638269668, 7.259933256664802 64.31797671305183, 7.271960334460756 64.27538708806736, 7.2727257642823 64.26890482833535, 7.24963163247166 64.16083808186059, 7.222605456134267 64.06675887531361, 7.185654012522898 63.92127343953286, 7.178419940481979 63.90174855030666, 7.166505449837964 63.85325341383511, 7.165512101625046 63.84184693276746, 7.159947663268231 63.82928335061378, 7.139245249830269 63.757440154142714, 7.135012724264268 63.7302909892635, 7.123605098916051 63.70059063612572, 7.123189320164778 63.696631468741415, 7.12474785552273 63.67171246438991, 7.124376142599517 63.66666125280001, 7.11273989322408 63.630351627379525, 7.097490005106894 63.56877192545703, 7.097458216092896 63.5481910823525, 7.096802459469152 63.543670889624835, 7.092887227898755 63.52830921501375, 7.076166378161941 63.48185811901274, 7.061732131289159 63.426281678557984, 7.060606502276626 63.40209267743288, 7.055003161547754 63.3874670147126, 7.052747140247337 63.369299246757706, 7.043035190890258 63.32821545708817, 7.029097364470248 63.282391426072685, 7.017157116321628 63.22755505308305, 7.000243336070783 63.16138616334834, 6.995486685459882 63.15245574466353, 6.989586933010771 63.14462535738432, 6.982254107531941 63.137220970704846, 6.972426214994462 63.129509542406794, 6.9621162433164105 63.12289815319633, 6.802335010544371 63.03229660465944, 6.760116437453619 62.99978579170201, 6.75420365592483 62.992435424516096, 6.751279969391252 62.985178096210184, 6.751029407180286 62.97730777447891, 6.755173405297388 62.9621422089243, 6.752966217494982 62.94647654878644, 6.754055768498082 62.93737419312225, 6.758653439319472 62.92822587679049, 6.769220597380009 62.913977424125484, 6.77318392925125 62.910446327716585, 6.78145042671008 62.9065342663236, 6.792739946875198 62.90401629673016, 6.835532565616294 62.90074366541554, 6.865647632264544 62.899736977053074, 6.882964388593891 62.896616053300214, 6.898772272234861 62.89032498358139, 6.921220709264583 62.87813275268204, 6.949677120353883 62.86998675550149, 6.9545734109854696 62.86772972136956, 6.957714707099064 62.86432162019672, 6.957591903426241 62.86073847385415, 6.95493097877148 62.8577953237784, 6.947465981059591 62.85327705394408)</t>
  </si>
  <si>
    <t>Aker BP ASA</t>
  </si>
  <si>
    <t>2012-11-10</t>
  </si>
  <si>
    <t>LINESTRING (7.654035990483208 65.69349295920264, 7.659109859173847 65.67591677535411, 7.65167028483807 65.65827411965985, 7.647545841538488 65.6541322234978, 7.618473743075376 65.63520183369496, 7.58955858938353 65.62185113025252, 7.569938210959107 65.61113514498884, 7.5464651565717356 65.60185683318768, 7.511275922951121 65.58483606326142, 7.458729617380289 65.56222120756979, 7.422131815828707 65.54001720366878, 7.406924201635836 65.52814319666864, 7.369756521374377 65.50618088148265, 7.309325897369682 65.48059734798188, 7.275632838333707 65.46945663519654, 7.257442626497447 65.45839410636718, 7.253688052216189 65.45419724962348, 7.240527763418302 65.42786382579855, 7.219997299426817 65.40715766550373, 7.209795400306328 65.38514548385695, 7.192627711077902 65.36393251163072, 7.181826772736803 65.35618515886705, 7.168701655673612 65.3439121397856, 7.1122643880123375 65.30059616484046, 7.0939925866580555 65.28437454173697, 7.070315515678131 65.25939416990381, 7.051762653743019 65.24323033127222, 7.016467984720919 65.22084285299398, 6.992592434232378 65.20080153434708, 6.978629196541233 65.18871589721067, 6.9701836742711585 65.17576092426535, 6.9521114447066825 65.15952102888224, 6.9413816336884295 65.1517787119523, 6.930543351337684 65.13914525434035, 6.924672692404415 65.13541431878176, 6.909751906121547 65.12900719611015, 6.8924213819762254 65.1238279972808, 6.845873924841699 65.10541218667058, 6.801872447329369 65.09418517487843)</t>
  </si>
  <si>
    <t>2007-08-21</t>
  </si>
  <si>
    <t>LINESTRING (23.585933125302276 70.68557133539633, 23.572907815844914 70.68916119102441, 23.550569287758734 70.69376938619921, 23.541014618117686 70.69701195401376, 23.53446411670406 70.70128456155858, 23.523903644371522 70.71262991350392, 23.52360023155918 70.71442290190926, 23.524616806335473 70.71581915321286, 23.527649543131712 70.71745957237692, 23.565294083510835 70.73145281816514, 23.597269859721717 70.74276034994182, 23.62783616227491 70.75215280420996, 23.64357211738798 70.75993526676233, 23.64855407483068 70.76438344752934, 23.64980313060201 70.76901471302186, 23.64637653564024 70.78036012062509, 23.639867790541658 70.7875167730583, 23.631598613520914 70.79255997230915, 23.61287250414214 70.80126536910683, 23.558224289258977 70.82262060882407, 23.535200753762354 70.8302730673712, 23.52668749326759 70.83427098922445, 23.522275313765885 70.8375517456656, 23.498834869824215 70.86023480232284, 23.45710695592049 70.89238623375289, 23.44146847298388 70.90840858201051, 23.427892425020623 70.91784647387028, 23.419505063744065 70.921668911404, 23.406352880007567 70.92545316409286, 23.390310987080785 70.92804715320445, 23.28364928702415 70.93601940683739, 23.268523029263974 70.93784279887343, 23.19478145950847 70.95464292406963, 23.172557156585622 70.96189864016259, 23.1648641462354 70.96516411075315, 23.15693632818933 70.97100843573857, 23.13849328334635 70.99482836141864, 23.137594592738868 70.99858218998118, 23.137531679880663 71.02385191346193, 23.135326298262036 71.02872730468145, 23.12727224496136 71.03911895813081, 23.0763920200986 71.07450532591987, 23.038486742278412 71.10396348334109, 23.016481232977 71.11843694051477, 22.993390194057636 71.13532902000017, 22.966224873389503 71.15158016744726, 22.9533777052822 71.15747023141118, 22.935735218563153 71.16297876862788, 22.823778729434448 71.19084934844206, 22.75442950112709 71.21333366166402, 22.717217731271774 71.22760862345959, 22.66031518905793 71.2429394670675, 22.519081816938616 71.29559135261928, 22.492308066887674 71.30621940049687, 22.43103915668242 71.32782640963971, 22.2994271699544 71.37652614752695, 22.284649812673102 71.38093603641269, 22.268712800127165 71.38419382666439, 22.213025932733487 71.39315075809334, 22.073371640188984 71.42002173956853, 22.019159226500978 71.42897867823582, 21.982707117455845 71.43813411365278, 21.94017984233813 71.4460916373979, 21.868712464612173 71.4566888474053, 21.82241975411989 71.46627910772348, 21.734999978106327 71.48172108852286, 21.68914408584569 71.49106719806367, 21.46202247133403 71.53007645489589, 21.438316256024574 71.53505850651264, 21.40194443792617 71.54136041333796, 21.348222040518348 71.55268256624103, 21.316378613142284 71.55768744854127, 21.261285095731978 71.56421048110306, 21.246319000487276 71.56694182075115, 21.227307051163574 71.57160345624149, 21.225014298092965 71.57148136408948)</t>
  </si>
  <si>
    <t>LINESTRING (4.834238521222291 60.54968220275004, 4.796252481265164 60.52720488562328, 4.727624594915522 60.50323114581592, 4.713218333486176 60.49974383993818, 4.696566945290574 60.497470553877314, 4.675773358011589 60.49672627704479, 4.659030814723211 60.497565109319424, 4.642365197769645 60.499953001951205, 4.608662832250567 60.507181876809234, 4.458190873288199 60.53665020694836, 4.105440338024752 60.60456184539873, 3.862912751959646 60.6306188148198, 3.776500455422564 60.64453026642707, 3.7620739849172034 60.645323115687674, 3.733946999028355 60.64517934425418)</t>
  </si>
  <si>
    <t>LINESTRING (3.733514481908561 60.64376957063067, 3.7373323613382174 60.64317172161721, 3.7696834737354608 60.640288017104105, 3.8120160225276494 60.63473433470958, 4.108999525970256 60.60298282892029, 4.641325172582125 60.4998309848373, 4.666486134153414 60.49561212334185, 4.682102623126969 60.49519229368774, 4.693318922899099 60.49594045632634, 4.710865351154863 60.497943742699974, 4.720888525363506 60.50052596150751, 4.796564491043073 60.52719688903402, 4.834238521222291 60.54968220275004)</t>
  </si>
  <si>
    <t>2011-10-01</t>
  </si>
  <si>
    <t>LINESTRING (4.836975333189276 60.54487298223805, 4.797375375731224 60.5277003450566, 4.759494896831108 60.5153893921985, 4.727153039701023 60.50327306280108, 4.711905887388076 60.49971744626307, 4.702266393295266 60.498530914640114, 4.681759929948239 60.49737095728983, 4.666868793399878 60.49775607926894, 4.642549206191149 60.50107470223864, 4.403311479050303 60.54802111924173, 4.1080396206412875 60.604775901120576, 4.01022298539398 60.61608187763858, 3.985965690577144 60.61806910774137, 3.948945697769558 60.62484762271283, 3.9105580920726273 60.627086455058645, 3.8772823632076183 60.633346198306825, 3.844200168264267 60.636317546848375, 3.8031657194023523 60.64469442979172, 3.7745025224261273 60.64736064551072, 3.733910491609754 60.64554067208917)</t>
  </si>
  <si>
    <t>2015-11-28</t>
  </si>
  <si>
    <t>LINESTRING (1.3894806370448922 59.47739543438233, 1.387269981347984 59.46310044185164, 1.387656489575908 59.459772560266465, 1.4644627324646178 59.269661377855265, 1.472857514320964 59.25471811368228, 1.5496071621083614 59.16072702118833, 1.560534015751243 59.149280987753976, 1.5794347053685092 59.126813219514204, 2.1213090033187703 58.880457290362635, 2.1318583188457243 58.876523209049076, 2.142443459669605 58.87044783208548, 2.155275278741098 58.86568651815848, 2.165447928684977 58.85976509861348, 2.1782681954569694 58.8549989343082, 2.1886156633091995 58.84900560029669, 2.2012698481628026 58.844306184296535, 2.2114370883082186 58.83838662469359, 2.2213364290022213 58.83467134504878, 2.2279930246820676 58.83099928388236, 2.2346450756073546 58.82871849400314, 2.239898645986905 58.82803300327474, 2.2459902781049035 58.828583788788706, 2.2509963532176234 58.830455594304425, 2.2537943288440183 58.833047147415925, 2.2543184752252095 58.83608096505366, 2.253058288684787 58.83832858806645, 2.2525132586021783 58.83881352741476)</t>
  </si>
  <si>
    <t>LINESTRING (1.9143993643152986 58.364468438442366, 1.9173904614043764 58.36293314114221, 2.002333380060846 58.32729991768154, 2.2304039685719563 58.251683041865476, 2.2683414693356005 58.241147135854945, 2.4627678978090968 58.19033356020892)</t>
  </si>
  <si>
    <t>Baltic Pipe</t>
  </si>
  <si>
    <t>LINESTRING (8.40599954145113 55.744355829654246, 8.177592315602979 55.77635410385294, 6.518139759559453 55.71135025950466, 6.502439404798719 55.70935001634503)</t>
  </si>
  <si>
    <t>LINESTRING (10.79388011885061 55.286368989345874, 10.743178106255938 55.30436900190291, 10.682376288978503 55.30936845834846, 10.645975309356023 55.309368031843036, 10.603374235670925 55.30736746506849, 10.566872677067275 55.323367574785536, 10.540571897933582 55.325367333201406, 10.534471625589266 55.32836736244413, 10.522370649344895 55.34636782581958, 10.51626990595621 55.36236829261592, 10.502069270438142 55.36936836131065, 10.467568197927822 55.37336809012607, 10.467568887024816 55.35436745060885, 10.439268996740388 55.330366310272304, 10.374367038417814 55.33636574769954, 10.317665300907096 55.342365280888146, 10.275062157187168 55.397366628450875, 10.0278531919811 55.46136585622288, 9.794745005683897 55.51436486796232, 9.725142331883513 55.536364778773326, 9.663939955430543 55.55636472164552, 9.554235724942519 55.591364588703776, 9.482533553341405 55.59836396447529, 9.448832469017304 55.60336372838686, 9.3095282775057 55.61636249087426)</t>
  </si>
  <si>
    <t>LINESTRING (15.258841934268462 53.799371683397865, 15.265341996423901 53.804371910696176, 15.069529087597179 54.0883798631647, 15.0356200888729 54.39639014419518, 14.997121051972654 54.53539076029571, 14.99121715879742 54.653394645247246, 14.988212809415957 54.787399111343845, 15.000109619765205 54.89740294284443, 14.95570639639115 54.9584045270985, 14.85210213395644 54.99940480277982, 14.686496600936602 55.02540390214883, 14.520791723293643 55.03140231760456, 14.305984285531643 55.07340141028423, 13.933072207201317 55.1213989660898, 13.709265298208098 55.14039715118643, 13.501459185573452 55.149395163030256, 13.128448287152343 55.164391529434724, 12.878041443112426 55.16138863055466, 12.819440026315307 55.155387771378095, 12.480828957005206 55.205385646989754, 12.324825319261171 55.18638324137793, 12.117819567166602 55.18838095850464, 11.850910234580022 55.24637986725071, 11.76090788031322 55.243378735264315, 11.661904650567571 55.25837810454365, 11.511899042114306 55.3013778278447, 11.403894181859696 55.35537840310444, 11.208987699041675 55.388377260075295)</t>
  </si>
  <si>
    <t>CATS</t>
  </si>
  <si>
    <t>LINESTRING (-1.106095943833066 54.62382372978179, -1.0392610041032484 54.6399780901311, -1.0153186721320568 54.64590858206126, -1.0069915499751043 54.64779274732804, -0.9968214135557727 54.65043996044925, -0.9896883356168055 54.65277612556046, -0.9817382710572415 54.65598232923288, -0.976852257161801 54.658648477101316, -0.9732602557703909 54.66084659357837, -0.9695102688298624 54.66353272795031, -0.9660962948036714 54.6663578626765, -0.9605273556122035 54.67146309867482, -0.9566544213183054 54.67564428340208, -0.9551604601868598 54.677621366552344, -0.9543684869542522 54.678835416050624, -0.9518276125428399 54.68379960976965, -0.9507796982086595 54.686758719439105, -0.9502437650428681 54.68889179576449, -0.9497688658012287 54.69189989990647, -0.9496139420959497 54.69404997204838, -0.9498894455296427 54.70742340542104, -0.9495895831126189 54.71130953612094, -0.9494790298335732 54.72338493209743, -0.9495810481986795 54.72381494487969, -0.9494540934665774 54.725109988790656, -0.9494373501730554 54.73201521471982, -0.9496655962279994 54.7384794232177, -0.9495157535038182 54.74279356615729, -0.9494578260733477 54.77158650884244, -0.9492560548452756 54.77783871600362, -0.9493970903802028 54.77870274252745, -0.9493451656719772 54.780750810221114, -0.9491362252695845 54.78247586930314, -0.9486062887204532 54.7845029422818, -0.9480033397266744 54.78624200674557, -0.946431425913017 54.789523133798944, -0.9445924843998706 54.79222824533201, -0.9407195465605108 54.79629242676781, -0.9382565651801124 54.798317523833504, -0.9345815763814673 54.8008956541438, -0.9309285667758405 54.802903765512056, -0.9279225451672816 54.804189845155115, -0.9195065034388089 54.808293084606866, -0.9102034432678252 54.81245433703877, -0.8893503258158814 54.82225191832296, -0.8699922060912639 54.83106644879077, -0.8586391454749623 54.83649476841121, -0.8486610776388963 54.84087803662231, -0.8430000517202613 54.84370119983195, -0.8183468985340668 54.854923875476956, -0.8107748726683082 54.85893810163681, -0.8047718768592703 54.86278030260639, -0.8026218869361091 54.864385382106725, -0.799610920091163 54.86714151013982, -0.7910999779530848 54.873974840641864, -0.7764670915905418 54.88610042137427, -0.7725391134840873 54.889125569736805, -0.7654081799155507 54.89532886248441, -0.7606032087519614 54.899084045802795, -0.7556722498864955 54.90324524405493, -0.7483503285954558 54.90989355390691, -0.7330615146670677 54.9243522200173, -0.712717743982017 54.94310009052429, -0.7079148058578139 54.947731302846094, -0.7058348248168028 54.94952838793496, -0.6810041186027183 54.97277146295124, -0.676084156661931 54.97684065834784, -0.6728762060657292 54.98014680728366, -0.6690652459187932 54.98357396773105, -0.6629823235544272 54.98941623612138, -0.6599073916642894 54.993135397063845, -0.6578434113767525 54.99494148233392, -0.6542984291484508 54.99761661471627, -0.6516404553381592 54.999963725238395, -0.6479075041036977 55.003577890953146, -0.6368846240644567 55.01361135928797, -0.6323346810515919 55.01795055915762, -0.6294297062259531 55.0204236769638, -0.6198488239446276 55.02949909588161, -0.6155768672238672 55.03330127462679, -0.5943721241583277 55.05328619882861, -0.5603944992483395 55.08432864815123, -0.553838573786331 55.09037392975149, -0.5508386164494256 55.09336606609543, -0.5452336710711949 55.09829329891318, -0.5359837827842786 55.1069937020215, -0.5289308581949876 55.11336900087493, -0.5271388886215441 55.11528608665601, -0.5234999224947186 55.11844223646183, -0.5180139589428754 55.12281444954222, -0.5126640153555126 55.12762867559013, -0.5103890609182777 55.130244790567794, -0.5071481087064156 55.13351993941018, -0.5022701590963567 55.13788114462496, -0.4853423596572404 55.15369087930934, -0.4639815938741831 55.173138790099955, -0.4625096164000816 55.174646858447396, -0.4564816771061977 55.17999211080651, -0.4477617819767563 55.18817249078601, -0.4405648529954624 55.19451479086277, -0.4379898926674705 55.19715891068372, -0.4280540013488555 55.20619333429831, -0.4224350726129116 55.21155958243709, -0.4167981286997083 55.216537817939106, -0.4030322886544507 55.22929741317755, -0.3969323468089494 55.23461666586445, -0.3923744046951717 55.23896986728007, -0.3871904536683506 55.24347808165664, -0.3777215704324873 55.252428497092545, -0.3696106507927431 55.25957883583237, -0.3568718010269071 55.27143738886696, -0.3506688603533453 55.27684864612394, -0.3406159753359015 55.28611107951554, -0.3350520489177133 55.291497328072545, -0.3314240787260393 55.29453347430802, -0.330747092137869 55.29530550844078, -0.3292830956824376 55.29630856005628, -0.3290631071135786 55.29674457731496, -0.3267631376025602 55.2989726801345, -0.3187522170980528 55.30603401500148, -0.3047253780055971 55.31896462034368, -0.3010504106695968 55.32210377068098, -0.2988774412285008 55.32425386937819, -0.2892085415529961 55.33288827749668, -0.2839726083152178 55.33788850935652, -0.2771746753156268 55.34386579325557, -0.2764866884181167 55.34463582749742, -0.2751306960329178 55.34567787912, -0.269044770778654 55.35141414617153, -0.2652808049683231 55.354647300854644, -0.2626088414597749 55.35726142131251, -0.2573528978160528 55.362000644832406, -0.2560059058421754 55.36304769652801, -0.2541139324974358 55.36491978254066, -0.2495639714312007 55.3687649674718, -0.2437840405481051 55.37416221953286, -0.2389920882974275 55.37838742019886, -0.2371701161024325 55.3802455049028, -0.2341871408455606 55.38274562548679, -0.2339231505430289 55.383162642697314, -0.2333761496561188 55.383479660085776, -0.2327391646112647 55.384265694259255, -0.2232732780930747 55.393110107392836, -0.220223300177049 55.39558222790627, -0.2132623758482361 55.40188252497342, -0.2094594087950608 55.405105679970674, -0.1836956967052708 55.42862278653547, -0.1760017741813639 55.43542310965062, -0.1715538419303831 55.43995131644076, -0.1673288786837698 55.44353448885328, -0.1646989152433472 55.44612060808711, -0.1486630822304012 55.46043328649615, -0.1457351237317968 55.46333241995896, -0.1452321195053822 55.46353543300742, -0.1401571682835518 55.467958644200365, -0.1381711914998098 55.46979673044081, -0.1379402024487505 55.4702247476474, -0.1373992018931266 55.47054676515536, -0.1339652439644788 55.47377491595635, -0.1301742777990584 55.477011071471566, -0.1286822998381419 55.47851114026605, -0.1254133286563749 55.48129227406454, -0.1227183643726057 55.48389539477416, -0.1076685182527944 55.497248029289985, -0.098988612914024 55.50510140043185, -0.0983546282528761 55.50589343486716, -0.0978686247338032 55.50610444798053, -0.0939996653052152 55.50956261201449, -0.0913796991217848 55.51206872861292, -0.0912637097256401 55.51241574169288, -0.090707703252831 55.512593754570176, -0.0874997346168426 55.51540188861103, -0.0872187436165267 55.515809905788124, -0.0851937603104014 55.51750198770334, -0.0756778776384609 55.526460406468445, -0.0714779157807698 55.53006057944988, -0.0713359254600085 55.53039959259087, -0.0703299265160776 55.53105262700219, -0.066018978643317 55.53508381584569, -0.0541860921213758 55.54538130850541, -0.0474661645198829 55.551434595230106, -0.0439912100406067 55.554773750530444, -0.0316803307916611 55.5655542655562, -0.0239114295782388 55.57294061022657, -0.0111275482087433 55.583958139288306, -0.0061556111698782 55.58867735968576, -0.0013086545812977 55.59281355894793, 0.0034022870679842 55.59725076666192, 0.0115802119874198 55.60427610450032, 0.018449125138074 55.61079040894169, 0.0332579822689242 55.62368802683826, 0.0414128861912716 55.63123838225152, 0.0504017999661959 55.639052756965334, 0.0522687744467616 55.64087184140316, 0.0524577620897779 55.6413078584339, 0.0529847670494985 55.64150787171174, 0.057451723840568 55.645400058254204, 0.06088468178237 55.64861920930452, 0.0674456187031959 55.65432548298579, 0.068993598276071 55.65581455237214, 0.0692455882092366 55.656230569517696, 0.0715515765764066 55.657964656571195, 0.078534505453227 55.664139951350364, 0.0827294518624541 55.66812913787399, 0.0842904368273796 55.66948720302608, 0.0848654391853706 55.669784220174556, 0.0857374132850182 55.670993271754575, 0.0882483992178258 55.67291736778303, 0.0916123686961272 55.6757955065674, 0.0939203376694391 55.6780296105387, 0.1005842789887491 55.68368488394411, 0.1085121841014975 55.69105723098634, 0.1177870954834264 55.69910561760719, 0.1357149045797281 55.71516438203996, 0.1525287362215348 55.729948089842146, 0.1605446449995086 55.737276436828104, 0.1768504839740577 55.751552121481176, 0.190795332186958 55.764119719296275, 0.1985812559755999 55.770917045718775, 0.2041392361119338 55.77488424882659, 0.2063282196762405 55.77666733628636, 0.2086391883985259 55.77890644068803, 0.2125561588465884 55.782100597321694, 0.2185890517789058 55.7885958919041, 0.223925001461754 55.79320411402012, 0.243843788309289 55.81105196521214, 0.2484467476810896 55.81495515446416, 0.2602576205098741 55.82555565996453, 0.2637325939119803 55.82839779933737, 0.269294527490684 55.833556043072996, 0.2727414993410423 55.83642018286645, 0.2850913682358952 55.847453709952084, 0.3152770703157645 55.87384097905122, 0.3188380278832392 55.877139135097224, 0.3229349936649702 55.88056130200568, 0.3303429125367732 55.88723962048016, 0.334945873788002 55.891091808291286, 0.3379878353297753 55.893964943531444, 0.345045770732159 55.900003236022776, 0.3498267138137091 55.904428445548184, 0.3612096046296315 55.91429292167109, 0.3624875802067581 55.91570998564928, 0.3650435676241481 55.917621082250406, 0.4134040775867478 55.96018212843041, 0.4200560170848381 55.965859403997264, 0.422383985856683 55.968101509130165, 0.4229059884919612 55.96835952437639, 0.4260839524975311 55.97125166216598, 0.4283539394574888 55.97299574964212, 0.442389790939468 55.985502349239034, 0.50262520341168 56.03789088037258, 0.5135030888182083 56.04756334497278, 0.5305799313625997 56.062178055070014, 0.5340798897535625 56.06540920868181, 0.5549526813789595 56.08367109057075, 0.5562656766871061 56.0846071387914, 0.5651665964212593 56.09217650751298, 0.5753684955739325 56.10107493780588, 0.5812824281841085 56.106458194964844, 0.5876413739417572 56.11178645577882, 0.5978072668928711 56.120816890308475, 0.6081021694567643 56.12968432093816, 0.6207960586473199 56.140381843936915, 0.629292967191379 56.147977208956355, 0.6334239512084768 56.15095236188197, 0.6337649436776088 56.15135437985967, 0.6353459450496571 56.152304431934645, 0.6391269301027405 56.15503557218981, 0.6474518680411319 56.161782906154045, 0.6493988420406153 56.16364999416289, 0.6577017715881274 56.170594334657004, 0.6614147198556366 56.17420850436112, 0.6653256350073937 56.17877870927528, 0.6668406126817502 56.18028377957053, 0.6981093085976258 56.20740209564722, 0.7273810382375256 56.23242231574811, 0.7347419634538618 56.238883628476934, 0.7498778294998254 56.251671254538024, 0.7648616743444281 56.26489389381697, 0.77042763147907 56.26943511860124, 0.7810085238358051 56.27872256846195, 0.7832005123924766 56.280374652322564, 0.7833664975501464 56.28084967069722, 0.7851504914519941 56.282113736184435, 0.7881554659244187 56.284624859620564, 0.7959303863125972 56.29146119067983, 0.8241251334630959 56.315351360607735, 0.8375019968955187 56.32709893007623, 0.861732771523864 56.347824942885836, 0.9090323446998434 56.38794390941908, 0.9099623256959867 56.38899695721018, 0.9112213250755742 56.38979700034198, 0.9365650945929188 56.41133105600523, 0.9683147952096864 56.43856638803753, 0.9961005531201123 56.461900537034495, 1.0103594202632131 56.47408713420058, 1.018214356884338 56.48055645478996, 1.0191503385232392 56.48159550226594, 1.021311316677592 56.48348459425202, 1.0280562602958068 56.48908787125021, 1.0374921672611186 56.497277270938554, 1.0461030989583222 56.5043386214804, 1.0557060074907838 56.51259202556194, 1.078291813570444 56.53147595792527, 1.0947466564555668 56.545623650912496, 1.1008526131555176 56.55050189523432, 1.1098805836768488 56.55686022690626, 1.1154635351493876 56.56154145799983, 1.1181024996935893 56.564063577965214, 1.122444424130703 56.56863879011167, 1.1292333507235226 56.57468608349497, 1.1340633190153773 56.5784812746558, 1.1404962518985802 56.58415055059439, 1.1650050344779783 56.60480156925598, 1.1696860018917117 56.60852475618659, 1.1790329099335748 56.616622152503396, 1.180007907339328 56.61729418785425, 1.1893158243844555 56.625144575178915, 1.193115767700084 56.628911752848644, 1.196868670612508 56.63364496350848, 1.1988985759972075 56.63724211348647, 1.200118489152809 56.64014222927646, 1.2008964082373659 56.64262032496351, 1.201473318727317 56.645184421167116, 1.201887071401493 56.651531646834954, 1.2017734088883851 56.71686191775553, 1.2018401862756567 56.722359109955555, 1.2019561716276914 56.72279012639273, 1.2018440813063374 56.74941305223493, 1.202092074192171 56.74974106672328, 1.2018440548531388 56.750060074776954, 1.2018667645015686 56.75717432294304, 1.202027406799865 56.766016633085925, 1.2019383352018196 56.767710691033464, 1.202141114938908 56.77321688547415, 1.2019460208348547 56.77539395896287, 1.2021300079810426 56.77582197615601, 1.2018310637707021 56.798675769453595, 1.202019701502028 56.807623083931404, 1.2018801005608264 56.82217358998788, 1.2020798086659752 56.82940184477415, 1.2018997687004518 56.830262872609715, 1.2018746971632264 56.83198793252553, 1.2019396301325793 56.85796684062432, 1.2017841199989359 56.87025626811069, 1.2019272318240817 56.891885025938805, 1.2018631262391226 56.89440411323103, 1.2016691035065605 56.89483512590453, 1.2019220967885953 56.895154140187124, 1.201796457096209 56.910568677764175, 1.20198729280166 56.91466282335325, 1.201995994383572 56.92188807626555, 1.2018616743489727 56.92954434254031, 1.2020535544347875 56.932561450512715, 1.2021110828379833 56.943991851364636, 1.201969833870665 56.94991705708479, 1.2021385992682527 56.95568426113667, 1.2020380762742964 56.96823969967953, 1.2021716287605604 56.97911008220684, 1.201889949645617 56.995293645951676, 1.2021838538749632 56.99777973674598, 1.2021256955235686 57.00155486838524, 1.2022535959265255 57.00402995675335, 1.2020204153671095 57.008230101151625, 1.2022580581241227 57.01696641049386, 1.2021058481514701 57.02191958235798, 1.2022917856133035 57.023536641387686, 1.2019713239487426 57.0344290195965, 1.2021710642063337 57.040787245205635, 1.2027769190700337 57.04464238801701, 1.2038048084990356 57.04792651602273, 1.205754675431181 57.05231569424918, 1.208703574738787 57.056540879105754, 1.24231174671049 57.09700371673613, 1.2444366845585288 57.09979484116035, 1.2495395712334147 57.1056371097341, 1.2620002573318738 57.12078779681226, 1.2666551539951236 57.12611304176896, 1.2710750391057395 57.13156928845309, 1.2775828867679961 57.13919963752505, 1.2831827414859938 57.14610294982097, 1.2911545527065884 57.155497379232614, 1.298102371243985 57.16408676770163, 1.3085961242421726 57.176410331682504, 1.3164789265226264 57.185954765552516, 1.3185038853573197 57.18817686892537, 1.3310815637683215 57.20354456630749, 1.3357234629674835 57.2087888086706, 1.3405453382673578 57.21471107720021, 1.3458892177250652 57.22085335998481, 1.3479201569798163 57.22354247998093, 1.359397889457996 57.23693509456966, 1.371169592490639 57.25120174382523, 1.4179214591574698 57.30671028356294, 1.4514786544212663 57.346290099035556, 1.4548425821739626 57.350056273976264, 1.4587424821344592 57.3548064904025, 1.4641673633636323 57.36093177441014, 1.475231088258192 57.3741963811022, 1.489999741668958 57.39140817368426, 1.5046993820507226 57.4088759747729, 1.50616035452798 57.41041804752722, 1.5219799650816785 57.42926291164202, 1.5427154769476783 57.453423025591555, 1.5489433258575958 57.46078136389058, 1.549440299538939 57.46170340277997, 1.5509152805922672 57.463050468859294, 1.5722317734643356 57.487987618382554, 1.577928622879824 57.49500193812875, 1.5794895638109063 57.49734104057693, 1.581539444478041 57.50139120990539, 1.5822893778379374 57.5034112909969, 1.5829892869193778 57.50596939060289, 1.5918513714127125 57.556188286883476, 1.5924322536225388 57.559293404616135, 1.592662243700806 57.559665420706295, 1.5924732135331936 57.56025443933875, 1.592931161123367 57.56175749851961, 1.5973891687554762 57.5876254750039, 1.5980750629896434 57.59050858621446, 1.5991969514414164 57.59379171708199, 1.6009918424095602 57.59742586879706, 1.6061106453885352 57.605134206870794, 1.627748860456454 57.636579595957514, 1.6328926634181236 57.64429193477091, 1.6368515290293062 57.649825181210346, 1.6388404446042182 57.652997319031094, 1.6444812618572833 57.660675662901674, 1.6465282176742335 57.662947769342196, 1.6496171685937313 57.66596791538793, 1.6554091308798218 57.67037014423719, 1.6804401462926881 57.68525798563963, 1.6973981657225157 57.69513854841603, 1.7055621654244437 57.7001198273999, 1.7732952327762967 57.73984908552808, 1.776342226514208 57.741852194862425, 1.7810951801158943 57.74582439575165, 1.7832591684739187 57.747413479366074, 1.789098181441979 57.750674668244066, 1.7979672396146682 57.75473892331505, 1.8002292415079395 57.75607499909329, 1.8010122516967255 57.7563170174316, 1.8012482275228026 57.75702004551634, 1.801762223091953 57.75743606676091)</t>
  </si>
  <si>
    <t>FLAGS</t>
  </si>
  <si>
    <t>LINESTRING (-1.8273011906041736 57.57928561600082, -1.8096498543132042 57.58140292090443, -1.803059720727481 57.58201702852837, -1.7830563592613837 57.58485738948573, -1.7751621843828451 57.58526750692933, -1.7657679622990274 57.58544763584898, -1.755433691704192 57.585065757255805, -1.7379301869350425 57.58339392679538, -1.7267628780674675 57.58262004522197, -1.7179636145438062 57.58156512286518, -1.705243259353352 57.5806112551612, -1.697012054703014 57.58055236038408, -1.6909399202235287 57.580874450852484, -1.684449794885975 57.58162656188416, -1.6799707227357548 57.58246364969206, -1.6757286707113954 57.58361774555851, -1.6696576192038934 57.585777900641, -1.6642585824186589 57.58789904559639, -1.6607375824003545 57.58981315880267, -1.6535926316970475 57.59478942695588, -1.6439006728550054 57.600970770716586, -1.6356137241329445 57.606612077200694, -1.630022737571981 57.60995026752481, -1.612618855603057 57.62202691937807, -1.6030679033103528 57.62827726387671, -1.6011399222337672 57.62974434065543, -1.5994649513259258 57.63129841720569, -1.5966530295579289 57.63455656859075, -1.5948311411110139 57.63801171403358, -1.5939412392366443 57.640662819022815, -1.5936623133884793 57.642451885689, -1.5936693949123226 57.644247948879894, -1.5938804813360115 57.646041009310984, -1.5946506208729587 57.648702093051625, -1.5992892522549287 57.66010943466787, -1.601487586479281 57.66628362367493, -1.6025088138458297 57.670739767472526, -1.6029049863749152 57.67432588875263, -1.602962110085702 57.67701998300581, -1.6028882305432097 57.67971307893706, -1.6014794792676301 57.68595431740799, -1.5994006674884673 57.691225530428234, -1.5970228044431676 57.695529713255254, -1.593446945113667 57.700564937505746, -1.587112076724046 57.70689724350781, -1.5826991414138012 57.71071443573101, -1.575442187121322 57.715657704775374, -1.5697461964762596 57.718954895388656, -1.5660551885866203 57.7207850080905, -1.5553511214277034 57.72512030061572, -1.5462630781260185 57.72910355966559, -1.5415200766011798 57.7316457112291, -1.5372930991185065 57.734435864836065, -1.5345251331246952 57.736685980369856, -1.5303542073984087 57.74058217233321, -1.5283672710282585 57.74305828569227, -1.5242074359544626 57.748937547608314, -1.513198937062066 57.76590729078214, -1.5097250818142034 57.77096651489945, -1.507678187210212 57.77438766253011, -1.5035933550670304 57.78028292421491, -1.500669518058861 57.7854401447055, -1.4914999077481497 57.79894774201755, -1.4879176559077454 57.804929405066744, -1.4866126998827316 57.806591480746285, -1.4794460282390358 57.81761696343919, -1.4753381971868822 57.8235132252085, -1.4738602787004624 57.826087335391385, -1.4710474033551393 57.830319521548226, -1.466828611977409 57.8371388174549, -1.4546491238043615 57.85484060178626, -1.4466465129529373 57.867617157816866, -1.441653740404138 57.87525049284838, -1.432380131694709 57.888743091025226, -1.4310142177258007 57.89134820101022, -1.4271963967462826 57.897290461055185, -1.4258044816337583 57.899883570975604, -1.4242045594422608 57.902433682089175, -1.4212926813681843 57.90664586914232, -1.4193007462991345 57.909124982864, -1.417523818830991 57.91165409556213, -1.4092182430894462 57.92532468791584, -1.4048914054602897 57.93116895131441, -1.401114586416412 57.937121211410044, -1.3953548335880601 57.94557058587063, -1.3887621404151715 57.95575703283363, -1.384616309424329 57.961641295466286, -1.3784715880429241 57.970969706320176, -1.3764066945539128 57.97438285427917, -1.3746598058453376 57.97772899573065, -1.3723149956032572 57.983094216616, -1.370696160038274 57.98752139478701, -1.369450248377028 57.99010050253575, -1.368790313832695 57.99187057394684, -1.3669294278030701 57.99533272105659, -1.362980646841341 58.00218401567632, -1.3562469936396853 58.01328449749057, -1.3534181190451469 58.017507684307034, -1.347748457371964 58.02784912546317, -1.3453985553041723 58.03122027583047, -1.3383248922728708 58.04227576078674, -1.336459962084217 58.04477887403444, -1.331546237994817 58.053357242942646, -1.3232696234082704 58.066088803404845, -1.3203697907454457 58.07124402450836, -1.3124731447556313 58.083086548612826, -1.3114211977623627 58.08478962290553, -1.3091603429601408 58.08912280652875, -1.3056454907460922 58.09418003227154, -1.3041395730550593 58.096755143530615, -1.3029086641505039 58.099372252708235, -1.3006977673530178 58.10277240253045, -1.2987998802498497 58.10621354974557, -1.2974919255460748 58.107885626307926, -1.2964199780047507 58.1095857007952, -1.29510906677127 58.11219381072694, -1.2919672268390792 58.117311033859565, -1.2899572929952592 58.119805148857886, -1.2881814101154716 58.123269295359194, -1.2842835899845344 58.12921255781803, -1.281870730474158 58.13351674257398, -1.2780229118954334 58.13946400458271, -1.276045022841145 58.14290015278368, -1.274198093912736 58.14541026629029, -1.272110201934468 58.14884141576596, -1.269886347860833 58.15315759856855, -1.2686033938347625 58.15482767480987, -1.26713347764772 58.157408785964385, -1.262105708533378 58.16503912348952, -1.2573279481808954 58.17272145966789, -1.2554520625591863 58.17617160714926, -1.252012213882521 58.181245832946615, -1.249904321289026 58.184668982515966, -1.2491403837840849 58.18641405472138, -1.2462285083128126 58.19063124311219, -1.2442376194936307 58.1940713917946, -1.2426397427761127 58.197560537116225, -1.24070085539833 58.2010026852153, -1.2373680105330274 58.206095910418064, -1.2343041301803834 58.21028609990564, -1.2279424061420854 58.219572514330096, -1.225366542226613 58.22385170069159, -1.220805745321228 58.230618001760504, -1.219224825937277 58.23318111390668, -1.2180279190481922 58.23580622327024, -1.2133441629648087 58.2435055593545, -1.2044335770234103 58.257080160544, -1.2015427475238807 58.26225338312179, -1.1963759755334817 58.26986172244208, -1.1944680897868636 58.2733108706267, -1.1883213745975756 58.2826462845653, -1.1839286287492017 58.29039261888526, -1.1768519718874884 58.301456106929784, -1.1727141903450342 58.308301405818646, -1.162160685429708 58.32443212078129, -1.1592858570329154 58.32960434344881, -1.1510302956930543 58.34330194163097, -1.138301898145106 58.36283880755395, -1.1343481232841888 58.369709105343624, -1.1320662256934655 58.37309025629435, -1.1170399766655141 58.396963308268106, -1.110261287628459 58.407136761621096, -1.1076893805025512 58.41046491457053, -1.1047935075720827 58.41468710383996, -1.096985963409898 58.42845769991938, -1.0957590122026002 58.43013877626817, -1.0921432051747706 58.4361300385276, -1.08822938821664 58.442068302801665, -1.0862715019787863 58.445506451811056, -1.08014979006798 58.45482786646077, -1.0776009296253293 58.45912105393778, -1.071543220633519 58.46846446866524, -1.0695163325698647 58.471896618444845, -1.063836591962615 58.48036899704336, -1.0614937381803473 58.48468818287482, -1.05991582024245 58.48725129560542, -1.0590058796459263 58.48898336975089, -1.055911134443701 58.49598266181107, -1.0482676869454144 58.51164532489679, -1.0464718506580246 58.51603550628093, -1.0447229719773103 58.51950965410337, -1.0383254762586722 58.533482240447846, -1.0374765814445626 58.53613834714214, -1.0366946450929326 58.537887420311066, -1.0344107938651586 58.54221660596865, -1.0313040491858982 58.549213898463975, -1.0265853867795316 58.55878530474957, -1.0256074882594404 58.561428412720204, -1.024368581968095 58.564046523199465, -1.023830653097555 58.565820594133896, -1.0198829265614278 58.573633927157616, -1.0172891542401559 58.57977018213557, -1.0144813312695342 58.584958405763274, -1.0124575326897431 58.59024062258306, -1.007726870698501 58.59980702921471, -1.005184100405699 58.60595028393086, -1.0001594737837016 58.61640272650333, -0.9915921792673547 58.635647532708184, -0.989408332024962 58.63998571778572, -0.9873514443762977 58.64341386836995, -0.9831826214845067 58.64930613547926, -0.9827536524205652 58.650177172525616, -0.9808688584776575 58.65546438803604, -0.9801729692509378 58.6581384936877, -0.979011065774971 58.6607616035814, -0.9780831695013705 58.663410711368854, -0.9762342892390887 58.66687886076117, -0.9721776055588638 58.67560122879484, -0.9701768089290118 58.68088644587101, -0.9667090998480631 58.688763775793376, -0.9653802359890994 58.69229392072686, -0.9586356905285099 58.705292478644395, -0.9571768228407124 58.70880862482189, -0.9542280412727289 58.714896883471674, -0.9524492082023406 58.719298065868074, -0.948595487367149 58.72711939908293, -0.9436159101912482 58.73850787613161, -0.9407320865465213 58.74368110098341, -0.9380632699326498 58.748885324177756, -0.9369323683270977 58.75151843425188, -0.9347645227213491 58.755856619592784, -0.9325597212172294 58.76112583914675, -0.9273601377215821 58.772479318160045, -0.9256002609840815 58.77595446700016, -0.9245913633939654 58.77860257609241, -0.9236744235487 58.78032865058714, -0.9207586887780373 58.787343942804185, -0.9198447497727991 58.789085017817456, -0.9184719301654644 58.793533196924166, -0.9153011879246581 58.80052349164843, -0.9076106603303365 58.81431709205627, -0.9050468932860944 58.82046934860452, -0.8952966160765712 58.84048920204134, -0.8936827891238993 58.844900383162646, -0.8918309101733871 58.84836553307594, -0.8893511009467893 58.85359475522122, -0.8819076288636273 58.868363388493464, -0.8768740539457914 58.87974286742107, -0.8749781737265108 58.8831990176947, -0.8740042778178809 58.88584812663056, -0.8708464927091869 58.89191838836226, -0.8697575935282674 58.8945594985299, -0.8678427125088465 58.898006648772395, -0.8660038791925737 58.90239183212123, -0.8636951211911339 58.90856708668115, -0.8602813732949939 58.91552738423661, -0.8592754768418364 58.918177493705855, -0.8579195687572739 58.92077260575067, -0.8565937071029901 58.924302751406906, -0.8550328380449148 58.92780389908776, -0.8536259287161617 58.93039901182161, -0.8519161001518692 58.93480619441831, -0.8509961608448384 58.936531269167986, -0.849488293499868 58.94003741637858, -0.8482514353346896 58.94358856169977, -0.8466095629571463 58.94706070944564, -0.845981633538179 58.948833782149315, -0.8395461066315407 58.96188134093615, -0.8364233689062125 58.96887763634814, -0.8345165803936013 58.97419685487549, -0.8302558511061392 58.98195719304453, -0.82933895774721 58.98461430176951, -0.8273381203801884 58.988981486929944, -0.8248803591867961 58.99514074334692, -0.8239734208666516 58.996873818315215, -0.8217576225568578 59.002147039338844, -0.8202737107495436 59.004722152529226, -0.8186938416366731 59.00821730050072, -0.8177569475104434 59.0108654092232, -0.8145032521886095 59.018775739974785, -0.8130493417502896 59.021360853177804, -0.8098076469559305 59.02927118384942, -0.8064099013668881 59.03622648179432, -0.8016403850727573 59.048558993804576, -0.7997055506735746 59.05293717876283, -0.7975717105113262 59.05730136582704, -0.7942538769304646 59.06241759580904, -0.7914769677568652 59.06571475237527, -0.7876760688680813 59.06975594947519, -0.7751373281801505 59.08157754467573, -0.7719374029741781 59.08476870295438, -0.7673764740927579 59.08859690227218, -0.7631215576048415 59.092516100930105, -0.7595036157891906 59.09558826035278, -0.7461868952094292 59.10821689546706, -0.7426519568212465 59.11131405476249, -0.7359190419160255 59.116559334303034, -0.7251011104970349 59.12360673305118, -0.7221121425316616 59.125818852914286, -0.7193941861665148 59.128123972643145, -0.7067194410753094 59.139912569030294, -0.6946246686157903 59.150841126518614, -0.688293770892864 59.156220405893734, -0.6844218697931318 59.16024460363069, -0.6685672014957067 59.17523835914832, -0.6616153301795673 59.18147267804014, -0.6285869932066007 59.21212123127449, -0.6241440699446152 59.21599143102303, -0.618329193584299 59.22152370958419, -0.6078033834261957 59.230852188756785, -0.6047864147747749 59.23306130908237, -0.5962195290148534 59.23984166937927, -0.5916705466409776 59.24257582895358, -0.5795496693149381 59.25138431003063, -0.5624577908425943 59.262769950533105, -0.5563618508766847 59.26716619130569, -0.5509118839934464 59.270683391416775, -0.5382269811834969 59.279273872048265, -0.5295040891539168 59.28600723291532, -0.5259381499626065 59.289094392731336, -0.5119874586756277 59.30259107015908, -0.5075075339860127 59.30644627014277, -0.4998667375281343 59.31452666654884, -0.496492806642298 59.317677826291785, -0.4788222219424982 59.33524570218171, -0.4753872886482601 59.33837886211651, -0.4697234193946231 59.343960141109896, -0.4481038822397417 59.364532179376305, -0.4457129397625835 59.3669332988592, -0.4421420516067798 59.371037496379145, -0.4382541512291129 59.37506269513837, -0.4303482947299526 59.38206605586182, -0.4263003883197819 59.38605325534703, -0.4236464354705274 59.38838337568974, -0.4188785514003988 59.3931926148389, -0.4103187202964999 59.401042015345645, -0.4047498553061716 59.40664929437227, -0.3953690426133418 59.415292734915084, -0.3913431375579708 59.41929193467417, -0.3891832040310664 59.42174705325515, -0.3860262820306082 59.424953212499254, -0.382377341009821 59.42803737366634, -0.3793724248331505 59.43127953227506, -0.3723125519551072 59.43750485365243, -0.3701456186637708 59.43996697262301, -0.3582489102877199 59.45199557099367, -0.3488710983745176 59.46064301199336, -0.3258476116446474 59.482889132453835, -0.3195087679506254 59.48930945192291, -0.285174496505132 59.52172309571839, -0.2741937751598373 59.5329886548495, -0.2634731140415978 59.54530724962875, -0.2532675698914271 59.55966591326662, -0.2434448937751905 59.57120646788087, -0.2412049580791476 59.573648587359465, -0.2314801855977057 59.58322806829298, -0.2278772467963407 59.586320229588566, -0.2229343573527943 59.591087470314086, -0.2200783967724004 59.593358591525686, -0.217969413983651 59.594800672339446, -0.2133014271279365 59.59749983298155, -0.19849936059665 59.60392326335292, -0.1932633445291536 59.60634342107162, -0.19082734607299 59.60764750104393, -0.1874213606288456 59.60971562192425, -0.1774434722236747 59.61713502645383, -0.1590268666794103 59.63454391083952, -0.1519019928132805 59.64075523365043, -0.1398841794943312 59.650716759122695, -0.1349392904804986 59.655488000285565, -0.1254755796574827 59.66612851784308, -0.1223276593621557 59.66934267796221, -0.1047810388604191 59.68597952319213, -0.1015971175967215 59.68919168376161, -0.0931362943529444 59.69708808676758, -0.0891213912449742 59.701090287492896, -0.0865844440393566 59.70345340818145, -0.081092532918566 59.70806965092518, -0.0749975958265816 59.712490894288024, -0.0670626310805184 59.7173311771453, -0.0607416837954063 59.72167042043321, -0.0496397453985189 59.72868382519445, -0.0358468552266564 59.738050352378764, -0.0291068885063889 59.74222759516207, -0.0194459595562349 59.748672960196, -0.0116590017258943 59.75357224345043, -0.0042690631685746 59.75864152788295, 0.0002619167180608 59.761405689500215, 0.0143568202668254 59.770668216973476, 0.0331927134269044 59.782614905922976, 0.043829629851353 59.789816311953516, 0.0602905279091259 59.80042492043701, 0.0699014541543493 59.80689728610821, 0.122585127611732 59.84085823458945, 0.143718953058252 59.85533204815018, 0.1514759086868577 59.86026033247946, 0.1698127772568405 59.87242802398179, 0.1818777015316685 59.880224471213246, 0.1910186641200772 59.885742795590495, 0.1976066225221413 59.89000504002183, 0.2113995706936092 59.898242526216436, 0.2496513230292097 59.923111950404596, 0.2553783001637122 59.92655915335644, 0.2695802073562308 59.935809682899674, 0.2845261507634301 59.94474721045284, 0.3020290379733806 59.95611786211607, 0.3098719974252602 59.961019146908264, 0.3174069422692082 59.966042432288084, 0.3308718736646788 59.974437920579476, 0.3405308013646792 59.98090828763288, 0.3539237289316345 59.989340776464864, 0.3724696061660778 60.00145346976537, 0.38152156404827 60.007020795293705, 0.4056404104045958 60.02265769282229, 0.4136203763907326 60.027505977635286, 0.4223163170030152 60.03322130420075, 0.4577611106341163 60.05582760969692, 0.4767790098240276 60.06776630316145, 0.4865859440290018 60.07418967080726, 0.490109933907689 60.076236793136, 0.4979158913598648 60.08116007869178, 0.5032338485873157 60.084780283222194, 0.5199087542164371 60.09536489584057, 0.5346406860461638 60.10442342615684, 0.5668855036678726 60.12489161116408, 0.574095432701652 60.13004989801023, 0.5784614034563957 60.13290906178968, 0.5935233509981945 60.14184059183654, 0.6025833085077185 60.14742391861444, 0.638341115119186 60.16995622719425, 0.6458150563126038 60.17501951404902, 0.6547450072469819 60.180661841494775, 0.6571920054640038 60.18198392280161, 0.663785963729564 60.18625616859079, 0.6875148490468806 60.2009490275642, 0.6973877857172557 60.20736239629375, 0.7034587200085098 60.21181964237097, 0.7053376919788193 60.21334672408851, 0.7086676174923361 60.21652888682292, 0.710907551134224 60.21898100802143, 0.716459358159297 60.225604328980154, 0.7210501289443447 60.232414644615886, 0.7248349197089425 60.23841591942616, 0.7281567929617022 60.24259211956117, 0.7317336258147463 60.24767535716434, 0.7554585051407576 60.2815929413184, 0.7700177932767315 60.30284293040554, 0.778062440024761 60.31381144792887, 0.7880059565179713 60.32825512119498, 0.7990524630978456 60.343457837530785, 0.801905317931446 60.34772003524776, 0.8062711284041025 60.3536203143536, 0.8157836854788667 60.36704094392424, 0.8179256063537191 60.36967007086879, 0.8211955278158648 60.37288023432234, 0.8239134800044017 60.375216357642586, 0.8278954319694025 60.37822052251416, 0.8310354030266975 60.38041964611246, 0.8354983772887518 60.38325281073978, 0.8452563672141529 60.38857013755378, 0.8760944194339921 60.40378311031924, 0.8852484432673423 60.408142393177066, 0.8966284530259041 60.41393975912551, 0.9162485044890935 60.4232803653291, 0.9497435658693355 60.43973641961267, 0.9874816550333037 60.4579095936808, 1.015736702399985 60.471891487033986, 1.035338753140691 60.481257094183576, 1.054635787161395 60.49078170347071, 1.1144469262516505 60.51968756886304, 1.1263409640021835 60.52524893276822, 1.166503050175057 60.544817191603066, 1.1875181103779575 60.55477683974719, 1.1964701234916013 60.55925712488102, 1.2122901719408967 60.566699610748735, 1.2488262642072216 60.584266747328186, 1.2603392811166267 60.59003411431288, 1.2644363010655604 60.59182423494391, 1.2867833661606565 60.60241492436107, 1.3060453988332943 60.611988535560506, 1.3140954309037933 60.61564377785526, 1.327116462395598 60.62194118442483, 1.3377955020681196 60.62684650801052, 1.3506305234782874 60.63323791579969, 1.3652885766099079 60.639999361064724, 1.3859756191719912 60.65015501284096, 1.3901376427099723 60.65191713327537, 1.3965976556901267 60.655095337080006, 1.4138077124726043 60.663146864231564, 1.421478723543489 60.66700410943017, 1.4281727496071641 60.670062311682, 1.4319887541618854 60.671999434360146, 1.4559098381498876 60.68310416385609, 1.4583818368595791 60.68443924639018, 1.4766668841108554 60.69324981632559, 1.5069849776108133 60.70758075080412, 1.516003994578036 60.71204903662967, 1.520961993747158 60.71469620103707, 1.5255289729530708 60.71751036681359, 1.5296439306731509 60.72048753302807, 1.5333538704682055 60.723585698681944, 1.5365857899954412 60.72680986303329, 1.5394236935982275 60.73012302574691, 1.5418415809591037 60.73351718618588, 1.5521799042479523 60.7516760114704, 1.5553296678691115 60.757770284414484, 1.5574145429850215 60.761212442505986, 1.5581444693692308 60.76297651919834, 1.5611202762712328 60.76816575541677, 1.5633541567499565 60.77158491456761, 1.566134956823015 60.776796149169506, 1.5721935743340008 60.78715362232071, 1.5818309197994151 60.80447840760332, 1.5878485351627356 60.81483988063044, 1.5891494316315335 60.817458997396535, 1.590781339959134 60.82003211664582, 1.5920962368953704 60.82264923352636, 1.5957340167438916 60.82867751056538, 1.598087850851299 60.833013706497944, 1.6041152181252343 60.84798135609924, 1.6060949895563943 60.85328058416039, 1.6074028858787894 60.85590070114099, 1.6085347270830839 60.85945185149846, 1.609782621379437 60.862076967916394, 1.622359271287089 60.89379534301052, 1.6249217028588245 60.89996153082894, 1.6282513127347296 60.90878691427547, 1.6316009731172194 60.91670226298825, 1.6353705468388648 60.92640468610824, 1.6489840921654808 60.959865153944584, 1.64990497191797 60.96252126841494, 1.6511418623933525 60.96514838590353, 1.6539735545249572 60.97219369466512, 1.6559153677867613 60.97658288936609, 1.6579211325026826 60.98188111999208, 1.6603009097292882 60.9871473542963, 1.66209382026061 60.989699476214355, 1.664197742664649 60.99219960019673, 1.66888066332973 60.9960788111201, 1.6711326490842064 60.99751289590524, 1.6802586664921326 61.00196918719035, 1.6839066595021392 61.00400231334931, 1.6881226183538849 61.00694848218146, 1.6899535849788303 61.00850756630001, 1.6915455412883342 61.01012764965224, 1.6929034880903933 61.01179673184046, 1.6940284257999374 61.01350781260777, 1.6958032839800605 61.01699197033646, 1.6997817101362913 61.029409501892204, 1.7004695817566058 61.03208061405664, 1.7010335199143505 61.03348867581704, 1.7032485579759278 61.03396072299909)</t>
  </si>
  <si>
    <t>Kvitebjorn Gassror</t>
  </si>
  <si>
    <t>KVITEBJoRN</t>
  </si>
  <si>
    <t>Gjoa Gassror</t>
  </si>
  <si>
    <t>GJoA</t>
  </si>
  <si>
    <t>GJoA-T</t>
  </si>
  <si>
    <t>Grane Gassror</t>
  </si>
  <si>
    <t>Gudrun Gassror</t>
  </si>
  <si>
    <t>Johan Sverdrup Gassror</t>
  </si>
  <si>
    <t>Martin Linge Gassror</t>
  </si>
  <si>
    <t>Skarv Gassror</t>
  </si>
  <si>
    <t>Snohvit Gassror</t>
  </si>
  <si>
    <t>SNoHVIT PLEM-1</t>
  </si>
  <si>
    <t>MELKoYA</t>
  </si>
  <si>
    <t>Troll Gassror P10</t>
  </si>
  <si>
    <t>Troll Gassror P11</t>
  </si>
  <si>
    <t>Troll Gassror P12</t>
  </si>
  <si>
    <t>Utsirahoyden Gassror</t>
  </si>
  <si>
    <t>UKD</t>
  </si>
  <si>
    <t>DEU</t>
  </si>
  <si>
    <t>BEL</t>
  </si>
  <si>
    <t>FRA</t>
  </si>
  <si>
    <t>DK</t>
  </si>
  <si>
    <t>aSGARD T</t>
  </si>
  <si>
    <t>aSGARD ERB</t>
  </si>
  <si>
    <t>KaRSTo</t>
  </si>
  <si>
    <t>Delta</t>
  </si>
  <si>
    <t>Data Ruud</t>
  </si>
  <si>
    <t>ConocoPhillips Skandinavia AS</t>
  </si>
  <si>
    <t>SLEINER R</t>
  </si>
  <si>
    <t>Lundin Energy Norway AS</t>
  </si>
  <si>
    <t>Neptune Energy Norge AS</t>
  </si>
  <si>
    <t>Wintershall DEA Norge AS</t>
  </si>
  <si>
    <t>Var Energi AS</t>
  </si>
  <si>
    <t>Hydrogen</t>
  </si>
  <si>
    <t>Extra</t>
  </si>
  <si>
    <t>Je produceert toch in DK voor vraag in PL?</t>
  </si>
  <si>
    <t>Sum Probabilities</t>
  </si>
  <si>
    <t>Temp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</si>
</sst>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2"/>
      <color theme="1"/>
      <name val="Calibri"/>
      <family val="2"/>
      <scheme val="minor"/>
    </font>
    <font>
      <sz val="8"/>
      <name val="Calibri"/>
      <family val="2"/>
      <scheme val="minor"/>
    </font>
    <font>
      <sz val="12"/>
      <color rgb="FF006100"/>
      <name val="Calibri"/>
      <family val="2"/>
      <scheme val="minor"/>
    </font>
    <font>
      <sz val="12"/>
      <color rgb="FF9C0006"/>
      <name val="Calibri"/>
      <family val="2"/>
      <scheme val="minor"/>
    </font>
    <font>
      <b/>
      <sz val="12"/>
      <color theme="1"/>
      <name val="Calibri"/>
      <family val="2"/>
      <scheme val="minor"/>
    </font>
    <font>
      <b/>
      <sz val="12"/>
      <color rgb="FF9C0006"/>
      <name val="Calibri"/>
      <family val="2"/>
      <scheme val="minor"/>
    </font>
    <font>
      <b/>
      <sz val="12"/>
      <color rgb="FF006100"/>
      <name val="Calibri"/>
      <family val="2"/>
      <scheme val="minor"/>
    </font>
    <font>
      <sz val="12"/>
      <color rgb="FF202122"/>
      <name val="Calibri"/>
      <family val="2"/>
      <scheme val="minor"/>
    </font>
    <font>
      <b/>
      <sz val="12"/>
      <color rgb="FF000000"/>
      <name val="Calibri"/>
      <family val="2"/>
      <scheme val="minor"/>
    </font>
    <font>
      <sz val="12"/>
      <color rgb="FF000000"/>
      <name val="Calibri"/>
      <family val="2"/>
      <scheme val="minor"/>
    </font>
    <font>
      <sz val="12"/>
      <color rgb="FF9C5700"/>
      <name val="Calibri"/>
      <family val="2"/>
      <scheme val="minor"/>
    </font>
    <font>
      <sz val="12"/>
      <name val="Calibri"/>
      <family val="2"/>
      <scheme val="minor"/>
    </font>
    <font>
      <sz val="11"/>
      <name val="Calibri"/>
      <family val="2"/>
      <scheme val="minor"/>
    </font>
    <font>
      <b/>
      <sz val="12"/>
      <color theme="1"/>
      <name val="Calibri (Hoofdtekst)"/>
    </font>
    <font>
      <b/>
      <sz val="12"/>
      <name val="Calibri (Hoofdtekst)"/>
    </font>
    <font>
      <b/>
      <sz val="12"/>
      <color rgb="FF9C5700"/>
      <name val="Calibri"/>
      <family val="2"/>
      <scheme val="minor"/>
    </font>
    <font>
      <sz val="11"/>
      <color theme="1"/>
      <name val="Calibri"/>
      <family val="2"/>
      <scheme val="minor"/>
    </font>
  </fonts>
  <fills count="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FF00"/>
        <bgColor indexed="64"/>
      </patternFill>
    </fill>
    <fill>
      <patternFill patternType="solid">
        <fgColor rgb="FFFF0000"/>
        <bgColor indexed="64"/>
      </patternFill>
    </fill>
    <fill>
      <patternFill patternType="solid">
        <fgColor rgb="FFFFC00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style="thin">
        <color rgb="FF000000"/>
      </right>
      <top style="thin">
        <color indexed="64"/>
      </top>
      <bottom style="thin">
        <color indexed="64"/>
      </bottom>
      <diagonal/>
    </border>
    <border>
      <left style="thin">
        <color rgb="FF000000"/>
      </left>
      <right/>
      <top style="thin">
        <color indexed="64"/>
      </top>
      <bottom style="thin">
        <color indexed="64"/>
      </bottom>
      <diagonal/>
    </border>
  </borders>
  <cellStyleXfs count="4">
    <xf numFmtId="0" fontId="0" fillId="0" borderId="0"/>
    <xf numFmtId="0" fontId="2" fillId="2" borderId="0" applyNumberFormat="0" applyBorder="0" applyAlignment="0" applyProtection="0"/>
    <xf numFmtId="0" fontId="3" fillId="3" borderId="0" applyNumberFormat="0" applyBorder="0" applyAlignment="0" applyProtection="0"/>
    <xf numFmtId="0" fontId="10" fillId="4" borderId="0" applyNumberFormat="0" applyBorder="0" applyAlignment="0" applyProtection="0"/>
  </cellStyleXfs>
  <cellXfs count="46">
    <xf numFmtId="0" fontId="0" fillId="0" borderId="0" xfId="0"/>
    <xf numFmtId="0" fontId="0" fillId="0" borderId="1" xfId="0" applyBorder="1"/>
    <xf numFmtId="0" fontId="3" fillId="3" borderId="1" xfId="2" applyBorder="1"/>
    <xf numFmtId="0" fontId="2" fillId="2" borderId="1" xfId="1" applyBorder="1"/>
    <xf numFmtId="0" fontId="4" fillId="0" borderId="1" xfId="0" applyFont="1" applyBorder="1"/>
    <xf numFmtId="0" fontId="5" fillId="3" borderId="1" xfId="2" applyFont="1" applyBorder="1"/>
    <xf numFmtId="0" fontId="6" fillId="2" borderId="1" xfId="1" applyFont="1" applyBorder="1"/>
    <xf numFmtId="0" fontId="4" fillId="0" borderId="2" xfId="0" applyFont="1" applyBorder="1"/>
    <xf numFmtId="0" fontId="4" fillId="0" borderId="0" xfId="0" applyFont="1"/>
    <xf numFmtId="0" fontId="7" fillId="0" borderId="1" xfId="0" applyFont="1" applyBorder="1"/>
    <xf numFmtId="0" fontId="7" fillId="0" borderId="1" xfId="0" applyFont="1" applyBorder="1" applyAlignment="1">
      <alignment wrapText="1"/>
    </xf>
    <xf numFmtId="2" fontId="3" fillId="3" borderId="1" xfId="2" applyNumberFormat="1" applyBorder="1"/>
    <xf numFmtId="0" fontId="8" fillId="0" borderId="0" xfId="0" applyFont="1"/>
    <xf numFmtId="0" fontId="9" fillId="0" borderId="0" xfId="0" applyFont="1"/>
    <xf numFmtId="0" fontId="0" fillId="0" borderId="0" xfId="0" applyAlignment="1">
      <alignment horizontal="right"/>
    </xf>
    <xf numFmtId="0" fontId="4" fillId="0" borderId="1" xfId="0" applyFont="1" applyBorder="1" applyAlignment="1">
      <alignment horizontal="left"/>
    </xf>
    <xf numFmtId="0" fontId="0" fillId="5" borderId="1" xfId="0" applyFill="1" applyBorder="1"/>
    <xf numFmtId="2" fontId="0" fillId="0" borderId="1" xfId="0" applyNumberFormat="1" applyBorder="1" applyAlignment="1">
      <alignment horizontal="right"/>
    </xf>
    <xf numFmtId="0" fontId="13" fillId="0" borderId="1" xfId="0" applyFont="1" applyBorder="1"/>
    <xf numFmtId="0" fontId="14" fillId="0" borderId="1" xfId="0" applyFont="1" applyBorder="1" applyAlignment="1">
      <alignment horizontal="center" wrapText="1"/>
    </xf>
    <xf numFmtId="0" fontId="11" fillId="0" borderId="1" xfId="0" applyFont="1" applyBorder="1"/>
    <xf numFmtId="0" fontId="12" fillId="0" borderId="1" xfId="0" applyFont="1" applyBorder="1"/>
    <xf numFmtId="0" fontId="0" fillId="7" borderId="1" xfId="0" applyFill="1" applyBorder="1"/>
    <xf numFmtId="2" fontId="11" fillId="0" borderId="1" xfId="0" applyNumberFormat="1" applyFont="1" applyBorder="1" applyAlignment="1">
      <alignment horizontal="right"/>
    </xf>
    <xf numFmtId="2" fontId="12" fillId="0" borderId="1" xfId="0" applyNumberFormat="1" applyFont="1" applyBorder="1" applyAlignment="1">
      <alignment horizontal="right"/>
    </xf>
    <xf numFmtId="0" fontId="3" fillId="0" borderId="0" xfId="2" applyFill="1" applyBorder="1"/>
    <xf numFmtId="0" fontId="0" fillId="0" borderId="0" xfId="0" applyAlignment="1">
      <alignment horizontal="center"/>
    </xf>
    <xf numFmtId="0" fontId="0" fillId="0" borderId="0" xfId="0" applyAlignment="1">
      <alignment horizontal="left"/>
    </xf>
    <xf numFmtId="0" fontId="15" fillId="4" borderId="0" xfId="3" applyFont="1" applyBorder="1"/>
    <xf numFmtId="0" fontId="14" fillId="0" borderId="1" xfId="0" applyFont="1" applyBorder="1" applyAlignment="1">
      <alignment horizontal="left" wrapText="1"/>
    </xf>
    <xf numFmtId="0" fontId="3" fillId="6" borderId="1" xfId="2" applyFill="1" applyBorder="1"/>
    <xf numFmtId="0" fontId="5" fillId="3" borderId="5" xfId="2" applyFont="1" applyBorder="1" applyAlignment="1">
      <alignment horizontal="center"/>
    </xf>
    <xf numFmtId="0" fontId="6" fillId="2" borderId="5" xfId="1" applyFont="1" applyBorder="1" applyAlignment="1">
      <alignment horizontal="center"/>
    </xf>
    <xf numFmtId="0" fontId="0" fillId="0" borderId="1" xfId="0"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5" fillId="3" borderId="1" xfId="2" applyFont="1" applyBorder="1" applyAlignment="1">
      <alignment horizontal="center"/>
    </xf>
    <xf numFmtId="0" fontId="6" fillId="2" borderId="1" xfId="1" applyFont="1" applyBorder="1" applyAlignment="1">
      <alignment horizontal="center"/>
    </xf>
    <xf numFmtId="0" fontId="9" fillId="0" borderId="7" xfId="0" applyFont="1" applyBorder="1" applyAlignment="1">
      <alignment horizontal="center"/>
    </xf>
    <xf numFmtId="0" fontId="9" fillId="0" borderId="3" xfId="0" applyFont="1" applyBorder="1" applyAlignment="1">
      <alignment horizontal="center"/>
    </xf>
    <xf numFmtId="0" fontId="9" fillId="0" borderId="6" xfId="0" applyFont="1" applyBorder="1" applyAlignment="1">
      <alignment horizontal="center"/>
    </xf>
    <xf numFmtId="0" fontId="9" fillId="0" borderId="2" xfId="0" applyFont="1" applyBorder="1" applyAlignment="1">
      <alignment horizontal="center"/>
    </xf>
    <xf numFmtId="0" fontId="0" fillId="0" borderId="1" xfId="0" applyFill="1" applyBorder="1"/>
    <xf numFmtId="0" fontId="16" fillId="0" borderId="0" xfId="0" applyFont="1" applyFill="1"/>
    <xf numFmtId="2" fontId="11" fillId="0" borderId="1" xfId="0" applyNumberFormat="1" applyFont="1" applyFill="1" applyBorder="1" applyAlignment="1">
      <alignment horizontal="right"/>
    </xf>
  </cellXfs>
  <cellStyles count="4">
    <cellStyle name="Goed" xfId="1" builtinId="26"/>
    <cellStyle name="Neutraal" xfId="3" builtinId="28"/>
    <cellStyle name="Ongeldig" xfId="2" builtinId="27"/>
    <cellStyle name="Standa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15</xdr:col>
      <xdr:colOff>482600</xdr:colOff>
      <xdr:row>43</xdr:row>
      <xdr:rowOff>41796</xdr:rowOff>
    </xdr:to>
    <xdr:pic>
      <xdr:nvPicPr>
        <xdr:cNvPr id="2" name="Afbeelding 1">
          <a:extLst>
            <a:ext uri="{FF2B5EF4-FFF2-40B4-BE49-F238E27FC236}">
              <a16:creationId xmlns:a16="http://schemas.microsoft.com/office/drawing/2014/main" id="{C7A31461-9373-886D-0EDC-D298F3EB7536}"/>
            </a:ext>
          </a:extLst>
        </xdr:cNvPr>
        <xdr:cNvPicPr>
          <a:picLocks noChangeAspect="1"/>
        </xdr:cNvPicPr>
      </xdr:nvPicPr>
      <xdr:blipFill>
        <a:blip xmlns:r="http://schemas.openxmlformats.org/officeDocument/2006/relationships" r:embed="rId1"/>
        <a:stretch>
          <a:fillRect/>
        </a:stretch>
      </xdr:blipFill>
      <xdr:spPr>
        <a:xfrm>
          <a:off x="0" y="0"/>
          <a:ext cx="12865100" cy="8779396"/>
        </a:xfrm>
        <a:prstGeom prst="rect">
          <a:avLst/>
        </a:prstGeom>
      </xdr:spPr>
    </xdr:pic>
    <xdr:clientData/>
  </xdr:twoCellAnchor>
</xdr:wsDr>
</file>

<file path=xl/theme/theme1.xml><?xml version="1.0" encoding="utf-8"?>
<a:theme xmlns:a="http://schemas.openxmlformats.org/drawingml/2006/main" name="Kantoorthema">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A08315-FBE0-CA4C-9EFE-0A9542346138}">
  <dimension ref="A1"/>
  <sheetViews>
    <sheetView workbookViewId="0">
      <selection activeCell="S30" sqref="S30"/>
    </sheetView>
  </sheetViews>
  <sheetFormatPr baseColWidth="10" defaultRowHeight="16" x14ac:dyDescent="0.2"/>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CC4DE0-7BAC-1F4D-92A3-44AE62829735}">
  <dimension ref="A1:C10"/>
  <sheetViews>
    <sheetView zoomScale="200" zoomScaleNormal="200" workbookViewId="0">
      <selection activeCell="H27" sqref="H27"/>
    </sheetView>
  </sheetViews>
  <sheetFormatPr baseColWidth="10" defaultRowHeight="16" x14ac:dyDescent="0.2"/>
  <cols>
    <col min="1" max="1" width="17.33203125" bestFit="1" customWidth="1"/>
    <col min="2" max="2" width="12" bestFit="1" customWidth="1"/>
    <col min="3" max="3" width="60.5" customWidth="1"/>
  </cols>
  <sheetData>
    <row r="1" spans="1:3" x14ac:dyDescent="0.2">
      <c r="A1" s="4" t="s">
        <v>22</v>
      </c>
      <c r="B1" s="4" t="s">
        <v>20</v>
      </c>
      <c r="C1" s="4" t="s">
        <v>21</v>
      </c>
    </row>
    <row r="2" spans="1:3" ht="68" x14ac:dyDescent="0.2">
      <c r="A2" s="1" t="str">
        <f>Nodes!J2</f>
        <v>Temp</v>
      </c>
      <c r="B2" s="9" t="s">
        <v>25</v>
      </c>
      <c r="C2" s="10" t="s">
        <v>26</v>
      </c>
    </row>
    <row r="3" spans="1:3" x14ac:dyDescent="0.2">
      <c r="A3" s="1" t="str">
        <f>Nodes!M2</f>
        <v>Production Costs Gas</v>
      </c>
      <c r="B3" s="1" t="s">
        <v>23</v>
      </c>
      <c r="C3" s="1"/>
    </row>
    <row r="4" spans="1:3" ht="19" x14ac:dyDescent="0.2">
      <c r="A4" s="1" t="str">
        <f>Nodes!N2</f>
        <v>Storage Capacity Gas</v>
      </c>
      <c r="B4" s="9" t="s">
        <v>24</v>
      </c>
      <c r="C4" s="9"/>
    </row>
    <row r="5" spans="1:3" x14ac:dyDescent="0.2">
      <c r="A5" s="1" t="str">
        <f>Nodes!O2</f>
        <v>Entry Storage Costs Gas</v>
      </c>
      <c r="B5" s="1" t="s">
        <v>23</v>
      </c>
      <c r="C5" s="1"/>
    </row>
    <row r="6" spans="1:3" x14ac:dyDescent="0.2">
      <c r="A6" s="1" t="str">
        <f>Nodes!P2</f>
        <v>Entry Costs Gas Stage 1</v>
      </c>
      <c r="B6" s="1" t="s">
        <v>23</v>
      </c>
      <c r="C6" s="1"/>
    </row>
    <row r="7" spans="1:3" x14ac:dyDescent="0.2">
      <c r="A7" s="1" t="str">
        <f>Nodes!Q2</f>
        <v>Exit Costs Gas Stage 1</v>
      </c>
      <c r="B7" s="1" t="s">
        <v>23</v>
      </c>
      <c r="C7" s="1"/>
    </row>
    <row r="8" spans="1:3" x14ac:dyDescent="0.2">
      <c r="A8" s="1" t="str">
        <f>Arcs!M1</f>
        <v>Flow costs Gas</v>
      </c>
      <c r="B8" s="1" t="s">
        <v>23</v>
      </c>
      <c r="C8" s="1"/>
    </row>
    <row r="9" spans="1:3" ht="19" x14ac:dyDescent="0.2">
      <c r="A9" s="1" t="e">
        <f>Arcs!#REF!</f>
        <v>#REF!</v>
      </c>
      <c r="B9" s="9" t="s">
        <v>25</v>
      </c>
      <c r="C9" s="9"/>
    </row>
    <row r="10" spans="1:3" ht="19" x14ac:dyDescent="0.2">
      <c r="A10" s="1" t="s">
        <v>19</v>
      </c>
      <c r="B10" s="9" t="s">
        <v>25</v>
      </c>
      <c r="C10" s="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F5746-A1B1-6F4F-9762-CACD4A91B5F2}">
  <dimension ref="A1:AI67"/>
  <sheetViews>
    <sheetView tabSelected="1" zoomScale="180" zoomScaleNormal="180" workbookViewId="0">
      <selection activeCell="K8" sqref="K8"/>
    </sheetView>
  </sheetViews>
  <sheetFormatPr baseColWidth="10" defaultRowHeight="16" x14ac:dyDescent="0.2"/>
  <cols>
    <col min="1" max="1" width="3.1640625" bestFit="1" customWidth="1"/>
    <col min="2" max="2" width="30" bestFit="1" customWidth="1"/>
    <col min="3" max="3" width="5.1640625" bestFit="1" customWidth="1"/>
    <col min="4" max="4" width="12.5" style="14" bestFit="1" customWidth="1"/>
    <col min="5" max="5" width="12.1640625" style="14" bestFit="1" customWidth="1"/>
    <col min="6" max="6" width="5.1640625" bestFit="1" customWidth="1"/>
    <col min="7" max="7" width="17.83203125" bestFit="1" customWidth="1"/>
    <col min="8" max="8" width="16.6640625" bestFit="1" customWidth="1"/>
    <col min="9" max="10" width="21.83203125" bestFit="1" customWidth="1"/>
    <col min="11" max="11" width="16.83203125" bestFit="1" customWidth="1"/>
    <col min="12" max="12" width="15.5" bestFit="1" customWidth="1"/>
    <col min="13" max="13" width="19.1640625" bestFit="1" customWidth="1"/>
    <col min="14" max="14" width="18.83203125" bestFit="1" customWidth="1"/>
    <col min="15" max="15" width="21.1640625" bestFit="1" customWidth="1"/>
    <col min="16" max="16" width="20.83203125" bestFit="1" customWidth="1"/>
    <col min="17" max="17" width="19.6640625" bestFit="1" customWidth="1"/>
    <col min="18" max="18" width="20.83203125" bestFit="1" customWidth="1"/>
    <col min="19" max="19" width="19.6640625" bestFit="1" customWidth="1"/>
    <col min="20" max="20" width="20.83203125" bestFit="1" customWidth="1"/>
    <col min="21" max="21" width="19.6640625" bestFit="1" customWidth="1"/>
    <col min="22" max="22" width="23" bestFit="1" customWidth="1"/>
    <col min="23" max="23" width="21.6640625" bestFit="1" customWidth="1"/>
    <col min="24" max="24" width="27" bestFit="1" customWidth="1"/>
    <col min="25" max="25" width="22" bestFit="1" customWidth="1"/>
    <col min="26" max="26" width="20.5" bestFit="1" customWidth="1"/>
    <col min="27" max="27" width="24.33203125" bestFit="1" customWidth="1"/>
    <col min="28" max="28" width="24" bestFit="1" customWidth="1"/>
    <col min="29" max="29" width="26.33203125" bestFit="1" customWidth="1"/>
    <col min="30" max="30" width="26" bestFit="1" customWidth="1"/>
    <col min="31" max="31" width="24.6640625" bestFit="1" customWidth="1"/>
    <col min="32" max="32" width="26" bestFit="1" customWidth="1"/>
    <col min="33" max="33" width="24.6640625" bestFit="1" customWidth="1"/>
    <col min="34" max="34" width="26" bestFit="1" customWidth="1"/>
    <col min="35" max="35" width="24.6640625" bestFit="1" customWidth="1"/>
  </cols>
  <sheetData>
    <row r="1" spans="1:35" x14ac:dyDescent="0.2">
      <c r="G1" s="31" t="s">
        <v>138</v>
      </c>
      <c r="H1" s="31"/>
      <c r="I1" s="31"/>
      <c r="J1" s="31"/>
      <c r="K1" s="31"/>
      <c r="L1" s="31"/>
      <c r="M1" s="31"/>
      <c r="N1" s="31"/>
      <c r="O1" s="31"/>
      <c r="P1" s="31"/>
      <c r="Q1" s="31"/>
      <c r="R1" s="31"/>
      <c r="S1" s="31"/>
      <c r="T1" s="31"/>
      <c r="U1" s="31"/>
      <c r="V1" s="32" t="s">
        <v>268</v>
      </c>
      <c r="W1" s="32"/>
      <c r="X1" s="32"/>
      <c r="Y1" s="32"/>
      <c r="Z1" s="32"/>
      <c r="AA1" s="32"/>
      <c r="AB1" s="32"/>
      <c r="AC1" s="32"/>
      <c r="AD1" s="32"/>
      <c r="AE1" s="32"/>
      <c r="AF1" s="32"/>
      <c r="AG1" s="32"/>
      <c r="AH1" s="32"/>
      <c r="AI1" s="32"/>
    </row>
    <row r="2" spans="1:35" x14ac:dyDescent="0.2">
      <c r="A2" s="4" t="s">
        <v>0</v>
      </c>
      <c r="B2" s="4" t="s">
        <v>1</v>
      </c>
      <c r="C2" s="4" t="s">
        <v>4</v>
      </c>
      <c r="D2" s="15" t="s">
        <v>68</v>
      </c>
      <c r="E2" s="15" t="s">
        <v>69</v>
      </c>
      <c r="F2" s="4" t="s">
        <v>130</v>
      </c>
      <c r="G2" s="5" t="s">
        <v>71</v>
      </c>
      <c r="H2" s="5" t="s">
        <v>72</v>
      </c>
      <c r="I2" s="5" t="s">
        <v>39</v>
      </c>
      <c r="J2" s="5" t="s">
        <v>272</v>
      </c>
      <c r="K2" s="5" t="s">
        <v>40</v>
      </c>
      <c r="L2" s="5" t="s">
        <v>41</v>
      </c>
      <c r="M2" s="5" t="s">
        <v>42</v>
      </c>
      <c r="N2" s="5" t="s">
        <v>43</v>
      </c>
      <c r="O2" s="5" t="s">
        <v>44</v>
      </c>
      <c r="P2" s="5" t="s">
        <v>45</v>
      </c>
      <c r="Q2" s="5" t="s">
        <v>46</v>
      </c>
      <c r="R2" s="5" t="s">
        <v>47</v>
      </c>
      <c r="S2" s="5" t="s">
        <v>48</v>
      </c>
      <c r="T2" s="5" t="s">
        <v>49</v>
      </c>
      <c r="U2" s="5" t="s">
        <v>50</v>
      </c>
      <c r="V2" s="6" t="s">
        <v>73</v>
      </c>
      <c r="W2" s="6" t="s">
        <v>74</v>
      </c>
      <c r="X2" s="6" t="s">
        <v>51</v>
      </c>
      <c r="Y2" s="6" t="s">
        <v>52</v>
      </c>
      <c r="Z2" s="6" t="s">
        <v>53</v>
      </c>
      <c r="AA2" s="6" t="s">
        <v>54</v>
      </c>
      <c r="AB2" s="6" t="s">
        <v>55</v>
      </c>
      <c r="AC2" s="6" t="s">
        <v>56</v>
      </c>
      <c r="AD2" s="6" t="s">
        <v>57</v>
      </c>
      <c r="AE2" s="6" t="s">
        <v>58</v>
      </c>
      <c r="AF2" s="6" t="s">
        <v>59</v>
      </c>
      <c r="AG2" s="6" t="s">
        <v>60</v>
      </c>
      <c r="AH2" s="6" t="s">
        <v>61</v>
      </c>
      <c r="AI2" s="6" t="s">
        <v>62</v>
      </c>
    </row>
    <row r="3" spans="1:35" x14ac:dyDescent="0.2">
      <c r="A3" s="1">
        <v>1</v>
      </c>
      <c r="B3" s="1" t="s">
        <v>247</v>
      </c>
      <c r="C3" s="1"/>
      <c r="D3" s="17">
        <v>23.58734798579594</v>
      </c>
      <c r="E3" s="17">
        <v>70.685443717529964</v>
      </c>
      <c r="F3" s="1"/>
      <c r="G3" s="2">
        <v>5</v>
      </c>
      <c r="H3" s="2">
        <v>5</v>
      </c>
      <c r="I3" s="2">
        <f>J3/1000</f>
        <v>0.11905</v>
      </c>
      <c r="J3" s="2">
        <v>119.05</v>
      </c>
      <c r="K3" s="11">
        <v>500</v>
      </c>
      <c r="L3" s="11">
        <v>500</v>
      </c>
      <c r="M3" s="2">
        <v>1</v>
      </c>
      <c r="N3" s="2">
        <v>0</v>
      </c>
      <c r="O3" s="2">
        <v>0</v>
      </c>
      <c r="P3" s="2">
        <v>1</v>
      </c>
      <c r="Q3" s="2">
        <v>1</v>
      </c>
      <c r="R3" s="2">
        <v>0.1</v>
      </c>
      <c r="S3" s="2">
        <v>0.1</v>
      </c>
      <c r="T3" s="2">
        <v>0.35</v>
      </c>
      <c r="U3" s="2">
        <v>0.35</v>
      </c>
      <c r="V3" s="3">
        <v>5</v>
      </c>
      <c r="W3" s="3">
        <v>5</v>
      </c>
      <c r="X3" s="3">
        <v>0</v>
      </c>
      <c r="Y3" s="3">
        <v>0</v>
      </c>
      <c r="Z3" s="3">
        <v>0</v>
      </c>
      <c r="AA3" s="3">
        <v>1</v>
      </c>
      <c r="AB3" s="3">
        <v>0</v>
      </c>
      <c r="AC3" s="3">
        <v>1</v>
      </c>
      <c r="AD3" s="3">
        <v>1</v>
      </c>
      <c r="AE3" s="3">
        <v>1</v>
      </c>
      <c r="AF3" s="3">
        <v>3</v>
      </c>
      <c r="AG3" s="3">
        <v>3</v>
      </c>
      <c r="AH3" s="3">
        <v>5</v>
      </c>
      <c r="AI3" s="3">
        <v>5</v>
      </c>
    </row>
    <row r="4" spans="1:35" x14ac:dyDescent="0.2">
      <c r="A4" s="1">
        <v>2</v>
      </c>
      <c r="B4" s="1" t="s">
        <v>246</v>
      </c>
      <c r="C4" s="1"/>
      <c r="D4" s="17">
        <v>21.226541519000019</v>
      </c>
      <c r="E4" s="17">
        <v>71.571334839000031</v>
      </c>
      <c r="F4" s="1"/>
      <c r="G4" s="2">
        <v>5</v>
      </c>
      <c r="H4" s="2">
        <v>5</v>
      </c>
      <c r="I4" s="2">
        <f t="shared" ref="I4:I64" si="0">J4/1000</f>
        <v>8.8895949999999999</v>
      </c>
      <c r="J4" s="2">
        <v>8889.5949999999993</v>
      </c>
      <c r="K4" s="11">
        <v>500</v>
      </c>
      <c r="L4" s="11">
        <v>500</v>
      </c>
      <c r="M4" s="2">
        <v>1</v>
      </c>
      <c r="N4" s="2">
        <v>0</v>
      </c>
      <c r="O4" s="2">
        <v>0</v>
      </c>
      <c r="P4" s="2">
        <v>1</v>
      </c>
      <c r="Q4" s="2">
        <v>1</v>
      </c>
      <c r="R4" s="2">
        <v>0.1</v>
      </c>
      <c r="S4" s="2">
        <v>0.1</v>
      </c>
      <c r="T4" s="2">
        <v>0.35</v>
      </c>
      <c r="U4" s="2">
        <v>0.35</v>
      </c>
      <c r="V4" s="3">
        <v>5</v>
      </c>
      <c r="W4" s="3">
        <v>5</v>
      </c>
      <c r="X4" s="3">
        <v>0</v>
      </c>
      <c r="Y4" s="3">
        <v>0</v>
      </c>
      <c r="Z4" s="3">
        <v>0</v>
      </c>
      <c r="AA4" s="3">
        <v>1</v>
      </c>
      <c r="AB4" s="3">
        <v>0</v>
      </c>
      <c r="AC4" s="3">
        <v>1</v>
      </c>
      <c r="AD4" s="3">
        <v>1</v>
      </c>
      <c r="AE4" s="3">
        <v>1</v>
      </c>
      <c r="AF4" s="3">
        <v>3</v>
      </c>
      <c r="AG4" s="3">
        <v>3</v>
      </c>
      <c r="AH4" s="3">
        <v>5</v>
      </c>
      <c r="AI4" s="3">
        <v>5</v>
      </c>
    </row>
    <row r="5" spans="1:35" x14ac:dyDescent="0.2">
      <c r="A5" s="1">
        <v>3</v>
      </c>
      <c r="B5" s="1" t="s">
        <v>76</v>
      </c>
      <c r="C5" s="1"/>
      <c r="D5" s="17">
        <v>7.1072270000000231</v>
      </c>
      <c r="E5" s="17">
        <v>67.055610000000058</v>
      </c>
      <c r="F5" s="1"/>
      <c r="G5" s="2">
        <v>5</v>
      </c>
      <c r="H5" s="2">
        <v>5</v>
      </c>
      <c r="I5" s="2">
        <f t="shared" si="0"/>
        <v>8.8895949999999999</v>
      </c>
      <c r="J5" s="2">
        <v>8889.5949999999993</v>
      </c>
      <c r="K5" s="11">
        <v>500</v>
      </c>
      <c r="L5" s="11">
        <v>500</v>
      </c>
      <c r="M5" s="2">
        <v>1</v>
      </c>
      <c r="N5" s="2">
        <v>0</v>
      </c>
      <c r="O5" s="2">
        <v>0</v>
      </c>
      <c r="P5" s="2">
        <v>1</v>
      </c>
      <c r="Q5" s="2">
        <v>1</v>
      </c>
      <c r="R5" s="2">
        <v>0.1</v>
      </c>
      <c r="S5" s="2">
        <v>0.1</v>
      </c>
      <c r="T5" s="2">
        <v>0.35</v>
      </c>
      <c r="U5" s="2">
        <v>0.35</v>
      </c>
      <c r="V5" s="3">
        <v>5</v>
      </c>
      <c r="W5" s="3">
        <v>5</v>
      </c>
      <c r="X5" s="3">
        <v>0</v>
      </c>
      <c r="Y5" s="3">
        <v>0</v>
      </c>
      <c r="Z5" s="3">
        <v>0</v>
      </c>
      <c r="AA5" s="3">
        <v>1</v>
      </c>
      <c r="AB5" s="3">
        <v>0</v>
      </c>
      <c r="AC5" s="3">
        <v>1</v>
      </c>
      <c r="AD5" s="3">
        <v>1</v>
      </c>
      <c r="AE5" s="3">
        <v>1</v>
      </c>
      <c r="AF5" s="3">
        <v>3</v>
      </c>
      <c r="AG5" s="3">
        <v>3</v>
      </c>
      <c r="AH5" s="3">
        <v>5</v>
      </c>
      <c r="AI5" s="3">
        <v>5</v>
      </c>
    </row>
    <row r="6" spans="1:35" x14ac:dyDescent="0.2">
      <c r="A6" s="1">
        <v>4</v>
      </c>
      <c r="B6" s="1" t="s">
        <v>77</v>
      </c>
      <c r="C6" s="1"/>
      <c r="D6" s="17">
        <v>8.0785441179034034</v>
      </c>
      <c r="E6" s="17">
        <v>66.029330899408933</v>
      </c>
      <c r="F6" s="1"/>
      <c r="G6" s="2">
        <v>5</v>
      </c>
      <c r="H6" s="2">
        <v>5</v>
      </c>
      <c r="I6" s="2">
        <f t="shared" si="0"/>
        <v>1.0410509999999999</v>
      </c>
      <c r="J6" s="2">
        <v>1041.0509999999999</v>
      </c>
      <c r="K6" s="11">
        <v>500</v>
      </c>
      <c r="L6" s="11">
        <v>500</v>
      </c>
      <c r="M6" s="2">
        <v>1</v>
      </c>
      <c r="N6" s="2">
        <v>0</v>
      </c>
      <c r="O6" s="2">
        <v>0</v>
      </c>
      <c r="P6" s="2">
        <v>1</v>
      </c>
      <c r="Q6" s="2">
        <v>1</v>
      </c>
      <c r="R6" s="2">
        <v>0.1</v>
      </c>
      <c r="S6" s="2">
        <v>0.1</v>
      </c>
      <c r="T6" s="2">
        <v>0.35</v>
      </c>
      <c r="U6" s="2">
        <v>0.35</v>
      </c>
      <c r="V6" s="3">
        <v>5</v>
      </c>
      <c r="W6" s="3">
        <v>5</v>
      </c>
      <c r="X6" s="3">
        <v>0</v>
      </c>
      <c r="Y6" s="3">
        <v>0</v>
      </c>
      <c r="Z6" s="3">
        <v>0</v>
      </c>
      <c r="AA6" s="3">
        <v>1</v>
      </c>
      <c r="AB6" s="3">
        <v>0</v>
      </c>
      <c r="AC6" s="3">
        <v>1</v>
      </c>
      <c r="AD6" s="3">
        <v>1</v>
      </c>
      <c r="AE6" s="3">
        <v>1</v>
      </c>
      <c r="AF6" s="3">
        <v>3</v>
      </c>
      <c r="AG6" s="3">
        <v>3</v>
      </c>
      <c r="AH6" s="3">
        <v>5</v>
      </c>
      <c r="AI6" s="3">
        <v>5</v>
      </c>
    </row>
    <row r="7" spans="1:35" x14ac:dyDescent="0.2">
      <c r="A7" s="1">
        <v>5</v>
      </c>
      <c r="B7" s="1" t="s">
        <v>78</v>
      </c>
      <c r="C7" s="1"/>
      <c r="D7" s="17">
        <v>7.6558328198016818</v>
      </c>
      <c r="E7" s="17">
        <v>65.693743899121472</v>
      </c>
      <c r="F7" s="1"/>
      <c r="G7" s="2">
        <v>5</v>
      </c>
      <c r="H7" s="2">
        <v>5</v>
      </c>
      <c r="I7" s="2">
        <f t="shared" si="0"/>
        <v>4.8064999999999997E-2</v>
      </c>
      <c r="J7" s="2">
        <v>48.064999999999998</v>
      </c>
      <c r="K7" s="11">
        <v>500</v>
      </c>
      <c r="L7" s="11">
        <v>500</v>
      </c>
      <c r="M7" s="2">
        <v>1</v>
      </c>
      <c r="N7" s="2">
        <v>0</v>
      </c>
      <c r="O7" s="2">
        <v>0</v>
      </c>
      <c r="P7" s="2">
        <v>1</v>
      </c>
      <c r="Q7" s="2">
        <v>1</v>
      </c>
      <c r="R7" s="2">
        <v>0.1</v>
      </c>
      <c r="S7" s="2">
        <v>0.1</v>
      </c>
      <c r="T7" s="2">
        <v>0.35</v>
      </c>
      <c r="U7" s="2">
        <v>0.35</v>
      </c>
      <c r="V7" s="3">
        <v>5</v>
      </c>
      <c r="W7" s="3">
        <v>5</v>
      </c>
      <c r="X7" s="3">
        <v>0</v>
      </c>
      <c r="Y7" s="3">
        <v>0</v>
      </c>
      <c r="Z7" s="3">
        <v>0</v>
      </c>
      <c r="AA7" s="3">
        <v>1</v>
      </c>
      <c r="AB7" s="3">
        <v>0</v>
      </c>
      <c r="AC7" s="3">
        <v>1</v>
      </c>
      <c r="AD7" s="3">
        <v>1</v>
      </c>
      <c r="AE7" s="3">
        <v>1</v>
      </c>
      <c r="AF7" s="3">
        <v>3</v>
      </c>
      <c r="AG7" s="3">
        <v>3</v>
      </c>
      <c r="AH7" s="3">
        <v>5</v>
      </c>
      <c r="AI7" s="3">
        <v>5</v>
      </c>
    </row>
    <row r="8" spans="1:35" x14ac:dyDescent="0.2">
      <c r="A8" s="1">
        <v>6</v>
      </c>
      <c r="B8" s="1" t="s">
        <v>79</v>
      </c>
      <c r="C8" s="1"/>
      <c r="D8" s="17">
        <v>7.3202454238671333</v>
      </c>
      <c r="E8" s="17">
        <v>65.321499578632455</v>
      </c>
      <c r="F8" s="1"/>
      <c r="G8" s="2">
        <v>5</v>
      </c>
      <c r="H8" s="2">
        <v>5</v>
      </c>
      <c r="I8" s="2">
        <f t="shared" si="0"/>
        <v>1.2145999999999999</v>
      </c>
      <c r="J8" s="2">
        <v>1214.5999999999999</v>
      </c>
      <c r="K8" s="11">
        <v>500</v>
      </c>
      <c r="L8" s="11">
        <v>500</v>
      </c>
      <c r="M8" s="2">
        <v>1</v>
      </c>
      <c r="N8" s="2">
        <v>0</v>
      </c>
      <c r="O8" s="2">
        <v>0</v>
      </c>
      <c r="P8" s="2">
        <v>1</v>
      </c>
      <c r="Q8" s="2">
        <v>1</v>
      </c>
      <c r="R8" s="2">
        <v>0.1</v>
      </c>
      <c r="S8" s="2">
        <v>0.1</v>
      </c>
      <c r="T8" s="2">
        <v>0.35</v>
      </c>
      <c r="U8" s="2">
        <v>0.35</v>
      </c>
      <c r="V8" s="3">
        <v>5</v>
      </c>
      <c r="W8" s="3">
        <v>5</v>
      </c>
      <c r="X8" s="3">
        <v>0</v>
      </c>
      <c r="Y8" s="3">
        <v>0</v>
      </c>
      <c r="Z8" s="3">
        <v>0</v>
      </c>
      <c r="AA8" s="3">
        <v>1</v>
      </c>
      <c r="AB8" s="3">
        <v>0</v>
      </c>
      <c r="AC8" s="3">
        <v>1</v>
      </c>
      <c r="AD8" s="3">
        <v>1</v>
      </c>
      <c r="AE8" s="3">
        <v>1</v>
      </c>
      <c r="AF8" s="3">
        <v>3</v>
      </c>
      <c r="AG8" s="3">
        <v>3</v>
      </c>
      <c r="AH8" s="3">
        <v>5</v>
      </c>
      <c r="AI8" s="3">
        <v>5</v>
      </c>
    </row>
    <row r="9" spans="1:35" x14ac:dyDescent="0.2">
      <c r="A9" s="1">
        <v>7</v>
      </c>
      <c r="B9" s="1" t="s">
        <v>257</v>
      </c>
      <c r="C9" s="1"/>
      <c r="D9" s="17">
        <v>6.8036598360000653</v>
      </c>
      <c r="E9" s="17">
        <v>65.094471500000054</v>
      </c>
      <c r="F9" s="1"/>
      <c r="G9" s="2">
        <v>5</v>
      </c>
      <c r="H9" s="2">
        <v>5</v>
      </c>
      <c r="I9" s="2">
        <f t="shared" si="0"/>
        <v>0</v>
      </c>
      <c r="J9" s="2">
        <v>0</v>
      </c>
      <c r="K9" s="11">
        <v>500</v>
      </c>
      <c r="L9" s="11">
        <v>500</v>
      </c>
      <c r="M9" s="2">
        <v>1</v>
      </c>
      <c r="N9" s="2">
        <v>0</v>
      </c>
      <c r="O9" s="2">
        <v>0</v>
      </c>
      <c r="P9" s="2">
        <v>1</v>
      </c>
      <c r="Q9" s="2">
        <v>1</v>
      </c>
      <c r="R9" s="2">
        <v>0.1</v>
      </c>
      <c r="S9" s="2">
        <v>0.1</v>
      </c>
      <c r="T9" s="2">
        <v>0.35</v>
      </c>
      <c r="U9" s="2">
        <v>0.35</v>
      </c>
      <c r="V9" s="3">
        <v>5</v>
      </c>
      <c r="W9" s="3">
        <v>5</v>
      </c>
      <c r="X9" s="3">
        <v>0</v>
      </c>
      <c r="Y9" s="3">
        <v>0</v>
      </c>
      <c r="Z9" s="3">
        <v>0</v>
      </c>
      <c r="AA9" s="3">
        <v>1</v>
      </c>
      <c r="AB9" s="3">
        <v>0</v>
      </c>
      <c r="AC9" s="3">
        <v>1</v>
      </c>
      <c r="AD9" s="3">
        <v>1</v>
      </c>
      <c r="AE9" s="3">
        <v>1</v>
      </c>
      <c r="AF9" s="3">
        <v>3</v>
      </c>
      <c r="AG9" s="3">
        <v>3</v>
      </c>
      <c r="AH9" s="3">
        <v>5</v>
      </c>
      <c r="AI9" s="3">
        <v>5</v>
      </c>
    </row>
    <row r="10" spans="1:35" x14ac:dyDescent="0.2">
      <c r="A10" s="1">
        <v>8</v>
      </c>
      <c r="B10" s="1" t="s">
        <v>80</v>
      </c>
      <c r="C10" s="1"/>
      <c r="D10" s="17">
        <v>6.8014610000000744</v>
      </c>
      <c r="E10" s="17">
        <v>65.084516000000065</v>
      </c>
      <c r="F10" s="1"/>
      <c r="G10" s="2">
        <v>5</v>
      </c>
      <c r="H10" s="2">
        <v>5</v>
      </c>
      <c r="I10" s="2">
        <f t="shared" si="0"/>
        <v>1.2145999999999999</v>
      </c>
      <c r="J10" s="2">
        <v>1214.5999999999999</v>
      </c>
      <c r="K10" s="11">
        <v>500</v>
      </c>
      <c r="L10" s="11">
        <v>500</v>
      </c>
      <c r="M10" s="2">
        <v>1</v>
      </c>
      <c r="N10" s="2">
        <v>0</v>
      </c>
      <c r="O10" s="2">
        <v>0</v>
      </c>
      <c r="P10" s="2">
        <v>1</v>
      </c>
      <c r="Q10" s="2">
        <v>1</v>
      </c>
      <c r="R10" s="2">
        <v>0.1</v>
      </c>
      <c r="S10" s="2">
        <v>0.1</v>
      </c>
      <c r="T10" s="2">
        <v>0.35</v>
      </c>
      <c r="U10" s="2">
        <v>0.35</v>
      </c>
      <c r="V10" s="3">
        <v>5</v>
      </c>
      <c r="W10" s="3">
        <v>5</v>
      </c>
      <c r="X10" s="3">
        <v>0</v>
      </c>
      <c r="Y10" s="3">
        <v>0</v>
      </c>
      <c r="Z10" s="3">
        <v>0</v>
      </c>
      <c r="AA10" s="3">
        <v>1</v>
      </c>
      <c r="AB10" s="3">
        <v>0</v>
      </c>
      <c r="AC10" s="3">
        <v>1</v>
      </c>
      <c r="AD10" s="3">
        <v>1</v>
      </c>
      <c r="AE10" s="3">
        <v>1</v>
      </c>
      <c r="AF10" s="3">
        <v>3</v>
      </c>
      <c r="AG10" s="3">
        <v>3</v>
      </c>
      <c r="AH10" s="3">
        <v>5</v>
      </c>
      <c r="AI10" s="3">
        <v>5</v>
      </c>
    </row>
    <row r="11" spans="1:35" x14ac:dyDescent="0.2">
      <c r="A11" s="1">
        <v>9</v>
      </c>
      <c r="B11" s="1" t="s">
        <v>81</v>
      </c>
      <c r="C11" s="1"/>
      <c r="D11" s="17">
        <v>7.7910261052919596</v>
      </c>
      <c r="E11" s="17">
        <v>64.350567591210293</v>
      </c>
      <c r="F11" s="1"/>
      <c r="G11" s="2">
        <v>5</v>
      </c>
      <c r="H11" s="2">
        <v>5</v>
      </c>
      <c r="I11" s="2">
        <f t="shared" si="0"/>
        <v>4.8064999999999997E-2</v>
      </c>
      <c r="J11" s="2">
        <v>48.064999999999998</v>
      </c>
      <c r="K11" s="11">
        <v>500</v>
      </c>
      <c r="L11" s="11">
        <v>500</v>
      </c>
      <c r="M11" s="2">
        <v>1</v>
      </c>
      <c r="N11" s="2">
        <v>0</v>
      </c>
      <c r="O11" s="2">
        <v>0</v>
      </c>
      <c r="P11" s="2">
        <v>1</v>
      </c>
      <c r="Q11" s="2">
        <v>1</v>
      </c>
      <c r="R11" s="2">
        <v>0.1</v>
      </c>
      <c r="S11" s="2">
        <v>0.1</v>
      </c>
      <c r="T11" s="2">
        <v>0.35</v>
      </c>
      <c r="U11" s="2">
        <v>0.35</v>
      </c>
      <c r="V11" s="3">
        <v>5</v>
      </c>
      <c r="W11" s="3">
        <v>5</v>
      </c>
      <c r="X11" s="3">
        <v>0</v>
      </c>
      <c r="Y11" s="3">
        <v>0</v>
      </c>
      <c r="Z11" s="3">
        <v>0</v>
      </c>
      <c r="AA11" s="3">
        <v>1</v>
      </c>
      <c r="AB11" s="3">
        <v>0</v>
      </c>
      <c r="AC11" s="3">
        <v>1</v>
      </c>
      <c r="AD11" s="3">
        <v>1</v>
      </c>
      <c r="AE11" s="3">
        <v>1</v>
      </c>
      <c r="AF11" s="3">
        <v>3</v>
      </c>
      <c r="AG11" s="3">
        <v>3</v>
      </c>
      <c r="AH11" s="3">
        <v>5</v>
      </c>
      <c r="AI11" s="3">
        <v>5</v>
      </c>
    </row>
    <row r="12" spans="1:35" x14ac:dyDescent="0.2">
      <c r="A12" s="1">
        <v>10</v>
      </c>
      <c r="B12" s="1" t="s">
        <v>82</v>
      </c>
      <c r="C12" s="1"/>
      <c r="D12" s="17">
        <v>6.4412580000000617</v>
      </c>
      <c r="E12" s="17">
        <v>64.233255000000042</v>
      </c>
      <c r="F12" s="1"/>
      <c r="G12" s="2">
        <v>5</v>
      </c>
      <c r="H12" s="2">
        <v>5</v>
      </c>
      <c r="I12" s="2">
        <f t="shared" si="0"/>
        <v>4.8064999999999997E-2</v>
      </c>
      <c r="J12" s="2">
        <v>48.064999999999998</v>
      </c>
      <c r="K12" s="11">
        <v>500</v>
      </c>
      <c r="L12" s="11">
        <v>500</v>
      </c>
      <c r="M12" s="2">
        <v>1</v>
      </c>
      <c r="N12" s="2">
        <v>0</v>
      </c>
      <c r="O12" s="2">
        <v>0</v>
      </c>
      <c r="P12" s="2">
        <v>1</v>
      </c>
      <c r="Q12" s="2">
        <v>1</v>
      </c>
      <c r="R12" s="2">
        <v>0.1</v>
      </c>
      <c r="S12" s="2">
        <v>0.1</v>
      </c>
      <c r="T12" s="2">
        <v>0.35</v>
      </c>
      <c r="U12" s="2">
        <v>0.35</v>
      </c>
      <c r="V12" s="3">
        <v>5</v>
      </c>
      <c r="W12" s="3">
        <v>5</v>
      </c>
      <c r="X12" s="3">
        <v>0</v>
      </c>
      <c r="Y12" s="3">
        <v>0</v>
      </c>
      <c r="Z12" s="3">
        <v>0</v>
      </c>
      <c r="AA12" s="3">
        <v>1</v>
      </c>
      <c r="AB12" s="3">
        <v>0</v>
      </c>
      <c r="AC12" s="3">
        <v>1</v>
      </c>
      <c r="AD12" s="3">
        <v>1</v>
      </c>
      <c r="AE12" s="3">
        <v>1</v>
      </c>
      <c r="AF12" s="3">
        <v>3</v>
      </c>
      <c r="AG12" s="3">
        <v>3</v>
      </c>
      <c r="AH12" s="3">
        <v>5</v>
      </c>
      <c r="AI12" s="3">
        <v>5</v>
      </c>
    </row>
    <row r="13" spans="1:35" x14ac:dyDescent="0.2">
      <c r="A13" s="1">
        <v>11</v>
      </c>
      <c r="B13" s="1" t="s">
        <v>83</v>
      </c>
      <c r="C13" s="1"/>
      <c r="D13" s="17">
        <v>5.3867635720000644</v>
      </c>
      <c r="E13" s="17">
        <v>63.528081670000063</v>
      </c>
      <c r="F13" s="1"/>
      <c r="G13" s="2">
        <v>5</v>
      </c>
      <c r="H13" s="2">
        <v>5</v>
      </c>
      <c r="I13" s="2">
        <f t="shared" si="0"/>
        <v>4.8064999999999997E-2</v>
      </c>
      <c r="J13" s="2">
        <v>48.064999999999998</v>
      </c>
      <c r="K13" s="11">
        <v>500</v>
      </c>
      <c r="L13" s="11">
        <v>500</v>
      </c>
      <c r="M13" s="2">
        <v>1</v>
      </c>
      <c r="N13" s="2">
        <v>0</v>
      </c>
      <c r="O13" s="2">
        <v>0</v>
      </c>
      <c r="P13" s="2">
        <v>1</v>
      </c>
      <c r="Q13" s="2">
        <v>1</v>
      </c>
      <c r="R13" s="2">
        <v>0.1</v>
      </c>
      <c r="S13" s="2">
        <v>0.1</v>
      </c>
      <c r="T13" s="2">
        <v>0.35</v>
      </c>
      <c r="U13" s="2">
        <v>0.35</v>
      </c>
      <c r="V13" s="3">
        <v>5</v>
      </c>
      <c r="W13" s="3">
        <v>5</v>
      </c>
      <c r="X13" s="3">
        <v>0</v>
      </c>
      <c r="Y13" s="3">
        <v>0</v>
      </c>
      <c r="Z13" s="3">
        <v>0</v>
      </c>
      <c r="AA13" s="3">
        <v>1</v>
      </c>
      <c r="AB13" s="3">
        <v>0</v>
      </c>
      <c r="AC13" s="3">
        <v>1</v>
      </c>
      <c r="AD13" s="3">
        <v>1</v>
      </c>
      <c r="AE13" s="3">
        <v>1</v>
      </c>
      <c r="AF13" s="3">
        <v>3</v>
      </c>
      <c r="AG13" s="3">
        <v>3</v>
      </c>
      <c r="AH13" s="3">
        <v>5</v>
      </c>
      <c r="AI13" s="3">
        <v>5</v>
      </c>
    </row>
    <row r="14" spans="1:35" x14ac:dyDescent="0.2">
      <c r="A14" s="1">
        <v>12</v>
      </c>
      <c r="B14" s="1" t="s">
        <v>84</v>
      </c>
      <c r="C14" s="1"/>
      <c r="D14" s="17">
        <v>5.3865159610000433</v>
      </c>
      <c r="E14" s="17">
        <v>63.528076290000058</v>
      </c>
      <c r="F14" s="1"/>
      <c r="G14" s="2">
        <v>5</v>
      </c>
      <c r="H14" s="2">
        <v>5</v>
      </c>
      <c r="I14" s="2">
        <f t="shared" si="0"/>
        <v>0</v>
      </c>
      <c r="J14" s="2">
        <v>0</v>
      </c>
      <c r="K14" s="11">
        <v>500</v>
      </c>
      <c r="L14" s="11">
        <v>500</v>
      </c>
      <c r="M14" s="2">
        <v>1</v>
      </c>
      <c r="N14" s="2">
        <v>0</v>
      </c>
      <c r="O14" s="2">
        <v>0</v>
      </c>
      <c r="P14" s="2">
        <v>1</v>
      </c>
      <c r="Q14" s="2">
        <v>1</v>
      </c>
      <c r="R14" s="2">
        <v>0.1</v>
      </c>
      <c r="S14" s="2">
        <v>0.1</v>
      </c>
      <c r="T14" s="2">
        <v>0.35</v>
      </c>
      <c r="U14" s="2">
        <v>0.35</v>
      </c>
      <c r="V14" s="3">
        <v>5</v>
      </c>
      <c r="W14" s="3">
        <v>5</v>
      </c>
      <c r="X14" s="3">
        <v>0</v>
      </c>
      <c r="Y14" s="3">
        <v>0</v>
      </c>
      <c r="Z14" s="3">
        <v>0</v>
      </c>
      <c r="AA14" s="3">
        <v>1</v>
      </c>
      <c r="AB14" s="3">
        <v>0</v>
      </c>
      <c r="AC14" s="3">
        <v>1</v>
      </c>
      <c r="AD14" s="3">
        <v>1</v>
      </c>
      <c r="AE14" s="3">
        <v>1</v>
      </c>
      <c r="AF14" s="3">
        <v>3</v>
      </c>
      <c r="AG14" s="3">
        <v>3</v>
      </c>
      <c r="AH14" s="3">
        <v>5</v>
      </c>
      <c r="AI14" s="3">
        <v>5</v>
      </c>
    </row>
    <row r="15" spans="1:35" x14ac:dyDescent="0.2">
      <c r="A15" s="1">
        <v>13</v>
      </c>
      <c r="B15" s="1" t="s">
        <v>85</v>
      </c>
      <c r="C15" s="1"/>
      <c r="D15" s="17">
        <v>8.6582155394689266</v>
      </c>
      <c r="E15" s="17">
        <v>63.398890962560763</v>
      </c>
      <c r="F15" s="1"/>
      <c r="G15" s="2">
        <v>5</v>
      </c>
      <c r="H15" s="2">
        <v>5</v>
      </c>
      <c r="I15" s="2">
        <f t="shared" si="0"/>
        <v>0</v>
      </c>
      <c r="J15" s="2">
        <v>0</v>
      </c>
      <c r="K15" s="11">
        <v>500</v>
      </c>
      <c r="L15" s="11">
        <v>500</v>
      </c>
      <c r="M15" s="2">
        <v>1</v>
      </c>
      <c r="N15" s="2">
        <v>0</v>
      </c>
      <c r="O15" s="2">
        <v>0</v>
      </c>
      <c r="P15" s="2">
        <v>1</v>
      </c>
      <c r="Q15" s="2">
        <v>1</v>
      </c>
      <c r="R15" s="2">
        <v>0.1</v>
      </c>
      <c r="S15" s="2">
        <v>0.1</v>
      </c>
      <c r="T15" s="2">
        <v>0.35</v>
      </c>
      <c r="U15" s="2">
        <v>0.35</v>
      </c>
      <c r="V15" s="3">
        <v>5</v>
      </c>
      <c r="W15" s="3">
        <v>5</v>
      </c>
      <c r="X15" s="3">
        <v>0</v>
      </c>
      <c r="Y15" s="3">
        <v>0</v>
      </c>
      <c r="Z15" s="3">
        <v>0</v>
      </c>
      <c r="AA15" s="3">
        <v>1</v>
      </c>
      <c r="AB15" s="3">
        <v>0</v>
      </c>
      <c r="AC15" s="3">
        <v>1</v>
      </c>
      <c r="AD15" s="3">
        <v>1</v>
      </c>
      <c r="AE15" s="3">
        <v>1</v>
      </c>
      <c r="AF15" s="3">
        <v>3</v>
      </c>
      <c r="AG15" s="3">
        <v>3</v>
      </c>
      <c r="AH15" s="3">
        <v>5</v>
      </c>
      <c r="AI15" s="3">
        <v>5</v>
      </c>
    </row>
    <row r="16" spans="1:35" x14ac:dyDescent="0.2">
      <c r="A16" s="1">
        <v>14</v>
      </c>
      <c r="B16" s="1" t="s">
        <v>86</v>
      </c>
      <c r="C16" s="1"/>
      <c r="D16" s="17">
        <v>6.9457712170000718</v>
      </c>
      <c r="E16" s="17">
        <v>62.851558685000043</v>
      </c>
      <c r="F16" s="1"/>
      <c r="G16" s="2">
        <v>5</v>
      </c>
      <c r="H16" s="2">
        <v>5</v>
      </c>
      <c r="I16" s="2">
        <f t="shared" si="0"/>
        <v>3.0938470000000002</v>
      </c>
      <c r="J16" s="2">
        <v>3093.8470000000002</v>
      </c>
      <c r="K16" s="11">
        <v>500</v>
      </c>
      <c r="L16" s="11">
        <v>500</v>
      </c>
      <c r="M16" s="2">
        <v>1</v>
      </c>
      <c r="N16" s="2">
        <v>0</v>
      </c>
      <c r="O16" s="2">
        <v>0</v>
      </c>
      <c r="P16" s="2">
        <v>1</v>
      </c>
      <c r="Q16" s="2">
        <v>1</v>
      </c>
      <c r="R16" s="2">
        <v>0.1</v>
      </c>
      <c r="S16" s="2">
        <v>0.1</v>
      </c>
      <c r="T16" s="2">
        <v>0.35</v>
      </c>
      <c r="U16" s="2">
        <v>0.35</v>
      </c>
      <c r="V16" s="3">
        <v>5</v>
      </c>
      <c r="W16" s="3">
        <v>5</v>
      </c>
      <c r="X16" s="3">
        <v>0</v>
      </c>
      <c r="Y16" s="3">
        <v>0</v>
      </c>
      <c r="Z16" s="3">
        <v>0</v>
      </c>
      <c r="AA16" s="3">
        <v>1</v>
      </c>
      <c r="AB16" s="3">
        <v>0</v>
      </c>
      <c r="AC16" s="3">
        <v>1</v>
      </c>
      <c r="AD16" s="3">
        <v>1</v>
      </c>
      <c r="AE16" s="3">
        <v>1</v>
      </c>
      <c r="AF16" s="3">
        <v>3</v>
      </c>
      <c r="AG16" s="3">
        <v>3</v>
      </c>
      <c r="AH16" s="3">
        <v>5</v>
      </c>
      <c r="AI16" s="3">
        <v>5</v>
      </c>
    </row>
    <row r="17" spans="1:35" x14ac:dyDescent="0.2">
      <c r="A17" s="1">
        <v>15</v>
      </c>
      <c r="B17" s="1" t="s">
        <v>258</v>
      </c>
      <c r="C17" s="1"/>
      <c r="D17" s="17">
        <v>4.6885411271899056</v>
      </c>
      <c r="E17" s="17">
        <v>62.302728638549418</v>
      </c>
      <c r="F17" s="1"/>
      <c r="G17" s="2">
        <v>5</v>
      </c>
      <c r="H17" s="2">
        <v>5</v>
      </c>
      <c r="I17" s="2">
        <f t="shared" si="0"/>
        <v>0</v>
      </c>
      <c r="J17" s="2">
        <v>0</v>
      </c>
      <c r="K17" s="11">
        <v>500</v>
      </c>
      <c r="L17" s="11">
        <v>500</v>
      </c>
      <c r="M17" s="2">
        <v>1</v>
      </c>
      <c r="N17" s="2">
        <v>0</v>
      </c>
      <c r="O17" s="2">
        <v>0</v>
      </c>
      <c r="P17" s="2">
        <v>1</v>
      </c>
      <c r="Q17" s="2">
        <v>1</v>
      </c>
      <c r="R17" s="2">
        <v>0.1</v>
      </c>
      <c r="S17" s="2">
        <v>0.1</v>
      </c>
      <c r="T17" s="2">
        <v>0.35</v>
      </c>
      <c r="U17" s="2">
        <v>0.35</v>
      </c>
      <c r="V17" s="3">
        <v>5</v>
      </c>
      <c r="W17" s="3">
        <v>5</v>
      </c>
      <c r="X17" s="3">
        <v>0</v>
      </c>
      <c r="Y17" s="3">
        <v>0</v>
      </c>
      <c r="Z17" s="3">
        <v>0</v>
      </c>
      <c r="AA17" s="3">
        <v>1</v>
      </c>
      <c r="AB17" s="3">
        <v>0</v>
      </c>
      <c r="AC17" s="3">
        <v>1</v>
      </c>
      <c r="AD17" s="3">
        <v>1</v>
      </c>
      <c r="AE17" s="3">
        <v>1</v>
      </c>
      <c r="AF17" s="3">
        <v>3</v>
      </c>
      <c r="AG17" s="3">
        <v>3</v>
      </c>
      <c r="AH17" s="3">
        <v>5</v>
      </c>
      <c r="AI17" s="3">
        <v>5</v>
      </c>
    </row>
    <row r="18" spans="1:35" x14ac:dyDescent="0.2">
      <c r="A18" s="1">
        <v>16</v>
      </c>
      <c r="B18" s="1" t="s">
        <v>239</v>
      </c>
      <c r="C18" s="1"/>
      <c r="D18" s="17">
        <v>3.9049897926673558</v>
      </c>
      <c r="E18" s="17">
        <v>61.330193776287437</v>
      </c>
      <c r="F18" s="1"/>
      <c r="G18" s="2">
        <v>5</v>
      </c>
      <c r="H18" s="2">
        <v>5</v>
      </c>
      <c r="I18" s="2">
        <f t="shared" si="0"/>
        <v>2.5880810000000003</v>
      </c>
      <c r="J18" s="2">
        <v>2588.0810000000001</v>
      </c>
      <c r="K18" s="11">
        <v>500</v>
      </c>
      <c r="L18" s="11">
        <v>500</v>
      </c>
      <c r="M18" s="2">
        <v>1</v>
      </c>
      <c r="N18" s="2">
        <v>0</v>
      </c>
      <c r="O18" s="2">
        <v>0</v>
      </c>
      <c r="P18" s="2">
        <v>1</v>
      </c>
      <c r="Q18" s="2">
        <v>1</v>
      </c>
      <c r="R18" s="2">
        <v>0.1</v>
      </c>
      <c r="S18" s="2">
        <v>0.1</v>
      </c>
      <c r="T18" s="2">
        <v>0.35</v>
      </c>
      <c r="U18" s="2">
        <v>0.35</v>
      </c>
      <c r="V18" s="3">
        <v>5</v>
      </c>
      <c r="W18" s="3">
        <v>5</v>
      </c>
      <c r="X18" s="3">
        <v>0</v>
      </c>
      <c r="Y18" s="3">
        <v>0</v>
      </c>
      <c r="Z18" s="3">
        <v>0</v>
      </c>
      <c r="AA18" s="3">
        <v>1</v>
      </c>
      <c r="AB18" s="3">
        <v>0</v>
      </c>
      <c r="AC18" s="3">
        <v>1</v>
      </c>
      <c r="AD18" s="3">
        <v>1</v>
      </c>
      <c r="AE18" s="3">
        <v>1</v>
      </c>
      <c r="AF18" s="3">
        <v>3</v>
      </c>
      <c r="AG18" s="3">
        <v>3</v>
      </c>
      <c r="AH18" s="3">
        <v>5</v>
      </c>
      <c r="AI18" s="3">
        <v>5</v>
      </c>
    </row>
    <row r="19" spans="1:35" x14ac:dyDescent="0.2">
      <c r="A19" s="1">
        <v>17</v>
      </c>
      <c r="B19" s="1" t="s">
        <v>87</v>
      </c>
      <c r="C19" s="1"/>
      <c r="D19" s="17">
        <v>1.8315257775840801</v>
      </c>
      <c r="E19" s="17">
        <v>61.20244504760155</v>
      </c>
      <c r="F19" s="1"/>
      <c r="G19" s="2">
        <v>5</v>
      </c>
      <c r="H19" s="2">
        <v>5</v>
      </c>
      <c r="I19" s="2">
        <f t="shared" si="0"/>
        <v>0</v>
      </c>
      <c r="J19" s="2">
        <v>0</v>
      </c>
      <c r="K19" s="11">
        <v>500</v>
      </c>
      <c r="L19" s="11">
        <v>500</v>
      </c>
      <c r="M19" s="2">
        <v>1</v>
      </c>
      <c r="N19" s="2">
        <v>0</v>
      </c>
      <c r="O19" s="2">
        <v>0</v>
      </c>
      <c r="P19" s="2">
        <v>1</v>
      </c>
      <c r="Q19" s="2">
        <v>1</v>
      </c>
      <c r="R19" s="2">
        <v>0.1</v>
      </c>
      <c r="S19" s="2">
        <v>0.1</v>
      </c>
      <c r="T19" s="2">
        <v>0.35</v>
      </c>
      <c r="U19" s="2">
        <v>0.35</v>
      </c>
      <c r="V19" s="3">
        <v>5</v>
      </c>
      <c r="W19" s="3">
        <v>5</v>
      </c>
      <c r="X19" s="3">
        <v>0</v>
      </c>
      <c r="Y19" s="3">
        <v>0</v>
      </c>
      <c r="Z19" s="3">
        <v>0</v>
      </c>
      <c r="AA19" s="3">
        <v>1</v>
      </c>
      <c r="AB19" s="3">
        <v>0</v>
      </c>
      <c r="AC19" s="3">
        <v>1</v>
      </c>
      <c r="AD19" s="3">
        <v>1</v>
      </c>
      <c r="AE19" s="3">
        <v>1</v>
      </c>
      <c r="AF19" s="3">
        <v>3</v>
      </c>
      <c r="AG19" s="3">
        <v>3</v>
      </c>
      <c r="AH19" s="3">
        <v>5</v>
      </c>
      <c r="AI19" s="3">
        <v>5</v>
      </c>
    </row>
    <row r="20" spans="1:35" x14ac:dyDescent="0.2">
      <c r="A20" s="1">
        <v>18</v>
      </c>
      <c r="B20" s="1" t="s">
        <v>88</v>
      </c>
      <c r="C20" s="1"/>
      <c r="D20" s="17">
        <v>1.845936000000052</v>
      </c>
      <c r="E20" s="17">
        <v>61.185830000000067</v>
      </c>
      <c r="F20" s="1"/>
      <c r="G20" s="2">
        <v>5</v>
      </c>
      <c r="H20" s="2">
        <v>5</v>
      </c>
      <c r="I20" s="2">
        <f t="shared" si="0"/>
        <v>0</v>
      </c>
      <c r="J20" s="2">
        <v>0</v>
      </c>
      <c r="K20" s="11">
        <v>500</v>
      </c>
      <c r="L20" s="11">
        <v>500</v>
      </c>
      <c r="M20" s="2">
        <v>1</v>
      </c>
      <c r="N20" s="2">
        <v>0</v>
      </c>
      <c r="O20" s="2">
        <v>0</v>
      </c>
      <c r="P20" s="2">
        <v>1</v>
      </c>
      <c r="Q20" s="2">
        <v>1</v>
      </c>
      <c r="R20" s="2">
        <v>0.1</v>
      </c>
      <c r="S20" s="2">
        <v>0.1</v>
      </c>
      <c r="T20" s="2">
        <v>0.35</v>
      </c>
      <c r="U20" s="2">
        <v>0.35</v>
      </c>
      <c r="V20" s="3">
        <v>5</v>
      </c>
      <c r="W20" s="3">
        <v>5</v>
      </c>
      <c r="X20" s="3">
        <v>0</v>
      </c>
      <c r="Y20" s="3">
        <v>0</v>
      </c>
      <c r="Z20" s="3">
        <v>0</v>
      </c>
      <c r="AA20" s="3">
        <v>1</v>
      </c>
      <c r="AB20" s="3">
        <v>0</v>
      </c>
      <c r="AC20" s="3">
        <v>1</v>
      </c>
      <c r="AD20" s="3">
        <v>1</v>
      </c>
      <c r="AE20" s="3">
        <v>1</v>
      </c>
      <c r="AF20" s="3">
        <v>3</v>
      </c>
      <c r="AG20" s="3">
        <v>3</v>
      </c>
      <c r="AH20" s="3">
        <v>5</v>
      </c>
      <c r="AI20" s="3">
        <v>5</v>
      </c>
    </row>
    <row r="21" spans="1:35" x14ac:dyDescent="0.2">
      <c r="A21" s="1">
        <v>19</v>
      </c>
      <c r="B21" s="1" t="s">
        <v>236</v>
      </c>
      <c r="C21" s="1"/>
      <c r="D21" s="17">
        <v>2.5070780834093052</v>
      </c>
      <c r="E21" s="17">
        <v>61.077581935633752</v>
      </c>
      <c r="F21" s="1"/>
      <c r="G21" s="2">
        <v>5</v>
      </c>
      <c r="H21" s="2">
        <v>5</v>
      </c>
      <c r="I21" s="2">
        <f t="shared" si="0"/>
        <v>0.50840300000000005</v>
      </c>
      <c r="J21" s="2">
        <v>508.40300000000002</v>
      </c>
      <c r="K21" s="11">
        <v>500</v>
      </c>
      <c r="L21" s="11">
        <v>500</v>
      </c>
      <c r="M21" s="2">
        <v>1</v>
      </c>
      <c r="N21" s="2">
        <v>0</v>
      </c>
      <c r="O21" s="2">
        <v>0</v>
      </c>
      <c r="P21" s="2">
        <v>1</v>
      </c>
      <c r="Q21" s="2">
        <v>1</v>
      </c>
      <c r="R21" s="2">
        <v>0.1</v>
      </c>
      <c r="S21" s="2">
        <v>0.1</v>
      </c>
      <c r="T21" s="2">
        <v>0.35</v>
      </c>
      <c r="U21" s="2">
        <v>0.35</v>
      </c>
      <c r="V21" s="3">
        <v>5</v>
      </c>
      <c r="W21" s="3">
        <v>5</v>
      </c>
      <c r="X21" s="3">
        <v>0</v>
      </c>
      <c r="Y21" s="3">
        <v>0</v>
      </c>
      <c r="Z21" s="3">
        <v>0</v>
      </c>
      <c r="AA21" s="3">
        <v>1</v>
      </c>
      <c r="AB21" s="3">
        <v>0</v>
      </c>
      <c r="AC21" s="3">
        <v>1</v>
      </c>
      <c r="AD21" s="3">
        <v>1</v>
      </c>
      <c r="AE21" s="3">
        <v>1</v>
      </c>
      <c r="AF21" s="3">
        <v>3</v>
      </c>
      <c r="AG21" s="3">
        <v>3</v>
      </c>
      <c r="AH21" s="3">
        <v>5</v>
      </c>
      <c r="AI21" s="3">
        <v>5</v>
      </c>
    </row>
    <row r="22" spans="1:35" x14ac:dyDescent="0.2">
      <c r="A22" s="1">
        <v>20</v>
      </c>
      <c r="B22" s="1" t="s">
        <v>89</v>
      </c>
      <c r="C22" s="1"/>
      <c r="D22" s="17">
        <v>1.7050129999999999</v>
      </c>
      <c r="E22" s="17">
        <v>61.034477000000003</v>
      </c>
      <c r="F22" s="1"/>
      <c r="G22" s="2">
        <v>5</v>
      </c>
      <c r="H22" s="2">
        <v>5</v>
      </c>
      <c r="I22" s="2">
        <f t="shared" si="0"/>
        <v>6.8573999999999996E-2</v>
      </c>
      <c r="J22" s="2">
        <v>68.573999999999998</v>
      </c>
      <c r="K22" s="11">
        <v>500</v>
      </c>
      <c r="L22" s="11">
        <v>500</v>
      </c>
      <c r="M22" s="2">
        <v>1</v>
      </c>
      <c r="N22" s="2">
        <v>0</v>
      </c>
      <c r="O22" s="2">
        <v>0</v>
      </c>
      <c r="P22" s="2">
        <v>1</v>
      </c>
      <c r="Q22" s="2">
        <v>1</v>
      </c>
      <c r="R22" s="2">
        <v>0.1</v>
      </c>
      <c r="S22" s="2">
        <v>0.1</v>
      </c>
      <c r="T22" s="2">
        <v>0.35</v>
      </c>
      <c r="U22" s="2">
        <v>0.35</v>
      </c>
      <c r="V22" s="3">
        <v>5</v>
      </c>
      <c r="W22" s="3">
        <v>5</v>
      </c>
      <c r="X22" s="3">
        <v>0</v>
      </c>
      <c r="Y22" s="3">
        <v>0</v>
      </c>
      <c r="Z22" s="3">
        <v>0</v>
      </c>
      <c r="AA22" s="3">
        <v>1</v>
      </c>
      <c r="AB22" s="3">
        <v>0</v>
      </c>
      <c r="AC22" s="3">
        <v>1</v>
      </c>
      <c r="AD22" s="3">
        <v>1</v>
      </c>
      <c r="AE22" s="3">
        <v>1</v>
      </c>
      <c r="AF22" s="3">
        <v>3</v>
      </c>
      <c r="AG22" s="3">
        <v>3</v>
      </c>
      <c r="AH22" s="3">
        <v>5</v>
      </c>
      <c r="AI22" s="3">
        <v>5</v>
      </c>
    </row>
    <row r="23" spans="1:35" x14ac:dyDescent="0.2">
      <c r="A23" s="1">
        <v>21</v>
      </c>
      <c r="B23" s="1" t="s">
        <v>90</v>
      </c>
      <c r="C23" s="1"/>
      <c r="D23" s="17">
        <v>1.700189114000068</v>
      </c>
      <c r="E23" s="17">
        <v>61.022018433000028</v>
      </c>
      <c r="F23" s="1"/>
      <c r="G23" s="2">
        <v>5</v>
      </c>
      <c r="H23" s="2">
        <v>5</v>
      </c>
      <c r="I23" s="2">
        <f t="shared" si="0"/>
        <v>0</v>
      </c>
      <c r="J23" s="2">
        <v>0</v>
      </c>
      <c r="K23" s="11">
        <v>500</v>
      </c>
      <c r="L23" s="11">
        <v>500</v>
      </c>
      <c r="M23" s="2">
        <v>1</v>
      </c>
      <c r="N23" s="2">
        <v>0</v>
      </c>
      <c r="O23" s="2">
        <v>0</v>
      </c>
      <c r="P23" s="2">
        <v>1</v>
      </c>
      <c r="Q23" s="2">
        <v>1</v>
      </c>
      <c r="R23" s="2">
        <v>0.1</v>
      </c>
      <c r="S23" s="2">
        <v>0.1</v>
      </c>
      <c r="T23" s="2">
        <v>0.35</v>
      </c>
      <c r="U23" s="2">
        <v>0.35</v>
      </c>
      <c r="V23" s="3">
        <v>5</v>
      </c>
      <c r="W23" s="3">
        <v>5</v>
      </c>
      <c r="X23" s="3">
        <v>0</v>
      </c>
      <c r="Y23" s="3">
        <v>0</v>
      </c>
      <c r="Z23" s="3">
        <v>0</v>
      </c>
      <c r="AA23" s="3">
        <v>1</v>
      </c>
      <c r="AB23" s="3">
        <v>0</v>
      </c>
      <c r="AC23" s="3">
        <v>1</v>
      </c>
      <c r="AD23" s="3">
        <v>1</v>
      </c>
      <c r="AE23" s="3">
        <v>1</v>
      </c>
      <c r="AF23" s="3">
        <v>3</v>
      </c>
      <c r="AG23" s="3">
        <v>3</v>
      </c>
      <c r="AH23" s="3">
        <v>5</v>
      </c>
      <c r="AI23" s="3">
        <v>5</v>
      </c>
    </row>
    <row r="24" spans="1:35" x14ac:dyDescent="0.2">
      <c r="A24" s="1">
        <v>22</v>
      </c>
      <c r="B24" s="1" t="s">
        <v>238</v>
      </c>
      <c r="C24" s="1"/>
      <c r="D24" s="17">
        <v>1.6999852660000561</v>
      </c>
      <c r="E24" s="17">
        <v>61.020797730000027</v>
      </c>
      <c r="F24" s="1"/>
      <c r="G24" s="2">
        <v>5</v>
      </c>
      <c r="H24" s="2">
        <v>5</v>
      </c>
      <c r="I24" s="2">
        <f t="shared" si="0"/>
        <v>2.5880810000000003</v>
      </c>
      <c r="J24" s="2">
        <v>2588.0810000000001</v>
      </c>
      <c r="K24" s="11">
        <v>500</v>
      </c>
      <c r="L24" s="11">
        <v>500</v>
      </c>
      <c r="M24" s="2">
        <v>1</v>
      </c>
      <c r="N24" s="2">
        <v>0</v>
      </c>
      <c r="O24" s="2">
        <v>0</v>
      </c>
      <c r="P24" s="2">
        <v>1</v>
      </c>
      <c r="Q24" s="2">
        <v>1</v>
      </c>
      <c r="R24" s="2">
        <v>0.1</v>
      </c>
      <c r="S24" s="2">
        <v>0.1</v>
      </c>
      <c r="T24" s="2">
        <v>0.35</v>
      </c>
      <c r="U24" s="2">
        <v>0.35</v>
      </c>
      <c r="V24" s="3">
        <v>5</v>
      </c>
      <c r="W24" s="3">
        <v>5</v>
      </c>
      <c r="X24" s="3">
        <v>0</v>
      </c>
      <c r="Y24" s="3">
        <v>0</v>
      </c>
      <c r="Z24" s="3">
        <v>0</v>
      </c>
      <c r="AA24" s="3">
        <v>1</v>
      </c>
      <c r="AB24" s="3">
        <v>0</v>
      </c>
      <c r="AC24" s="3">
        <v>1</v>
      </c>
      <c r="AD24" s="3">
        <v>1</v>
      </c>
      <c r="AE24" s="3">
        <v>1</v>
      </c>
      <c r="AF24" s="3">
        <v>3</v>
      </c>
      <c r="AG24" s="3">
        <v>3</v>
      </c>
      <c r="AH24" s="3">
        <v>5</v>
      </c>
      <c r="AI24" s="3">
        <v>5</v>
      </c>
    </row>
    <row r="25" spans="1:35" x14ac:dyDescent="0.2">
      <c r="A25" s="1">
        <v>23</v>
      </c>
      <c r="B25" s="1" t="s">
        <v>91</v>
      </c>
      <c r="C25" s="1"/>
      <c r="D25" s="17">
        <v>2.8980550000000558</v>
      </c>
      <c r="E25" s="17">
        <v>60.560633000000053</v>
      </c>
      <c r="F25" s="1"/>
      <c r="G25" s="2">
        <v>5</v>
      </c>
      <c r="H25" s="2">
        <v>5</v>
      </c>
      <c r="I25" s="2">
        <f t="shared" si="0"/>
        <v>0</v>
      </c>
      <c r="J25" s="2">
        <v>0</v>
      </c>
      <c r="K25" s="11">
        <v>500</v>
      </c>
      <c r="L25" s="11">
        <v>500</v>
      </c>
      <c r="M25" s="2">
        <v>1</v>
      </c>
      <c r="N25" s="2">
        <v>0</v>
      </c>
      <c r="O25" s="2">
        <v>0</v>
      </c>
      <c r="P25" s="2">
        <v>1</v>
      </c>
      <c r="Q25" s="2">
        <v>1</v>
      </c>
      <c r="R25" s="2">
        <v>0.1</v>
      </c>
      <c r="S25" s="2">
        <v>0.1</v>
      </c>
      <c r="T25" s="2">
        <v>0.35</v>
      </c>
      <c r="U25" s="2">
        <v>0.35</v>
      </c>
      <c r="V25" s="3">
        <v>5</v>
      </c>
      <c r="W25" s="3">
        <v>5</v>
      </c>
      <c r="X25" s="3">
        <v>0</v>
      </c>
      <c r="Y25" s="3">
        <v>0</v>
      </c>
      <c r="Z25" s="3">
        <v>0</v>
      </c>
      <c r="AA25" s="3">
        <v>1</v>
      </c>
      <c r="AB25" s="3">
        <v>0</v>
      </c>
      <c r="AC25" s="3">
        <v>1</v>
      </c>
      <c r="AD25" s="3">
        <v>1</v>
      </c>
      <c r="AE25" s="3">
        <v>1</v>
      </c>
      <c r="AF25" s="3">
        <v>3</v>
      </c>
      <c r="AG25" s="3">
        <v>3</v>
      </c>
      <c r="AH25" s="3">
        <v>5</v>
      </c>
      <c r="AI25" s="3">
        <v>5</v>
      </c>
    </row>
    <row r="26" spans="1:35" x14ac:dyDescent="0.2">
      <c r="A26" s="1">
        <v>24</v>
      </c>
      <c r="B26" s="1" t="s">
        <v>92</v>
      </c>
      <c r="C26" s="1"/>
      <c r="D26" s="17">
        <v>4.835830000000044</v>
      </c>
      <c r="E26" s="17">
        <v>60.550175000000081</v>
      </c>
      <c r="F26" s="1"/>
      <c r="G26" s="2">
        <v>5</v>
      </c>
      <c r="H26" s="2">
        <v>5</v>
      </c>
      <c r="I26" s="2">
        <f t="shared" si="0"/>
        <v>2.6281249999999998</v>
      </c>
      <c r="J26" s="2">
        <v>2628.125</v>
      </c>
      <c r="K26" s="11">
        <v>500</v>
      </c>
      <c r="L26" s="11">
        <v>500</v>
      </c>
      <c r="M26" s="2">
        <v>1</v>
      </c>
      <c r="N26" s="2">
        <v>0</v>
      </c>
      <c r="O26" s="2">
        <v>0</v>
      </c>
      <c r="P26" s="2">
        <v>1</v>
      </c>
      <c r="Q26" s="2">
        <v>1</v>
      </c>
      <c r="R26" s="2">
        <v>0.1</v>
      </c>
      <c r="S26" s="2">
        <v>0.1</v>
      </c>
      <c r="T26" s="2">
        <v>0.35</v>
      </c>
      <c r="U26" s="2">
        <v>0.35</v>
      </c>
      <c r="V26" s="3">
        <v>5</v>
      </c>
      <c r="W26" s="3">
        <v>5</v>
      </c>
      <c r="X26" s="3">
        <v>0</v>
      </c>
      <c r="Y26" s="3">
        <v>0</v>
      </c>
      <c r="Z26" s="3">
        <v>0</v>
      </c>
      <c r="AA26" s="3">
        <v>1</v>
      </c>
      <c r="AB26" s="3">
        <v>0</v>
      </c>
      <c r="AC26" s="3">
        <v>1</v>
      </c>
      <c r="AD26" s="3">
        <v>1</v>
      </c>
      <c r="AE26" s="3">
        <v>1</v>
      </c>
      <c r="AF26" s="3">
        <v>3</v>
      </c>
      <c r="AG26" s="3">
        <v>3</v>
      </c>
      <c r="AH26" s="3">
        <v>5</v>
      </c>
      <c r="AI26" s="3">
        <v>5</v>
      </c>
    </row>
    <row r="27" spans="1:35" x14ac:dyDescent="0.2">
      <c r="A27" s="1">
        <v>25</v>
      </c>
      <c r="B27" s="1" t="s">
        <v>93</v>
      </c>
      <c r="C27" s="1"/>
      <c r="D27" s="17">
        <v>4.8385970033810022</v>
      </c>
      <c r="E27" s="17">
        <v>60.545348486364603</v>
      </c>
      <c r="F27" s="1"/>
      <c r="G27" s="2">
        <v>5</v>
      </c>
      <c r="H27" s="2">
        <v>5</v>
      </c>
      <c r="I27" s="2">
        <f t="shared" si="0"/>
        <v>0</v>
      </c>
      <c r="J27" s="2">
        <v>0</v>
      </c>
      <c r="K27" s="11">
        <v>500</v>
      </c>
      <c r="L27" s="11">
        <v>500</v>
      </c>
      <c r="M27" s="2">
        <v>1</v>
      </c>
      <c r="N27" s="2">
        <v>0</v>
      </c>
      <c r="O27" s="2">
        <v>0</v>
      </c>
      <c r="P27" s="2">
        <v>1</v>
      </c>
      <c r="Q27" s="2">
        <v>1</v>
      </c>
      <c r="R27" s="2">
        <v>0.1</v>
      </c>
      <c r="S27" s="2">
        <v>0.1</v>
      </c>
      <c r="T27" s="2">
        <v>0.35</v>
      </c>
      <c r="U27" s="2">
        <v>0.35</v>
      </c>
      <c r="V27" s="3">
        <v>5</v>
      </c>
      <c r="W27" s="3">
        <v>5</v>
      </c>
      <c r="X27" s="3">
        <v>0</v>
      </c>
      <c r="Y27" s="3">
        <v>0</v>
      </c>
      <c r="Z27" s="3">
        <v>0</v>
      </c>
      <c r="AA27" s="3">
        <v>1</v>
      </c>
      <c r="AB27" s="3">
        <v>0</v>
      </c>
      <c r="AC27" s="3">
        <v>1</v>
      </c>
      <c r="AD27" s="3">
        <v>1</v>
      </c>
      <c r="AE27" s="3">
        <v>1</v>
      </c>
      <c r="AF27" s="3">
        <v>3</v>
      </c>
      <c r="AG27" s="3">
        <v>3</v>
      </c>
      <c r="AH27" s="3">
        <v>5</v>
      </c>
      <c r="AI27" s="3">
        <v>5</v>
      </c>
    </row>
    <row r="28" spans="1:35" x14ac:dyDescent="0.2">
      <c r="A28" s="1">
        <v>26</v>
      </c>
      <c r="B28" s="1" t="s">
        <v>94</v>
      </c>
      <c r="C28" s="1"/>
      <c r="D28" s="17">
        <v>3.037825494927695</v>
      </c>
      <c r="E28" s="17">
        <v>60.543328997897447</v>
      </c>
      <c r="F28" s="1"/>
      <c r="G28" s="2">
        <v>5</v>
      </c>
      <c r="H28" s="2">
        <v>5</v>
      </c>
      <c r="I28" s="2">
        <f t="shared" si="0"/>
        <v>4.8064999999999997E-2</v>
      </c>
      <c r="J28" s="2">
        <v>48.064999999999998</v>
      </c>
      <c r="K28" s="11">
        <v>500</v>
      </c>
      <c r="L28" s="11">
        <v>500</v>
      </c>
      <c r="M28" s="2">
        <v>1</v>
      </c>
      <c r="N28" s="2">
        <v>0</v>
      </c>
      <c r="O28" s="2">
        <v>0</v>
      </c>
      <c r="P28" s="2">
        <v>1</v>
      </c>
      <c r="Q28" s="2">
        <v>1</v>
      </c>
      <c r="R28" s="2">
        <v>0.1</v>
      </c>
      <c r="S28" s="2">
        <v>0.1</v>
      </c>
      <c r="T28" s="2">
        <v>0.35</v>
      </c>
      <c r="U28" s="2">
        <v>0.35</v>
      </c>
      <c r="V28" s="3">
        <v>5</v>
      </c>
      <c r="W28" s="3">
        <v>5</v>
      </c>
      <c r="X28" s="3">
        <v>0</v>
      </c>
      <c r="Y28" s="3">
        <v>0</v>
      </c>
      <c r="Z28" s="3">
        <v>0</v>
      </c>
      <c r="AA28" s="3">
        <v>1</v>
      </c>
      <c r="AB28" s="3">
        <v>0</v>
      </c>
      <c r="AC28" s="3">
        <v>1</v>
      </c>
      <c r="AD28" s="3">
        <v>1</v>
      </c>
      <c r="AE28" s="3">
        <v>1</v>
      </c>
      <c r="AF28" s="3">
        <v>3</v>
      </c>
      <c r="AG28" s="3">
        <v>3</v>
      </c>
      <c r="AH28" s="3">
        <v>5</v>
      </c>
      <c r="AI28" s="3">
        <v>5</v>
      </c>
    </row>
    <row r="29" spans="1:35" x14ac:dyDescent="0.2">
      <c r="A29" s="1">
        <v>27</v>
      </c>
      <c r="B29" s="1" t="s">
        <v>95</v>
      </c>
      <c r="C29" s="1"/>
      <c r="D29" s="17">
        <v>2.011387666028313</v>
      </c>
      <c r="E29" s="17">
        <v>60.502035307044537</v>
      </c>
      <c r="F29" s="1"/>
      <c r="G29" s="2">
        <v>5</v>
      </c>
      <c r="H29" s="2">
        <v>5</v>
      </c>
      <c r="I29" s="2">
        <f t="shared" si="0"/>
        <v>0</v>
      </c>
      <c r="J29" s="2">
        <v>0</v>
      </c>
      <c r="K29" s="11">
        <v>500</v>
      </c>
      <c r="L29" s="11">
        <v>500</v>
      </c>
      <c r="M29" s="2">
        <v>1</v>
      </c>
      <c r="N29" s="2">
        <v>0</v>
      </c>
      <c r="O29" s="2">
        <v>0</v>
      </c>
      <c r="P29" s="2">
        <v>1</v>
      </c>
      <c r="Q29" s="2">
        <v>1</v>
      </c>
      <c r="R29" s="2">
        <v>0.1</v>
      </c>
      <c r="S29" s="2">
        <v>0.1</v>
      </c>
      <c r="T29" s="2">
        <v>0.35</v>
      </c>
      <c r="U29" s="2">
        <v>0.35</v>
      </c>
      <c r="V29" s="3">
        <v>5</v>
      </c>
      <c r="W29" s="3">
        <v>5</v>
      </c>
      <c r="X29" s="3">
        <v>0</v>
      </c>
      <c r="Y29" s="3">
        <v>0</v>
      </c>
      <c r="Z29" s="3">
        <v>0</v>
      </c>
      <c r="AA29" s="3">
        <v>1</v>
      </c>
      <c r="AB29" s="3">
        <v>0</v>
      </c>
      <c r="AC29" s="3">
        <v>1</v>
      </c>
      <c r="AD29" s="3">
        <v>1</v>
      </c>
      <c r="AE29" s="3">
        <v>1</v>
      </c>
      <c r="AF29" s="3">
        <v>3</v>
      </c>
      <c r="AG29" s="3">
        <v>3</v>
      </c>
      <c r="AH29" s="3">
        <v>5</v>
      </c>
      <c r="AI29" s="3">
        <v>5</v>
      </c>
    </row>
    <row r="30" spans="1:35" x14ac:dyDescent="0.2">
      <c r="A30" s="1">
        <v>28</v>
      </c>
      <c r="B30" s="1" t="s">
        <v>96</v>
      </c>
      <c r="C30" s="1"/>
      <c r="D30" s="17">
        <v>2.8240461869792348</v>
      </c>
      <c r="E30" s="17">
        <v>60.486900453608072</v>
      </c>
      <c r="F30" s="1"/>
      <c r="G30" s="2">
        <v>5</v>
      </c>
      <c r="H30" s="2">
        <v>5</v>
      </c>
      <c r="I30" s="2">
        <f t="shared" si="0"/>
        <v>4.8064999999999997E-2</v>
      </c>
      <c r="J30" s="2">
        <v>48.064999999999998</v>
      </c>
      <c r="K30" s="11">
        <v>500</v>
      </c>
      <c r="L30" s="11">
        <v>500</v>
      </c>
      <c r="M30" s="2">
        <v>1</v>
      </c>
      <c r="N30" s="2">
        <v>0</v>
      </c>
      <c r="O30" s="2">
        <v>0</v>
      </c>
      <c r="P30" s="2">
        <v>1</v>
      </c>
      <c r="Q30" s="2">
        <v>1</v>
      </c>
      <c r="R30" s="2">
        <v>0.1</v>
      </c>
      <c r="S30" s="2">
        <v>0.1</v>
      </c>
      <c r="T30" s="2">
        <v>0.35</v>
      </c>
      <c r="U30" s="2">
        <v>0.35</v>
      </c>
      <c r="V30" s="3">
        <v>5</v>
      </c>
      <c r="W30" s="3">
        <v>5</v>
      </c>
      <c r="X30" s="3">
        <v>0</v>
      </c>
      <c r="Y30" s="3">
        <v>0</v>
      </c>
      <c r="Z30" s="3">
        <v>0</v>
      </c>
      <c r="AA30" s="3">
        <v>1</v>
      </c>
      <c r="AB30" s="3">
        <v>0</v>
      </c>
      <c r="AC30" s="3">
        <v>1</v>
      </c>
      <c r="AD30" s="3">
        <v>1</v>
      </c>
      <c r="AE30" s="3">
        <v>1</v>
      </c>
      <c r="AF30" s="3">
        <v>3</v>
      </c>
      <c r="AG30" s="3">
        <v>3</v>
      </c>
      <c r="AH30" s="3">
        <v>5</v>
      </c>
      <c r="AI30" s="3">
        <v>5</v>
      </c>
    </row>
    <row r="31" spans="1:35" x14ac:dyDescent="0.2">
      <c r="A31" s="1">
        <v>29</v>
      </c>
      <c r="B31" s="1" t="s">
        <v>97</v>
      </c>
      <c r="C31" s="1"/>
      <c r="D31" s="17">
        <v>2.0175154810000322</v>
      </c>
      <c r="E31" s="17">
        <v>59.894961973000079</v>
      </c>
      <c r="F31" s="1"/>
      <c r="G31" s="2">
        <v>5</v>
      </c>
      <c r="H31" s="2">
        <v>5</v>
      </c>
      <c r="I31" s="2">
        <f t="shared" si="0"/>
        <v>4.8064999999999997E-2</v>
      </c>
      <c r="J31" s="2">
        <v>48.064999999999998</v>
      </c>
      <c r="K31" s="11">
        <v>500</v>
      </c>
      <c r="L31" s="11">
        <v>500</v>
      </c>
      <c r="M31" s="2">
        <v>1</v>
      </c>
      <c r="N31" s="2">
        <v>0</v>
      </c>
      <c r="O31" s="2">
        <v>0</v>
      </c>
      <c r="P31" s="2">
        <v>1</v>
      </c>
      <c r="Q31" s="2">
        <v>1</v>
      </c>
      <c r="R31" s="2">
        <v>0.1</v>
      </c>
      <c r="S31" s="2">
        <v>0.1</v>
      </c>
      <c r="T31" s="2">
        <v>0.35</v>
      </c>
      <c r="U31" s="2">
        <v>0.35</v>
      </c>
      <c r="V31" s="3">
        <v>5</v>
      </c>
      <c r="W31" s="3">
        <v>5</v>
      </c>
      <c r="X31" s="3">
        <v>0</v>
      </c>
      <c r="Y31" s="3">
        <v>0</v>
      </c>
      <c r="Z31" s="3">
        <v>0</v>
      </c>
      <c r="AA31" s="3">
        <v>1</v>
      </c>
      <c r="AB31" s="3">
        <v>0</v>
      </c>
      <c r="AC31" s="3">
        <v>1</v>
      </c>
      <c r="AD31" s="3">
        <v>1</v>
      </c>
      <c r="AE31" s="3">
        <v>1</v>
      </c>
      <c r="AF31" s="3">
        <v>3</v>
      </c>
      <c r="AG31" s="3">
        <v>3</v>
      </c>
      <c r="AH31" s="3">
        <v>5</v>
      </c>
      <c r="AI31" s="3">
        <v>5</v>
      </c>
    </row>
    <row r="32" spans="1:35" x14ac:dyDescent="0.2">
      <c r="A32" s="1">
        <v>30</v>
      </c>
      <c r="B32" s="1" t="s">
        <v>98</v>
      </c>
      <c r="C32" s="1"/>
      <c r="D32" s="17">
        <v>2.2352254874930928</v>
      </c>
      <c r="E32" s="17">
        <v>59.571075351213203</v>
      </c>
      <c r="F32" s="1"/>
      <c r="G32" s="2">
        <v>5</v>
      </c>
      <c r="H32" s="2">
        <v>5</v>
      </c>
      <c r="I32" s="2">
        <f t="shared" si="0"/>
        <v>1.3293079999999999</v>
      </c>
      <c r="J32" s="2">
        <v>1329.308</v>
      </c>
      <c r="K32" s="11">
        <v>500</v>
      </c>
      <c r="L32" s="11">
        <v>500</v>
      </c>
      <c r="M32" s="2">
        <v>1</v>
      </c>
      <c r="N32" s="2">
        <v>0</v>
      </c>
      <c r="O32" s="2">
        <v>0</v>
      </c>
      <c r="P32" s="2">
        <v>1</v>
      </c>
      <c r="Q32" s="2">
        <v>1</v>
      </c>
      <c r="R32" s="2">
        <v>0.1</v>
      </c>
      <c r="S32" s="2">
        <v>0.1</v>
      </c>
      <c r="T32" s="2">
        <v>0.35</v>
      </c>
      <c r="U32" s="2">
        <v>0.35</v>
      </c>
      <c r="V32" s="3">
        <v>5</v>
      </c>
      <c r="W32" s="3">
        <v>5</v>
      </c>
      <c r="X32" s="3">
        <v>0</v>
      </c>
      <c r="Y32" s="3">
        <v>0</v>
      </c>
      <c r="Z32" s="3">
        <v>0</v>
      </c>
      <c r="AA32" s="3">
        <v>1</v>
      </c>
      <c r="AB32" s="3">
        <v>0</v>
      </c>
      <c r="AC32" s="3">
        <v>1</v>
      </c>
      <c r="AD32" s="3">
        <v>1</v>
      </c>
      <c r="AE32" s="3">
        <v>1</v>
      </c>
      <c r="AF32" s="3">
        <v>3</v>
      </c>
      <c r="AG32" s="3">
        <v>3</v>
      </c>
      <c r="AH32" s="3">
        <v>5</v>
      </c>
      <c r="AI32" s="3">
        <v>5</v>
      </c>
    </row>
    <row r="33" spans="1:35" x14ac:dyDescent="0.2">
      <c r="A33" s="1">
        <v>31</v>
      </c>
      <c r="B33" s="1" t="s">
        <v>99</v>
      </c>
      <c r="C33" s="1"/>
      <c r="D33" s="17">
        <v>2.2345225779689399</v>
      </c>
      <c r="E33" s="17">
        <v>59.570737872744949</v>
      </c>
      <c r="F33" s="1"/>
      <c r="G33" s="2">
        <v>5</v>
      </c>
      <c r="H33" s="2">
        <v>5</v>
      </c>
      <c r="I33" s="2">
        <f t="shared" si="0"/>
        <v>1.3293079999999999</v>
      </c>
      <c r="J33" s="2">
        <v>1329.308</v>
      </c>
      <c r="K33" s="11">
        <v>500</v>
      </c>
      <c r="L33" s="11">
        <v>500</v>
      </c>
      <c r="M33" s="2">
        <v>1</v>
      </c>
      <c r="N33" s="2">
        <v>0</v>
      </c>
      <c r="O33" s="2">
        <v>0</v>
      </c>
      <c r="P33" s="2">
        <v>1</v>
      </c>
      <c r="Q33" s="2">
        <v>1</v>
      </c>
      <c r="R33" s="2">
        <v>0.1</v>
      </c>
      <c r="S33" s="2">
        <v>0.1</v>
      </c>
      <c r="T33" s="2">
        <v>0.35</v>
      </c>
      <c r="U33" s="2">
        <v>0.35</v>
      </c>
      <c r="V33" s="3">
        <v>5</v>
      </c>
      <c r="W33" s="3">
        <v>5</v>
      </c>
      <c r="X33" s="3">
        <v>0</v>
      </c>
      <c r="Y33" s="3">
        <v>0</v>
      </c>
      <c r="Z33" s="3">
        <v>0</v>
      </c>
      <c r="AA33" s="3">
        <v>1</v>
      </c>
      <c r="AB33" s="3">
        <v>0</v>
      </c>
      <c r="AC33" s="3">
        <v>1</v>
      </c>
      <c r="AD33" s="3">
        <v>1</v>
      </c>
      <c r="AE33" s="3">
        <v>1</v>
      </c>
      <c r="AF33" s="3">
        <v>3</v>
      </c>
      <c r="AG33" s="3">
        <v>3</v>
      </c>
      <c r="AH33" s="3">
        <v>5</v>
      </c>
      <c r="AI33" s="3">
        <v>5</v>
      </c>
    </row>
    <row r="34" spans="1:35" x14ac:dyDescent="0.2">
      <c r="A34" s="1">
        <v>32</v>
      </c>
      <c r="B34" s="1" t="s">
        <v>100</v>
      </c>
      <c r="C34" s="1"/>
      <c r="D34" s="17">
        <v>1.3911370790000319</v>
      </c>
      <c r="E34" s="17">
        <v>59.47797846900005</v>
      </c>
      <c r="F34" s="1"/>
      <c r="G34" s="2">
        <v>5</v>
      </c>
      <c r="H34" s="2">
        <v>5</v>
      </c>
      <c r="I34" s="2">
        <f t="shared" si="0"/>
        <v>4.8064999999999997E-2</v>
      </c>
      <c r="J34" s="2">
        <v>48.064999999999998</v>
      </c>
      <c r="K34" s="11">
        <v>500</v>
      </c>
      <c r="L34" s="11">
        <v>500</v>
      </c>
      <c r="M34" s="2">
        <v>1</v>
      </c>
      <c r="N34" s="2">
        <v>0</v>
      </c>
      <c r="O34" s="2">
        <v>0</v>
      </c>
      <c r="P34" s="2">
        <v>1</v>
      </c>
      <c r="Q34" s="2">
        <v>1</v>
      </c>
      <c r="R34" s="2">
        <v>0.1</v>
      </c>
      <c r="S34" s="2">
        <v>0.1</v>
      </c>
      <c r="T34" s="2">
        <v>0.35</v>
      </c>
      <c r="U34" s="2">
        <v>0.35</v>
      </c>
      <c r="V34" s="3">
        <v>5</v>
      </c>
      <c r="W34" s="3">
        <v>5</v>
      </c>
      <c r="X34" s="3">
        <v>0</v>
      </c>
      <c r="Y34" s="3">
        <v>0</v>
      </c>
      <c r="Z34" s="3">
        <v>0</v>
      </c>
      <c r="AA34" s="3">
        <v>1</v>
      </c>
      <c r="AB34" s="3">
        <v>0</v>
      </c>
      <c r="AC34" s="3">
        <v>1</v>
      </c>
      <c r="AD34" s="3">
        <v>1</v>
      </c>
      <c r="AE34" s="3">
        <v>1</v>
      </c>
      <c r="AF34" s="3">
        <v>3</v>
      </c>
      <c r="AG34" s="3">
        <v>3</v>
      </c>
      <c r="AH34" s="3">
        <v>5</v>
      </c>
      <c r="AI34" s="3">
        <v>5</v>
      </c>
    </row>
    <row r="35" spans="1:35" x14ac:dyDescent="0.2">
      <c r="A35" s="1">
        <v>33</v>
      </c>
      <c r="B35" s="1" t="s">
        <v>259</v>
      </c>
      <c r="C35" s="1"/>
      <c r="D35" s="17">
        <v>5.5129213334435638</v>
      </c>
      <c r="E35" s="17">
        <v>59.272115627836378</v>
      </c>
      <c r="F35" s="1"/>
      <c r="G35" s="2">
        <v>5</v>
      </c>
      <c r="H35" s="2">
        <v>5</v>
      </c>
      <c r="I35" s="2">
        <f t="shared" si="0"/>
        <v>0</v>
      </c>
      <c r="J35" s="2">
        <v>0</v>
      </c>
      <c r="K35" s="11">
        <v>500</v>
      </c>
      <c r="L35" s="11">
        <v>500</v>
      </c>
      <c r="M35" s="2">
        <v>1</v>
      </c>
      <c r="N35" s="2">
        <v>0</v>
      </c>
      <c r="O35" s="2">
        <v>0</v>
      </c>
      <c r="P35" s="2">
        <v>1</v>
      </c>
      <c r="Q35" s="2">
        <v>1</v>
      </c>
      <c r="R35" s="2">
        <v>0.1</v>
      </c>
      <c r="S35" s="2">
        <v>0.1</v>
      </c>
      <c r="T35" s="2">
        <v>0.35</v>
      </c>
      <c r="U35" s="2">
        <v>0.35</v>
      </c>
      <c r="V35" s="3">
        <v>5</v>
      </c>
      <c r="W35" s="3">
        <v>5</v>
      </c>
      <c r="X35" s="3">
        <v>0</v>
      </c>
      <c r="Y35" s="3">
        <v>0</v>
      </c>
      <c r="Z35" s="3">
        <v>0</v>
      </c>
      <c r="AA35" s="3">
        <v>1</v>
      </c>
      <c r="AB35" s="3">
        <v>0</v>
      </c>
      <c r="AC35" s="3">
        <v>1</v>
      </c>
      <c r="AD35" s="3">
        <v>1</v>
      </c>
      <c r="AE35" s="3">
        <v>1</v>
      </c>
      <c r="AF35" s="3">
        <v>3</v>
      </c>
      <c r="AG35" s="3">
        <v>3</v>
      </c>
      <c r="AH35" s="3">
        <v>5</v>
      </c>
      <c r="AI35" s="3">
        <v>5</v>
      </c>
    </row>
    <row r="36" spans="1:35" x14ac:dyDescent="0.2">
      <c r="A36" s="1">
        <v>34</v>
      </c>
      <c r="B36" s="1" t="s">
        <v>101</v>
      </c>
      <c r="C36" s="1"/>
      <c r="D36" s="17">
        <v>5.0541760000000409</v>
      </c>
      <c r="E36" s="17">
        <v>59.326808000000028</v>
      </c>
      <c r="F36" s="1"/>
      <c r="G36" s="2">
        <v>5</v>
      </c>
      <c r="H36" s="2">
        <v>5</v>
      </c>
      <c r="I36" s="2">
        <f t="shared" si="0"/>
        <v>8.8895949999999999</v>
      </c>
      <c r="J36" s="2">
        <v>8889.5949999999993</v>
      </c>
      <c r="K36" s="11">
        <v>500</v>
      </c>
      <c r="L36" s="11">
        <v>500</v>
      </c>
      <c r="M36" s="2">
        <v>1</v>
      </c>
      <c r="N36" s="2">
        <v>0</v>
      </c>
      <c r="O36" s="2">
        <v>0</v>
      </c>
      <c r="P36" s="2">
        <v>1</v>
      </c>
      <c r="Q36" s="2">
        <v>1</v>
      </c>
      <c r="R36" s="2">
        <v>0.1</v>
      </c>
      <c r="S36" s="2">
        <v>0.1</v>
      </c>
      <c r="T36" s="2">
        <v>0.35</v>
      </c>
      <c r="U36" s="2">
        <v>0.35</v>
      </c>
      <c r="V36" s="3">
        <v>5</v>
      </c>
      <c r="W36" s="3">
        <v>5</v>
      </c>
      <c r="X36" s="3">
        <v>0</v>
      </c>
      <c r="Y36" s="3">
        <v>0</v>
      </c>
      <c r="Z36" s="3">
        <v>0</v>
      </c>
      <c r="AA36" s="3">
        <v>1</v>
      </c>
      <c r="AB36" s="3">
        <v>0</v>
      </c>
      <c r="AC36" s="3">
        <v>1</v>
      </c>
      <c r="AD36" s="3">
        <v>1</v>
      </c>
      <c r="AE36" s="3">
        <v>1</v>
      </c>
      <c r="AF36" s="3">
        <v>3</v>
      </c>
      <c r="AG36" s="3">
        <v>3</v>
      </c>
      <c r="AH36" s="3">
        <v>5</v>
      </c>
      <c r="AI36" s="3">
        <v>5</v>
      </c>
    </row>
    <row r="37" spans="1:35" x14ac:dyDescent="0.2">
      <c r="A37" s="1">
        <v>35</v>
      </c>
      <c r="B37" s="1" t="s">
        <v>102</v>
      </c>
      <c r="C37" s="1"/>
      <c r="D37" s="17">
        <v>2.487335300560932</v>
      </c>
      <c r="E37" s="17">
        <v>59.169726343631233</v>
      </c>
      <c r="F37" s="1"/>
      <c r="G37" s="2">
        <v>5</v>
      </c>
      <c r="H37" s="2">
        <v>5</v>
      </c>
      <c r="I37" s="2">
        <f t="shared" si="0"/>
        <v>4.8064999999999997E-2</v>
      </c>
      <c r="J37" s="2">
        <v>48.064999999999998</v>
      </c>
      <c r="K37" s="11">
        <v>500</v>
      </c>
      <c r="L37" s="11">
        <v>500</v>
      </c>
      <c r="M37" s="2">
        <v>1</v>
      </c>
      <c r="N37" s="2">
        <v>0</v>
      </c>
      <c r="O37" s="2">
        <v>0</v>
      </c>
      <c r="P37" s="2">
        <v>1</v>
      </c>
      <c r="Q37" s="2">
        <v>1</v>
      </c>
      <c r="R37" s="2">
        <v>0.1</v>
      </c>
      <c r="S37" s="2">
        <v>0.1</v>
      </c>
      <c r="T37" s="2">
        <v>0.35</v>
      </c>
      <c r="U37" s="2">
        <v>0.35</v>
      </c>
      <c r="V37" s="3">
        <v>5</v>
      </c>
      <c r="W37" s="3">
        <v>5</v>
      </c>
      <c r="X37" s="3">
        <v>0</v>
      </c>
      <c r="Y37" s="3">
        <v>0</v>
      </c>
      <c r="Z37" s="3">
        <v>0</v>
      </c>
      <c r="AA37" s="3">
        <v>1</v>
      </c>
      <c r="AB37" s="3">
        <v>0</v>
      </c>
      <c r="AC37" s="3">
        <v>1</v>
      </c>
      <c r="AD37" s="3">
        <v>1</v>
      </c>
      <c r="AE37" s="3">
        <v>1</v>
      </c>
      <c r="AF37" s="3">
        <v>3</v>
      </c>
      <c r="AG37" s="3">
        <v>3</v>
      </c>
      <c r="AH37" s="3">
        <v>5</v>
      </c>
      <c r="AI37" s="3">
        <v>5</v>
      </c>
    </row>
    <row r="38" spans="1:35" x14ac:dyDescent="0.2">
      <c r="A38" s="1">
        <v>36</v>
      </c>
      <c r="B38" s="1" t="s">
        <v>103</v>
      </c>
      <c r="C38" s="1"/>
      <c r="D38" s="17">
        <v>1.750470074427396</v>
      </c>
      <c r="E38" s="17">
        <v>58.84241056287069</v>
      </c>
      <c r="F38" s="1"/>
      <c r="G38" s="2">
        <v>5</v>
      </c>
      <c r="H38" s="2">
        <v>5</v>
      </c>
      <c r="I38" s="2">
        <f t="shared" si="0"/>
        <v>0.66700199999999998</v>
      </c>
      <c r="J38" s="2">
        <v>667.00199999999995</v>
      </c>
      <c r="K38" s="11">
        <v>500</v>
      </c>
      <c r="L38" s="11">
        <v>500</v>
      </c>
      <c r="M38" s="2">
        <v>1</v>
      </c>
      <c r="N38" s="2">
        <v>0</v>
      </c>
      <c r="O38" s="2">
        <v>0</v>
      </c>
      <c r="P38" s="2">
        <v>1</v>
      </c>
      <c r="Q38" s="2">
        <v>1</v>
      </c>
      <c r="R38" s="2">
        <v>0.1</v>
      </c>
      <c r="S38" s="2">
        <v>0.1</v>
      </c>
      <c r="T38" s="2">
        <v>0.35</v>
      </c>
      <c r="U38" s="2">
        <v>0.35</v>
      </c>
      <c r="V38" s="3">
        <v>5</v>
      </c>
      <c r="W38" s="3">
        <v>5</v>
      </c>
      <c r="X38" s="3">
        <v>0</v>
      </c>
      <c r="Y38" s="3">
        <v>0</v>
      </c>
      <c r="Z38" s="3">
        <v>0</v>
      </c>
      <c r="AA38" s="3">
        <v>1</v>
      </c>
      <c r="AB38" s="3">
        <v>0</v>
      </c>
      <c r="AC38" s="3">
        <v>1</v>
      </c>
      <c r="AD38" s="3">
        <v>1</v>
      </c>
      <c r="AE38" s="3">
        <v>1</v>
      </c>
      <c r="AF38" s="3">
        <v>3</v>
      </c>
      <c r="AG38" s="3">
        <v>3</v>
      </c>
      <c r="AH38" s="3">
        <v>5</v>
      </c>
      <c r="AI38" s="3">
        <v>5</v>
      </c>
    </row>
    <row r="39" spans="1:35" x14ac:dyDescent="0.2">
      <c r="A39" s="1">
        <v>37</v>
      </c>
      <c r="B39" s="1" t="s">
        <v>104</v>
      </c>
      <c r="C39" s="1"/>
      <c r="D39" s="17">
        <v>2.5577715130093028</v>
      </c>
      <c r="E39" s="17">
        <v>58.841931072335058</v>
      </c>
      <c r="F39" s="1"/>
      <c r="G39" s="2">
        <v>5</v>
      </c>
      <c r="H39" s="2">
        <v>5</v>
      </c>
      <c r="I39" s="2">
        <f t="shared" si="0"/>
        <v>8.8895949999999999</v>
      </c>
      <c r="J39" s="2">
        <v>8889.5949999999993</v>
      </c>
      <c r="K39" s="11">
        <v>500</v>
      </c>
      <c r="L39" s="11">
        <v>500</v>
      </c>
      <c r="M39" s="2">
        <v>1</v>
      </c>
      <c r="N39" s="2">
        <v>0</v>
      </c>
      <c r="O39" s="2">
        <v>0</v>
      </c>
      <c r="P39" s="2">
        <v>1</v>
      </c>
      <c r="Q39" s="2">
        <v>1</v>
      </c>
      <c r="R39" s="2">
        <v>0.1</v>
      </c>
      <c r="S39" s="2">
        <v>0.1</v>
      </c>
      <c r="T39" s="2">
        <v>0.35</v>
      </c>
      <c r="U39" s="2">
        <v>0.35</v>
      </c>
      <c r="V39" s="3">
        <v>5</v>
      </c>
      <c r="W39" s="3">
        <v>5</v>
      </c>
      <c r="X39" s="3">
        <v>0</v>
      </c>
      <c r="Y39" s="3">
        <v>0</v>
      </c>
      <c r="Z39" s="3">
        <v>0</v>
      </c>
      <c r="AA39" s="3">
        <v>1</v>
      </c>
      <c r="AB39" s="3">
        <v>0</v>
      </c>
      <c r="AC39" s="3">
        <v>1</v>
      </c>
      <c r="AD39" s="3">
        <v>1</v>
      </c>
      <c r="AE39" s="3">
        <v>1</v>
      </c>
      <c r="AF39" s="3">
        <v>3</v>
      </c>
      <c r="AG39" s="3">
        <v>3</v>
      </c>
      <c r="AH39" s="3">
        <v>5</v>
      </c>
      <c r="AI39" s="3">
        <v>5</v>
      </c>
    </row>
    <row r="40" spans="1:35" x14ac:dyDescent="0.2">
      <c r="A40" s="1">
        <v>38</v>
      </c>
      <c r="B40" s="1" t="s">
        <v>105</v>
      </c>
      <c r="C40" s="1"/>
      <c r="D40" s="17">
        <v>2.254149831737414</v>
      </c>
      <c r="E40" s="17">
        <v>58.839405675350093</v>
      </c>
      <c r="F40" s="1"/>
      <c r="G40" s="2">
        <v>5</v>
      </c>
      <c r="H40" s="2">
        <v>5</v>
      </c>
      <c r="I40" s="2">
        <f t="shared" si="0"/>
        <v>0</v>
      </c>
      <c r="J40" s="2">
        <v>0</v>
      </c>
      <c r="K40" s="11">
        <v>500</v>
      </c>
      <c r="L40" s="11">
        <v>500</v>
      </c>
      <c r="M40" s="2">
        <v>1</v>
      </c>
      <c r="N40" s="2">
        <v>0</v>
      </c>
      <c r="O40" s="2">
        <v>0</v>
      </c>
      <c r="P40" s="2">
        <v>1</v>
      </c>
      <c r="Q40" s="2">
        <v>1</v>
      </c>
      <c r="R40" s="2">
        <v>0.1</v>
      </c>
      <c r="S40" s="2">
        <v>0.1</v>
      </c>
      <c r="T40" s="2">
        <v>0.35</v>
      </c>
      <c r="U40" s="2">
        <v>0.35</v>
      </c>
      <c r="V40" s="3">
        <v>5</v>
      </c>
      <c r="W40" s="3">
        <v>5</v>
      </c>
      <c r="X40" s="3">
        <v>0</v>
      </c>
      <c r="Y40" s="3">
        <v>0</v>
      </c>
      <c r="Z40" s="3">
        <v>0</v>
      </c>
      <c r="AA40" s="3">
        <v>1</v>
      </c>
      <c r="AB40" s="3">
        <v>0</v>
      </c>
      <c r="AC40" s="3">
        <v>1</v>
      </c>
      <c r="AD40" s="3">
        <v>1</v>
      </c>
      <c r="AE40" s="3">
        <v>1</v>
      </c>
      <c r="AF40" s="3">
        <v>3</v>
      </c>
      <c r="AG40" s="3">
        <v>3</v>
      </c>
      <c r="AH40" s="3">
        <v>5</v>
      </c>
      <c r="AI40" s="3">
        <v>5</v>
      </c>
    </row>
    <row r="41" spans="1:35" x14ac:dyDescent="0.2">
      <c r="A41" s="1">
        <v>39</v>
      </c>
      <c r="B41" s="1" t="s">
        <v>106</v>
      </c>
      <c r="C41" s="1"/>
      <c r="D41" s="23">
        <v>1.898765933579508</v>
      </c>
      <c r="E41" s="23">
        <v>58.370533807717997</v>
      </c>
      <c r="F41" s="1"/>
      <c r="G41" s="2">
        <v>5</v>
      </c>
      <c r="H41" s="2">
        <v>5</v>
      </c>
      <c r="I41" s="2">
        <f t="shared" si="0"/>
        <v>0.29170999999999997</v>
      </c>
      <c r="J41" s="2">
        <v>291.70999999999998</v>
      </c>
      <c r="K41" s="11">
        <v>500</v>
      </c>
      <c r="L41" s="11">
        <v>500</v>
      </c>
      <c r="M41" s="2">
        <v>1</v>
      </c>
      <c r="N41" s="2">
        <v>0</v>
      </c>
      <c r="O41" s="2">
        <v>0</v>
      </c>
      <c r="P41" s="2">
        <v>1</v>
      </c>
      <c r="Q41" s="2">
        <v>1</v>
      </c>
      <c r="R41" s="2">
        <v>0.1</v>
      </c>
      <c r="S41" s="2">
        <v>0.1</v>
      </c>
      <c r="T41" s="2">
        <v>0.35</v>
      </c>
      <c r="U41" s="2">
        <v>0.35</v>
      </c>
      <c r="V41" s="3">
        <v>5</v>
      </c>
      <c r="W41" s="3">
        <v>5</v>
      </c>
      <c r="X41" s="3">
        <v>0</v>
      </c>
      <c r="Y41" s="3">
        <v>0</v>
      </c>
      <c r="Z41" s="3">
        <v>0</v>
      </c>
      <c r="AA41" s="3">
        <v>1</v>
      </c>
      <c r="AB41" s="3">
        <v>0</v>
      </c>
      <c r="AC41" s="3">
        <v>1</v>
      </c>
      <c r="AD41" s="3">
        <v>1</v>
      </c>
      <c r="AE41" s="3">
        <v>1</v>
      </c>
      <c r="AF41" s="3">
        <v>3</v>
      </c>
      <c r="AG41" s="3">
        <v>3</v>
      </c>
      <c r="AH41" s="3">
        <v>5</v>
      </c>
      <c r="AI41" s="3">
        <v>5</v>
      </c>
    </row>
    <row r="42" spans="1:35" x14ac:dyDescent="0.2">
      <c r="A42" s="1">
        <v>40</v>
      </c>
      <c r="B42" s="1" t="s">
        <v>107</v>
      </c>
      <c r="C42" s="1"/>
      <c r="D42" s="23">
        <v>1.915866396996226</v>
      </c>
      <c r="E42" s="23">
        <v>58.364944173837479</v>
      </c>
      <c r="F42" s="1"/>
      <c r="G42" s="2">
        <v>5</v>
      </c>
      <c r="H42" s="2">
        <v>5</v>
      </c>
      <c r="I42" s="2">
        <f t="shared" si="0"/>
        <v>1.9740000000000001E-3</v>
      </c>
      <c r="J42" s="2">
        <v>1.974</v>
      </c>
      <c r="K42" s="11">
        <v>500</v>
      </c>
      <c r="L42" s="11">
        <v>500</v>
      </c>
      <c r="M42" s="2">
        <v>1</v>
      </c>
      <c r="N42" s="2">
        <v>0</v>
      </c>
      <c r="O42" s="2">
        <v>0</v>
      </c>
      <c r="P42" s="2">
        <v>1</v>
      </c>
      <c r="Q42" s="2">
        <v>1</v>
      </c>
      <c r="R42" s="2">
        <v>0.1</v>
      </c>
      <c r="S42" s="2">
        <v>0.1</v>
      </c>
      <c r="T42" s="2">
        <v>0.35</v>
      </c>
      <c r="U42" s="2">
        <v>0.35</v>
      </c>
      <c r="V42" s="3">
        <v>5</v>
      </c>
      <c r="W42" s="3">
        <v>5</v>
      </c>
      <c r="X42" s="3">
        <v>0</v>
      </c>
      <c r="Y42" s="3">
        <v>0</v>
      </c>
      <c r="Z42" s="3">
        <v>0</v>
      </c>
      <c r="AA42" s="3">
        <v>1</v>
      </c>
      <c r="AB42" s="3">
        <v>0</v>
      </c>
      <c r="AC42" s="3">
        <v>1</v>
      </c>
      <c r="AD42" s="3">
        <v>1</v>
      </c>
      <c r="AE42" s="3">
        <v>1</v>
      </c>
      <c r="AF42" s="3">
        <v>3</v>
      </c>
      <c r="AG42" s="3">
        <v>3</v>
      </c>
      <c r="AH42" s="3">
        <v>5</v>
      </c>
      <c r="AI42" s="3">
        <v>5</v>
      </c>
    </row>
    <row r="43" spans="1:35" x14ac:dyDescent="0.2">
      <c r="A43" s="1">
        <v>41</v>
      </c>
      <c r="B43" s="1" t="s">
        <v>108</v>
      </c>
      <c r="C43" s="1"/>
      <c r="D43" s="23">
        <v>2.4644041660536331</v>
      </c>
      <c r="E43" s="23">
        <v>58.188149017412513</v>
      </c>
      <c r="F43" s="1"/>
      <c r="G43" s="2">
        <v>5</v>
      </c>
      <c r="H43" s="2">
        <v>5</v>
      </c>
      <c r="I43" s="2">
        <f t="shared" si="0"/>
        <v>0</v>
      </c>
      <c r="J43" s="2">
        <v>0</v>
      </c>
      <c r="K43" s="11">
        <v>500</v>
      </c>
      <c r="L43" s="11">
        <v>500</v>
      </c>
      <c r="M43" s="2">
        <v>1</v>
      </c>
      <c r="N43" s="2">
        <v>0</v>
      </c>
      <c r="O43" s="2">
        <v>0</v>
      </c>
      <c r="P43" s="2">
        <v>1</v>
      </c>
      <c r="Q43" s="2">
        <v>1</v>
      </c>
      <c r="R43" s="2">
        <v>0.1</v>
      </c>
      <c r="S43" s="2">
        <v>0.1</v>
      </c>
      <c r="T43" s="2">
        <v>0.35</v>
      </c>
      <c r="U43" s="2">
        <v>0.35</v>
      </c>
      <c r="V43" s="3">
        <v>5</v>
      </c>
      <c r="W43" s="3">
        <v>5</v>
      </c>
      <c r="X43" s="3">
        <v>0</v>
      </c>
      <c r="Y43" s="3">
        <v>0</v>
      </c>
      <c r="Z43" s="3">
        <v>0</v>
      </c>
      <c r="AA43" s="3">
        <v>1</v>
      </c>
      <c r="AB43" s="3">
        <v>0</v>
      </c>
      <c r="AC43" s="3">
        <v>1</v>
      </c>
      <c r="AD43" s="3">
        <v>1</v>
      </c>
      <c r="AE43" s="3">
        <v>1</v>
      </c>
      <c r="AF43" s="3">
        <v>3</v>
      </c>
      <c r="AG43" s="3">
        <v>3</v>
      </c>
      <c r="AH43" s="3">
        <v>5</v>
      </c>
      <c r="AI43" s="3">
        <v>5</v>
      </c>
    </row>
    <row r="44" spans="1:35" x14ac:dyDescent="0.2">
      <c r="A44" s="1">
        <v>42</v>
      </c>
      <c r="B44" s="1" t="s">
        <v>109</v>
      </c>
      <c r="C44" s="1"/>
      <c r="D44" s="23">
        <v>2.4737329746028802</v>
      </c>
      <c r="E44" s="23">
        <v>58.184409229014761</v>
      </c>
      <c r="F44" s="1"/>
      <c r="G44" s="2">
        <v>5</v>
      </c>
      <c r="H44" s="2">
        <v>5</v>
      </c>
      <c r="I44" s="2">
        <f t="shared" si="0"/>
        <v>0</v>
      </c>
      <c r="J44" s="2">
        <v>0</v>
      </c>
      <c r="K44" s="11">
        <v>500</v>
      </c>
      <c r="L44" s="11">
        <v>500</v>
      </c>
      <c r="M44" s="2">
        <v>1</v>
      </c>
      <c r="N44" s="2">
        <v>0</v>
      </c>
      <c r="O44" s="2">
        <v>0</v>
      </c>
      <c r="P44" s="2">
        <v>1</v>
      </c>
      <c r="Q44" s="2">
        <v>1</v>
      </c>
      <c r="R44" s="2">
        <v>0.1</v>
      </c>
      <c r="S44" s="2">
        <v>0.1</v>
      </c>
      <c r="T44" s="2">
        <v>0.35</v>
      </c>
      <c r="U44" s="2">
        <v>0.35</v>
      </c>
      <c r="V44" s="3">
        <v>5</v>
      </c>
      <c r="W44" s="3">
        <v>5</v>
      </c>
      <c r="X44" s="3">
        <v>0</v>
      </c>
      <c r="Y44" s="3">
        <v>0</v>
      </c>
      <c r="Z44" s="3">
        <v>0</v>
      </c>
      <c r="AA44" s="3">
        <v>1</v>
      </c>
      <c r="AB44" s="3">
        <v>0</v>
      </c>
      <c r="AC44" s="3">
        <v>1</v>
      </c>
      <c r="AD44" s="3">
        <v>1</v>
      </c>
      <c r="AE44" s="3">
        <v>1</v>
      </c>
      <c r="AF44" s="3">
        <v>3</v>
      </c>
      <c r="AG44" s="3">
        <v>3</v>
      </c>
      <c r="AH44" s="3">
        <v>5</v>
      </c>
      <c r="AI44" s="3">
        <v>5</v>
      </c>
    </row>
    <row r="45" spans="1:35" x14ac:dyDescent="0.2">
      <c r="A45" s="1">
        <v>43</v>
      </c>
      <c r="B45" s="1" t="s">
        <v>110</v>
      </c>
      <c r="C45" s="1"/>
      <c r="D45" s="23">
        <v>1.803328</v>
      </c>
      <c r="E45" s="23">
        <v>57.758068999999999</v>
      </c>
      <c r="F45" s="1"/>
      <c r="G45" s="2">
        <v>5</v>
      </c>
      <c r="H45" s="2">
        <v>5</v>
      </c>
      <c r="I45" s="2">
        <f t="shared" si="0"/>
        <v>1.2823420000000001</v>
      </c>
      <c r="J45" s="2">
        <v>1282.3420000000001</v>
      </c>
      <c r="K45" s="11">
        <v>500</v>
      </c>
      <c r="L45" s="11">
        <v>500</v>
      </c>
      <c r="M45" s="2">
        <v>1</v>
      </c>
      <c r="N45" s="2">
        <v>0</v>
      </c>
      <c r="O45" s="2">
        <v>0</v>
      </c>
      <c r="P45" s="2">
        <v>1</v>
      </c>
      <c r="Q45" s="2">
        <v>1</v>
      </c>
      <c r="R45" s="2">
        <v>0.1</v>
      </c>
      <c r="S45" s="2">
        <v>0.1</v>
      </c>
      <c r="T45" s="2">
        <v>0.35</v>
      </c>
      <c r="U45" s="2">
        <v>0.35</v>
      </c>
      <c r="V45" s="3">
        <v>5</v>
      </c>
      <c r="W45" s="3">
        <v>5</v>
      </c>
      <c r="X45" s="3">
        <v>0</v>
      </c>
      <c r="Y45" s="3">
        <v>0</v>
      </c>
      <c r="Z45" s="3">
        <v>0</v>
      </c>
      <c r="AA45" s="3">
        <v>1</v>
      </c>
      <c r="AB45" s="3">
        <v>0</v>
      </c>
      <c r="AC45" s="3">
        <v>1</v>
      </c>
      <c r="AD45" s="3">
        <v>1</v>
      </c>
      <c r="AE45" s="3">
        <v>1</v>
      </c>
      <c r="AF45" s="3">
        <v>3</v>
      </c>
      <c r="AG45" s="3">
        <v>3</v>
      </c>
      <c r="AH45" s="3">
        <v>5</v>
      </c>
      <c r="AI45" s="3">
        <v>5</v>
      </c>
    </row>
    <row r="46" spans="1:35" x14ac:dyDescent="0.2">
      <c r="A46" s="1">
        <v>44</v>
      </c>
      <c r="B46" s="1" t="s">
        <v>111</v>
      </c>
      <c r="C46" s="1"/>
      <c r="D46" s="23">
        <v>-1.8256509999999999</v>
      </c>
      <c r="E46" s="23">
        <v>57.579971</v>
      </c>
      <c r="F46" s="1"/>
      <c r="G46" s="2">
        <v>5</v>
      </c>
      <c r="H46" s="2">
        <v>5</v>
      </c>
      <c r="I46" s="2">
        <f t="shared" si="0"/>
        <v>0</v>
      </c>
      <c r="J46" s="2">
        <v>0</v>
      </c>
      <c r="K46" s="11">
        <v>500</v>
      </c>
      <c r="L46" s="11">
        <v>500</v>
      </c>
      <c r="M46" s="2">
        <v>1</v>
      </c>
      <c r="N46" s="2">
        <v>0</v>
      </c>
      <c r="O46" s="2">
        <v>0</v>
      </c>
      <c r="P46" s="2">
        <v>1</v>
      </c>
      <c r="Q46" s="2">
        <v>1</v>
      </c>
      <c r="R46" s="2">
        <v>0.1</v>
      </c>
      <c r="S46" s="2">
        <v>0.1</v>
      </c>
      <c r="T46" s="2">
        <v>0.35</v>
      </c>
      <c r="U46" s="2">
        <v>0.35</v>
      </c>
      <c r="V46" s="3">
        <v>5</v>
      </c>
      <c r="W46" s="3">
        <v>5</v>
      </c>
      <c r="X46" s="3">
        <v>0</v>
      </c>
      <c r="Y46" s="3">
        <v>0</v>
      </c>
      <c r="Z46" s="3">
        <v>0</v>
      </c>
      <c r="AA46" s="3">
        <v>1</v>
      </c>
      <c r="AB46" s="3">
        <v>0</v>
      </c>
      <c r="AC46" s="3">
        <v>1</v>
      </c>
      <c r="AD46" s="3">
        <v>1</v>
      </c>
      <c r="AE46" s="3">
        <v>1</v>
      </c>
      <c r="AF46" s="3">
        <v>3</v>
      </c>
      <c r="AG46" s="3">
        <v>3</v>
      </c>
      <c r="AH46" s="3">
        <v>5</v>
      </c>
      <c r="AI46" s="3">
        <v>5</v>
      </c>
    </row>
    <row r="47" spans="1:35" x14ac:dyDescent="0.2">
      <c r="A47" s="1">
        <v>45</v>
      </c>
      <c r="B47" s="43" t="s">
        <v>112</v>
      </c>
      <c r="C47" s="43"/>
      <c r="D47" s="44">
        <v>3.23</v>
      </c>
      <c r="E47" s="44">
        <v>56.55</v>
      </c>
      <c r="F47" s="1"/>
      <c r="G47" s="2">
        <v>5</v>
      </c>
      <c r="H47" s="2">
        <v>5</v>
      </c>
      <c r="I47" s="2">
        <f t="shared" si="0"/>
        <v>0.57878499999999999</v>
      </c>
      <c r="J47" s="2">
        <v>578.78499999999997</v>
      </c>
      <c r="K47" s="11">
        <v>500</v>
      </c>
      <c r="L47" s="11">
        <v>500</v>
      </c>
      <c r="M47" s="2">
        <v>1</v>
      </c>
      <c r="N47" s="2">
        <v>0</v>
      </c>
      <c r="O47" s="2">
        <v>0</v>
      </c>
      <c r="P47" s="2">
        <v>1</v>
      </c>
      <c r="Q47" s="2">
        <v>1</v>
      </c>
      <c r="R47" s="2">
        <v>0.1</v>
      </c>
      <c r="S47" s="2">
        <v>0.1</v>
      </c>
      <c r="T47" s="2">
        <v>0.35</v>
      </c>
      <c r="U47" s="2">
        <v>0.35</v>
      </c>
      <c r="V47" s="3">
        <v>5</v>
      </c>
      <c r="W47" s="3">
        <v>5</v>
      </c>
      <c r="X47" s="3">
        <v>0</v>
      </c>
      <c r="Y47" s="3">
        <v>0</v>
      </c>
      <c r="Z47" s="3">
        <v>0</v>
      </c>
      <c r="AA47" s="3">
        <v>1</v>
      </c>
      <c r="AB47" s="3">
        <v>0</v>
      </c>
      <c r="AC47" s="3">
        <v>1</v>
      </c>
      <c r="AD47" s="3">
        <v>1</v>
      </c>
      <c r="AE47" s="3">
        <v>1</v>
      </c>
      <c r="AF47" s="3">
        <v>3</v>
      </c>
      <c r="AG47" s="3">
        <v>3</v>
      </c>
      <c r="AH47" s="3">
        <v>5</v>
      </c>
      <c r="AI47" s="3">
        <v>5</v>
      </c>
    </row>
    <row r="48" spans="1:35" x14ac:dyDescent="0.2">
      <c r="A48" s="1">
        <v>46</v>
      </c>
      <c r="B48" s="43" t="s">
        <v>113</v>
      </c>
      <c r="C48" s="43"/>
      <c r="D48" s="45">
        <v>3.330503000000022</v>
      </c>
      <c r="E48" s="45">
        <v>56.490369000000037</v>
      </c>
      <c r="F48" s="1"/>
      <c r="G48" s="2">
        <v>5</v>
      </c>
      <c r="H48" s="2">
        <v>5</v>
      </c>
      <c r="I48" s="2">
        <f t="shared" si="0"/>
        <v>0.93385499999999999</v>
      </c>
      <c r="J48" s="2">
        <v>933.85500000000002</v>
      </c>
      <c r="K48" s="11">
        <v>500</v>
      </c>
      <c r="L48" s="11">
        <v>500</v>
      </c>
      <c r="M48" s="2">
        <v>1</v>
      </c>
      <c r="N48" s="2">
        <v>0</v>
      </c>
      <c r="O48" s="2">
        <v>0</v>
      </c>
      <c r="P48" s="2">
        <v>1</v>
      </c>
      <c r="Q48" s="2">
        <v>1</v>
      </c>
      <c r="R48" s="2">
        <v>0.1</v>
      </c>
      <c r="S48" s="2">
        <v>0.1</v>
      </c>
      <c r="T48" s="2">
        <v>0.35</v>
      </c>
      <c r="U48" s="2">
        <v>0.35</v>
      </c>
      <c r="V48" s="3">
        <v>5</v>
      </c>
      <c r="W48" s="3">
        <v>5</v>
      </c>
      <c r="X48" s="3">
        <v>0</v>
      </c>
      <c r="Y48" s="3">
        <v>0</v>
      </c>
      <c r="Z48" s="3">
        <v>0</v>
      </c>
      <c r="AA48" s="3">
        <v>1</v>
      </c>
      <c r="AB48" s="3">
        <v>0</v>
      </c>
      <c r="AC48" s="3">
        <v>1</v>
      </c>
      <c r="AD48" s="3">
        <v>1</v>
      </c>
      <c r="AE48" s="3">
        <v>1</v>
      </c>
      <c r="AF48" s="3">
        <v>3</v>
      </c>
      <c r="AG48" s="3">
        <v>3</v>
      </c>
      <c r="AH48" s="3">
        <v>5</v>
      </c>
      <c r="AI48" s="3">
        <v>5</v>
      </c>
    </row>
    <row r="49" spans="1:35" x14ac:dyDescent="0.2">
      <c r="A49" s="1">
        <v>47</v>
      </c>
      <c r="B49" s="1" t="s">
        <v>114</v>
      </c>
      <c r="C49" s="1"/>
      <c r="D49" s="23">
        <v>6.5038</v>
      </c>
      <c r="E49" s="23">
        <v>55.71</v>
      </c>
      <c r="F49" s="1"/>
      <c r="G49" s="2">
        <v>5</v>
      </c>
      <c r="H49" s="2">
        <v>5</v>
      </c>
      <c r="I49" s="2">
        <f t="shared" si="0"/>
        <v>0</v>
      </c>
      <c r="J49" s="30">
        <v>0</v>
      </c>
      <c r="K49" s="11">
        <v>500</v>
      </c>
      <c r="L49" s="11">
        <v>500</v>
      </c>
      <c r="M49" s="2">
        <v>1</v>
      </c>
      <c r="N49" s="2">
        <v>0</v>
      </c>
      <c r="O49" s="2">
        <v>0</v>
      </c>
      <c r="P49" s="2">
        <v>1</v>
      </c>
      <c r="Q49" s="2">
        <v>1</v>
      </c>
      <c r="R49" s="2">
        <v>0.1</v>
      </c>
      <c r="S49" s="2">
        <v>0.1</v>
      </c>
      <c r="T49" s="2">
        <v>0.35</v>
      </c>
      <c r="U49" s="2">
        <v>0.35</v>
      </c>
      <c r="V49" s="3">
        <v>5</v>
      </c>
      <c r="W49" s="3">
        <v>5</v>
      </c>
      <c r="X49" s="3">
        <v>0</v>
      </c>
      <c r="Y49" s="3">
        <v>0</v>
      </c>
      <c r="Z49" s="3">
        <v>0</v>
      </c>
      <c r="AA49" s="3">
        <v>1</v>
      </c>
      <c r="AB49" s="3">
        <v>0</v>
      </c>
      <c r="AC49" s="3">
        <v>1</v>
      </c>
      <c r="AD49" s="3">
        <v>1</v>
      </c>
      <c r="AE49" s="3">
        <v>1</v>
      </c>
      <c r="AF49" s="3">
        <v>3</v>
      </c>
      <c r="AG49" s="3">
        <v>3</v>
      </c>
      <c r="AH49" s="3">
        <v>5</v>
      </c>
      <c r="AI49" s="3">
        <v>5</v>
      </c>
    </row>
    <row r="50" spans="1:35" x14ac:dyDescent="0.2">
      <c r="A50" s="1">
        <v>48</v>
      </c>
      <c r="B50" s="1" t="s">
        <v>115</v>
      </c>
      <c r="C50" s="1"/>
      <c r="D50" s="23">
        <v>4.5569471181611378</v>
      </c>
      <c r="E50" s="23">
        <v>55.458982371638299</v>
      </c>
      <c r="F50" s="1"/>
      <c r="G50" s="2">
        <v>5</v>
      </c>
      <c r="H50" s="2">
        <v>5</v>
      </c>
      <c r="I50" s="2">
        <f t="shared" si="0"/>
        <v>0</v>
      </c>
      <c r="J50" s="2">
        <v>0</v>
      </c>
      <c r="K50" s="11">
        <v>500</v>
      </c>
      <c r="L50" s="11">
        <v>500</v>
      </c>
      <c r="M50" s="2">
        <v>1</v>
      </c>
      <c r="N50" s="2">
        <v>0</v>
      </c>
      <c r="O50" s="2">
        <v>0</v>
      </c>
      <c r="P50" s="2">
        <v>1</v>
      </c>
      <c r="Q50" s="2">
        <v>1</v>
      </c>
      <c r="R50" s="2">
        <v>0.1</v>
      </c>
      <c r="S50" s="2">
        <v>0.1</v>
      </c>
      <c r="T50" s="2">
        <v>0.35</v>
      </c>
      <c r="U50" s="2">
        <v>0.35</v>
      </c>
      <c r="V50" s="3">
        <v>5</v>
      </c>
      <c r="W50" s="3">
        <v>5</v>
      </c>
      <c r="X50" s="3">
        <v>0</v>
      </c>
      <c r="Y50" s="3">
        <v>0</v>
      </c>
      <c r="Z50" s="3">
        <v>0</v>
      </c>
      <c r="AA50" s="3">
        <v>1</v>
      </c>
      <c r="AB50" s="3">
        <v>0</v>
      </c>
      <c r="AC50" s="3">
        <v>1</v>
      </c>
      <c r="AD50" s="3">
        <v>1</v>
      </c>
      <c r="AE50" s="3">
        <v>1</v>
      </c>
      <c r="AF50" s="3">
        <v>3</v>
      </c>
      <c r="AG50" s="3">
        <v>3</v>
      </c>
      <c r="AH50" s="3">
        <v>5</v>
      </c>
      <c r="AI50" s="3">
        <v>5</v>
      </c>
    </row>
    <row r="51" spans="1:35" x14ac:dyDescent="0.2">
      <c r="A51" s="1">
        <v>49</v>
      </c>
      <c r="B51" s="1" t="s">
        <v>116</v>
      </c>
      <c r="C51" s="1"/>
      <c r="D51" s="23">
        <v>3.2998160000000212</v>
      </c>
      <c r="E51" s="23">
        <v>54.789494000000047</v>
      </c>
      <c r="F51" s="1"/>
      <c r="G51" s="2">
        <v>5</v>
      </c>
      <c r="H51" s="2">
        <v>5</v>
      </c>
      <c r="I51" s="2">
        <f t="shared" si="0"/>
        <v>0</v>
      </c>
      <c r="J51" s="2">
        <v>0</v>
      </c>
      <c r="K51" s="11">
        <v>500</v>
      </c>
      <c r="L51" s="11">
        <v>500</v>
      </c>
      <c r="M51" s="2">
        <v>1</v>
      </c>
      <c r="N51" s="2">
        <v>0</v>
      </c>
      <c r="O51" s="2">
        <v>0</v>
      </c>
      <c r="P51" s="2">
        <v>1</v>
      </c>
      <c r="Q51" s="2">
        <v>1</v>
      </c>
      <c r="R51" s="2">
        <v>0.1</v>
      </c>
      <c r="S51" s="2">
        <v>0.1</v>
      </c>
      <c r="T51" s="2">
        <v>0.35</v>
      </c>
      <c r="U51" s="2">
        <v>0.35</v>
      </c>
      <c r="V51" s="3">
        <v>5</v>
      </c>
      <c r="W51" s="3">
        <v>5</v>
      </c>
      <c r="X51" s="3">
        <v>0</v>
      </c>
      <c r="Y51" s="3">
        <v>0</v>
      </c>
      <c r="Z51" s="3">
        <v>0</v>
      </c>
      <c r="AA51" s="3">
        <v>1</v>
      </c>
      <c r="AB51" s="3">
        <v>0</v>
      </c>
      <c r="AC51" s="3">
        <v>1</v>
      </c>
      <c r="AD51" s="3">
        <v>1</v>
      </c>
      <c r="AE51" s="3">
        <v>1</v>
      </c>
      <c r="AF51" s="3">
        <v>3</v>
      </c>
      <c r="AG51" s="3">
        <v>3</v>
      </c>
      <c r="AH51" s="3">
        <v>5</v>
      </c>
      <c r="AI51" s="3">
        <v>5</v>
      </c>
    </row>
    <row r="52" spans="1:35" x14ac:dyDescent="0.2">
      <c r="A52" s="1">
        <v>50</v>
      </c>
      <c r="B52" s="1" t="s">
        <v>117</v>
      </c>
      <c r="C52" s="1"/>
      <c r="D52" s="23">
        <v>-1.104584</v>
      </c>
      <c r="E52" s="23">
        <v>54.624600000000001</v>
      </c>
      <c r="F52" s="1"/>
      <c r="G52" s="2">
        <v>5</v>
      </c>
      <c r="H52" s="2">
        <v>5</v>
      </c>
      <c r="I52" s="2">
        <f t="shared" si="0"/>
        <v>0.22223300000000001</v>
      </c>
      <c r="J52" s="2">
        <v>222.233</v>
      </c>
      <c r="K52" s="11">
        <v>500</v>
      </c>
      <c r="L52" s="11">
        <v>500</v>
      </c>
      <c r="M52" s="2">
        <v>1</v>
      </c>
      <c r="N52" s="2">
        <v>0</v>
      </c>
      <c r="O52" s="2">
        <v>0</v>
      </c>
      <c r="P52" s="2">
        <v>1</v>
      </c>
      <c r="Q52" s="2">
        <v>1</v>
      </c>
      <c r="R52" s="2">
        <v>0.1</v>
      </c>
      <c r="S52" s="2">
        <v>0.1</v>
      </c>
      <c r="T52" s="2">
        <v>0.35</v>
      </c>
      <c r="U52" s="2">
        <v>0.35</v>
      </c>
      <c r="V52" s="3">
        <v>5</v>
      </c>
      <c r="W52" s="3">
        <v>5</v>
      </c>
      <c r="X52" s="3">
        <v>0</v>
      </c>
      <c r="Y52" s="3">
        <v>0</v>
      </c>
      <c r="Z52" s="3">
        <v>0</v>
      </c>
      <c r="AA52" s="3">
        <v>1</v>
      </c>
      <c r="AB52" s="3">
        <v>0</v>
      </c>
      <c r="AC52" s="3">
        <v>1</v>
      </c>
      <c r="AD52" s="3">
        <v>1</v>
      </c>
      <c r="AE52" s="3">
        <v>1</v>
      </c>
      <c r="AF52" s="3">
        <v>3</v>
      </c>
      <c r="AG52" s="3">
        <v>3</v>
      </c>
      <c r="AH52" s="3">
        <v>5</v>
      </c>
      <c r="AI52" s="3">
        <v>5</v>
      </c>
    </row>
    <row r="53" spans="1:35" x14ac:dyDescent="0.2">
      <c r="A53" s="1">
        <v>51</v>
      </c>
      <c r="B53" s="1" t="s">
        <v>118</v>
      </c>
      <c r="C53" s="1"/>
      <c r="D53" s="23">
        <v>6.0406335538870612</v>
      </c>
      <c r="E53" s="23">
        <v>54.505801334185612</v>
      </c>
      <c r="F53" s="1"/>
      <c r="G53" s="2">
        <v>5</v>
      </c>
      <c r="H53" s="2">
        <v>5</v>
      </c>
      <c r="I53" s="2">
        <f t="shared" si="0"/>
        <v>0</v>
      </c>
      <c r="J53" s="2">
        <v>0</v>
      </c>
      <c r="K53" s="11">
        <v>500</v>
      </c>
      <c r="L53" s="11">
        <v>500</v>
      </c>
      <c r="M53" s="2">
        <v>1</v>
      </c>
      <c r="N53" s="2">
        <v>0</v>
      </c>
      <c r="O53" s="2">
        <v>0</v>
      </c>
      <c r="P53" s="2">
        <v>1</v>
      </c>
      <c r="Q53" s="2">
        <v>1</v>
      </c>
      <c r="R53" s="2">
        <v>0.1</v>
      </c>
      <c r="S53" s="2">
        <v>0.1</v>
      </c>
      <c r="T53" s="2">
        <v>0.35</v>
      </c>
      <c r="U53" s="2">
        <v>0.35</v>
      </c>
      <c r="V53" s="3">
        <v>5</v>
      </c>
      <c r="W53" s="3">
        <v>5</v>
      </c>
      <c r="X53" s="3">
        <v>0</v>
      </c>
      <c r="Y53" s="3">
        <v>0</v>
      </c>
      <c r="Z53" s="3">
        <v>0</v>
      </c>
      <c r="AA53" s="3">
        <v>1</v>
      </c>
      <c r="AB53" s="3">
        <v>0</v>
      </c>
      <c r="AC53" s="3">
        <v>1</v>
      </c>
      <c r="AD53" s="3">
        <v>1</v>
      </c>
      <c r="AE53" s="3">
        <v>1</v>
      </c>
      <c r="AF53" s="3">
        <v>3</v>
      </c>
      <c r="AG53" s="3">
        <v>3</v>
      </c>
      <c r="AH53" s="3">
        <v>5</v>
      </c>
      <c r="AI53" s="3">
        <v>5</v>
      </c>
    </row>
    <row r="54" spans="1:35" x14ac:dyDescent="0.2">
      <c r="A54" s="1">
        <v>52</v>
      </c>
      <c r="B54" s="1" t="s">
        <v>119</v>
      </c>
      <c r="C54" s="1"/>
      <c r="D54" s="23">
        <v>15.2599</v>
      </c>
      <c r="E54" s="23">
        <v>53.8</v>
      </c>
      <c r="F54" s="1"/>
      <c r="G54" s="2">
        <v>5</v>
      </c>
      <c r="H54" s="2">
        <v>5</v>
      </c>
      <c r="I54" s="2">
        <f t="shared" si="0"/>
        <v>1.0410509999999999</v>
      </c>
      <c r="J54" s="30">
        <v>1041.0509999999999</v>
      </c>
      <c r="K54" s="11">
        <v>500</v>
      </c>
      <c r="L54" s="11">
        <v>500</v>
      </c>
      <c r="M54" s="2">
        <v>1</v>
      </c>
      <c r="N54" s="2">
        <v>0</v>
      </c>
      <c r="O54" s="2">
        <v>0</v>
      </c>
      <c r="P54" s="2">
        <v>1</v>
      </c>
      <c r="Q54" s="2">
        <v>1</v>
      </c>
      <c r="R54" s="2">
        <v>0.1</v>
      </c>
      <c r="S54" s="2">
        <v>0.1</v>
      </c>
      <c r="T54" s="2">
        <v>0.35</v>
      </c>
      <c r="U54" s="2">
        <v>0.35</v>
      </c>
      <c r="V54" s="3">
        <v>5</v>
      </c>
      <c r="W54" s="3">
        <v>5</v>
      </c>
      <c r="X54" s="3">
        <v>0</v>
      </c>
      <c r="Y54" s="3">
        <v>0</v>
      </c>
      <c r="Z54" s="3">
        <v>0</v>
      </c>
      <c r="AA54" s="3">
        <v>1</v>
      </c>
      <c r="AB54" s="3">
        <v>0</v>
      </c>
      <c r="AC54" s="3">
        <v>1</v>
      </c>
      <c r="AD54" s="3">
        <v>1</v>
      </c>
      <c r="AE54" s="3">
        <v>1</v>
      </c>
      <c r="AF54" s="3">
        <v>3</v>
      </c>
      <c r="AG54" s="3">
        <v>3</v>
      </c>
      <c r="AH54" s="3">
        <v>5</v>
      </c>
      <c r="AI54" s="3">
        <v>5</v>
      </c>
    </row>
    <row r="55" spans="1:35" x14ac:dyDescent="0.2">
      <c r="A55" s="1">
        <v>53</v>
      </c>
      <c r="B55" s="1" t="s">
        <v>120</v>
      </c>
      <c r="C55" s="1"/>
      <c r="D55" s="24">
        <v>4.2226220000000581</v>
      </c>
      <c r="E55" s="24">
        <v>55.706969000000072</v>
      </c>
      <c r="F55" s="1"/>
      <c r="G55" s="2">
        <v>5</v>
      </c>
      <c r="H55" s="2">
        <v>5</v>
      </c>
      <c r="I55" s="2">
        <f t="shared" si="0"/>
        <v>0</v>
      </c>
      <c r="J55" s="2">
        <v>0</v>
      </c>
      <c r="K55" s="11">
        <v>500</v>
      </c>
      <c r="L55" s="11">
        <v>500</v>
      </c>
      <c r="M55" s="2">
        <v>1</v>
      </c>
      <c r="N55" s="2">
        <v>0</v>
      </c>
      <c r="O55" s="2">
        <v>0</v>
      </c>
      <c r="P55" s="2">
        <v>1</v>
      </c>
      <c r="Q55" s="2">
        <v>1</v>
      </c>
      <c r="R55" s="2">
        <v>0.1</v>
      </c>
      <c r="S55" s="2">
        <v>0.1</v>
      </c>
      <c r="T55" s="2">
        <v>0.35</v>
      </c>
      <c r="U55" s="2">
        <v>0.35</v>
      </c>
      <c r="V55" s="3">
        <v>5</v>
      </c>
      <c r="W55" s="3">
        <v>5</v>
      </c>
      <c r="X55" s="3">
        <v>0</v>
      </c>
      <c r="Y55" s="3">
        <v>0</v>
      </c>
      <c r="Z55" s="3">
        <v>0</v>
      </c>
      <c r="AA55" s="3">
        <v>1</v>
      </c>
      <c r="AB55" s="3">
        <v>0</v>
      </c>
      <c r="AC55" s="3">
        <v>1</v>
      </c>
      <c r="AD55" s="3">
        <v>1</v>
      </c>
      <c r="AE55" s="3">
        <v>1</v>
      </c>
      <c r="AF55" s="3">
        <v>3</v>
      </c>
      <c r="AG55" s="3">
        <v>3</v>
      </c>
      <c r="AH55" s="3">
        <v>5</v>
      </c>
      <c r="AI55" s="3">
        <v>5</v>
      </c>
    </row>
    <row r="56" spans="1:35" x14ac:dyDescent="0.2">
      <c r="A56" s="1">
        <v>54</v>
      </c>
      <c r="B56" s="1" t="s">
        <v>121</v>
      </c>
      <c r="C56" s="1"/>
      <c r="D56" s="23">
        <v>0.1160310000000209</v>
      </c>
      <c r="E56" s="23">
        <v>53.659231000000027</v>
      </c>
      <c r="F56" s="1"/>
      <c r="G56" s="2">
        <v>5</v>
      </c>
      <c r="H56" s="2">
        <v>5</v>
      </c>
      <c r="I56" s="2">
        <f t="shared" si="0"/>
        <v>0</v>
      </c>
      <c r="J56" s="2">
        <v>0</v>
      </c>
      <c r="K56" s="11">
        <v>500</v>
      </c>
      <c r="L56" s="11">
        <v>500</v>
      </c>
      <c r="M56" s="2">
        <v>1</v>
      </c>
      <c r="N56" s="2">
        <v>0</v>
      </c>
      <c r="O56" s="2">
        <v>0</v>
      </c>
      <c r="P56" s="2">
        <v>1</v>
      </c>
      <c r="Q56" s="2">
        <v>1</v>
      </c>
      <c r="R56" s="2">
        <v>0.1</v>
      </c>
      <c r="S56" s="2">
        <v>0.1</v>
      </c>
      <c r="T56" s="2">
        <v>0.35</v>
      </c>
      <c r="U56" s="2">
        <v>0.35</v>
      </c>
      <c r="V56" s="3">
        <v>5</v>
      </c>
      <c r="W56" s="3">
        <v>5</v>
      </c>
      <c r="X56" s="3">
        <v>0</v>
      </c>
      <c r="Y56" s="3">
        <v>0</v>
      </c>
      <c r="Z56" s="3">
        <v>0</v>
      </c>
      <c r="AA56" s="3">
        <v>1</v>
      </c>
      <c r="AB56" s="3">
        <v>0</v>
      </c>
      <c r="AC56" s="3">
        <v>1</v>
      </c>
      <c r="AD56" s="3">
        <v>1</v>
      </c>
      <c r="AE56" s="3">
        <v>1</v>
      </c>
      <c r="AF56" s="3">
        <v>3</v>
      </c>
      <c r="AG56" s="3">
        <v>3</v>
      </c>
      <c r="AH56" s="3">
        <v>5</v>
      </c>
      <c r="AI56" s="3">
        <v>5</v>
      </c>
    </row>
    <row r="57" spans="1:35" x14ac:dyDescent="0.2">
      <c r="A57" s="1">
        <v>55</v>
      </c>
      <c r="B57" s="1" t="s">
        <v>122</v>
      </c>
      <c r="C57" s="1"/>
      <c r="D57" s="23">
        <v>7.3264200000000406</v>
      </c>
      <c r="E57" s="23">
        <v>53.679700000000082</v>
      </c>
      <c r="F57" s="1"/>
      <c r="G57" s="2">
        <v>5</v>
      </c>
      <c r="H57" s="2">
        <v>5</v>
      </c>
      <c r="I57" s="2">
        <f t="shared" si="0"/>
        <v>0</v>
      </c>
      <c r="J57" s="2">
        <v>0</v>
      </c>
      <c r="K57" s="11">
        <v>500</v>
      </c>
      <c r="L57" s="11">
        <v>500</v>
      </c>
      <c r="M57" s="2">
        <v>1</v>
      </c>
      <c r="N57" s="2">
        <v>0</v>
      </c>
      <c r="O57" s="2">
        <v>0</v>
      </c>
      <c r="P57" s="2">
        <v>1</v>
      </c>
      <c r="Q57" s="2">
        <v>1</v>
      </c>
      <c r="R57" s="2">
        <v>0.1</v>
      </c>
      <c r="S57" s="2">
        <v>0.1</v>
      </c>
      <c r="T57" s="2">
        <v>0.35</v>
      </c>
      <c r="U57" s="2">
        <v>0.35</v>
      </c>
      <c r="V57" s="3">
        <v>5</v>
      </c>
      <c r="W57" s="3">
        <v>5</v>
      </c>
      <c r="X57" s="3">
        <v>0</v>
      </c>
      <c r="Y57" s="3">
        <v>0</v>
      </c>
      <c r="Z57" s="3">
        <v>0</v>
      </c>
      <c r="AA57" s="3">
        <v>1</v>
      </c>
      <c r="AB57" s="3">
        <v>0</v>
      </c>
      <c r="AC57" s="3">
        <v>1</v>
      </c>
      <c r="AD57" s="3">
        <v>1</v>
      </c>
      <c r="AE57" s="3">
        <v>1</v>
      </c>
      <c r="AF57" s="3">
        <v>3</v>
      </c>
      <c r="AG57" s="3">
        <v>3</v>
      </c>
      <c r="AH57" s="3">
        <v>5</v>
      </c>
      <c r="AI57" s="3">
        <v>5</v>
      </c>
    </row>
    <row r="58" spans="1:35" x14ac:dyDescent="0.2">
      <c r="A58" s="1">
        <v>56</v>
      </c>
      <c r="B58" s="1" t="s">
        <v>123</v>
      </c>
      <c r="C58" s="1"/>
      <c r="D58" s="23">
        <v>3.229797000000076</v>
      </c>
      <c r="E58" s="23">
        <v>51.350508000000048</v>
      </c>
      <c r="F58" s="1"/>
      <c r="G58" s="2">
        <v>5</v>
      </c>
      <c r="H58" s="2">
        <v>5</v>
      </c>
      <c r="I58" s="2">
        <f t="shared" si="0"/>
        <v>4.8064999999999997E-2</v>
      </c>
      <c r="J58" s="2">
        <v>48.064999999999998</v>
      </c>
      <c r="K58" s="11">
        <v>500</v>
      </c>
      <c r="L58" s="11">
        <v>500</v>
      </c>
      <c r="M58" s="2">
        <v>1</v>
      </c>
      <c r="N58" s="2">
        <v>0</v>
      </c>
      <c r="O58" s="2">
        <v>0</v>
      </c>
      <c r="P58" s="2">
        <v>1</v>
      </c>
      <c r="Q58" s="2">
        <v>1</v>
      </c>
      <c r="R58" s="2">
        <v>0.1</v>
      </c>
      <c r="S58" s="2">
        <v>0.1</v>
      </c>
      <c r="T58" s="2">
        <v>0.35</v>
      </c>
      <c r="U58" s="2">
        <v>0.35</v>
      </c>
      <c r="V58" s="3">
        <v>5</v>
      </c>
      <c r="W58" s="3">
        <v>5</v>
      </c>
      <c r="X58" s="3">
        <v>0</v>
      </c>
      <c r="Y58" s="3">
        <v>0</v>
      </c>
      <c r="Z58" s="3">
        <v>0</v>
      </c>
      <c r="AA58" s="3">
        <v>1</v>
      </c>
      <c r="AB58" s="3">
        <v>0</v>
      </c>
      <c r="AC58" s="3">
        <v>1</v>
      </c>
      <c r="AD58" s="3">
        <v>1</v>
      </c>
      <c r="AE58" s="3">
        <v>1</v>
      </c>
      <c r="AF58" s="3">
        <v>3</v>
      </c>
      <c r="AG58" s="3">
        <v>3</v>
      </c>
      <c r="AH58" s="3">
        <v>5</v>
      </c>
      <c r="AI58" s="3">
        <v>5</v>
      </c>
    </row>
    <row r="59" spans="1:35" x14ac:dyDescent="0.2">
      <c r="A59" s="1">
        <v>57</v>
      </c>
      <c r="B59" s="1" t="s">
        <v>124</v>
      </c>
      <c r="C59" s="1"/>
      <c r="D59" s="23">
        <v>2.252709000000038</v>
      </c>
      <c r="E59" s="23">
        <v>51.046406000000047</v>
      </c>
      <c r="F59" s="1"/>
      <c r="G59" s="2">
        <v>5</v>
      </c>
      <c r="H59" s="2">
        <v>5</v>
      </c>
      <c r="I59" s="2">
        <f t="shared" si="0"/>
        <v>1.2145999999999999</v>
      </c>
      <c r="J59" s="30">
        <v>1214.5999999999999</v>
      </c>
      <c r="K59" s="11">
        <v>500</v>
      </c>
      <c r="L59" s="11">
        <v>500</v>
      </c>
      <c r="M59" s="2">
        <v>1</v>
      </c>
      <c r="N59" s="2">
        <v>0</v>
      </c>
      <c r="O59" s="2">
        <v>0</v>
      </c>
      <c r="P59" s="2">
        <v>1</v>
      </c>
      <c r="Q59" s="2">
        <v>1</v>
      </c>
      <c r="R59" s="2">
        <v>0.1</v>
      </c>
      <c r="S59" s="2">
        <v>0.1</v>
      </c>
      <c r="T59" s="2">
        <v>0.35</v>
      </c>
      <c r="U59" s="2">
        <v>0.35</v>
      </c>
      <c r="V59" s="3">
        <v>5</v>
      </c>
      <c r="W59" s="3">
        <v>5</v>
      </c>
      <c r="X59" s="3">
        <v>0</v>
      </c>
      <c r="Y59" s="3">
        <v>0</v>
      </c>
      <c r="Z59" s="3">
        <v>0</v>
      </c>
      <c r="AA59" s="3">
        <v>1</v>
      </c>
      <c r="AB59" s="3">
        <v>0</v>
      </c>
      <c r="AC59" s="3">
        <v>1</v>
      </c>
      <c r="AD59" s="3">
        <v>1</v>
      </c>
      <c r="AE59" s="3">
        <v>1</v>
      </c>
      <c r="AF59" s="3">
        <v>3</v>
      </c>
      <c r="AG59" s="3">
        <v>3</v>
      </c>
      <c r="AH59" s="3">
        <v>5</v>
      </c>
      <c r="AI59" s="3">
        <v>5</v>
      </c>
    </row>
    <row r="60" spans="1:35" x14ac:dyDescent="0.2">
      <c r="A60" s="1">
        <v>58</v>
      </c>
      <c r="B60" s="1" t="s">
        <v>125</v>
      </c>
      <c r="C60" s="1"/>
      <c r="D60" s="23">
        <v>8.4072999999999993</v>
      </c>
      <c r="E60" s="23">
        <v>55.744999999999997</v>
      </c>
      <c r="F60" s="1"/>
      <c r="G60" s="2">
        <v>5</v>
      </c>
      <c r="H60" s="2">
        <v>5</v>
      </c>
      <c r="I60" s="2">
        <f t="shared" si="0"/>
        <v>0</v>
      </c>
      <c r="J60" s="2">
        <v>0</v>
      </c>
      <c r="K60" s="11">
        <v>500</v>
      </c>
      <c r="L60" s="11">
        <v>500</v>
      </c>
      <c r="M60" s="2">
        <v>1</v>
      </c>
      <c r="N60" s="2">
        <v>0</v>
      </c>
      <c r="O60" s="2">
        <v>0</v>
      </c>
      <c r="P60" s="2">
        <v>1</v>
      </c>
      <c r="Q60" s="2">
        <v>1</v>
      </c>
      <c r="R60" s="2">
        <v>0.1</v>
      </c>
      <c r="S60" s="2">
        <v>0.1</v>
      </c>
      <c r="T60" s="2">
        <v>0.35</v>
      </c>
      <c r="U60" s="2">
        <v>0.35</v>
      </c>
      <c r="V60" s="3">
        <v>5</v>
      </c>
      <c r="W60" s="3">
        <v>5</v>
      </c>
      <c r="X60" s="3">
        <v>0</v>
      </c>
      <c r="Y60" s="3">
        <v>0</v>
      </c>
      <c r="Z60" s="3">
        <v>0</v>
      </c>
      <c r="AA60" s="3">
        <v>1</v>
      </c>
      <c r="AB60" s="3">
        <v>0</v>
      </c>
      <c r="AC60" s="3">
        <v>1</v>
      </c>
      <c r="AD60" s="3">
        <v>1</v>
      </c>
      <c r="AE60" s="3">
        <v>1</v>
      </c>
      <c r="AF60" s="3">
        <v>3</v>
      </c>
      <c r="AG60" s="3">
        <v>3</v>
      </c>
      <c r="AH60" s="3">
        <v>5</v>
      </c>
      <c r="AI60" s="3">
        <v>5</v>
      </c>
    </row>
    <row r="61" spans="1:35" x14ac:dyDescent="0.2">
      <c r="A61" s="1">
        <v>59</v>
      </c>
      <c r="B61" s="1" t="s">
        <v>126</v>
      </c>
      <c r="C61" s="1"/>
      <c r="D61" s="23">
        <v>9.3108000000000004</v>
      </c>
      <c r="E61" s="23">
        <v>55.616999999999997</v>
      </c>
      <c r="F61" s="1"/>
      <c r="G61" s="2">
        <v>5</v>
      </c>
      <c r="H61" s="2">
        <v>5</v>
      </c>
      <c r="I61" s="2">
        <f t="shared" si="0"/>
        <v>0</v>
      </c>
      <c r="J61" s="2">
        <v>0</v>
      </c>
      <c r="K61" s="11">
        <v>500</v>
      </c>
      <c r="L61" s="11">
        <v>500</v>
      </c>
      <c r="M61" s="2">
        <v>1</v>
      </c>
      <c r="N61" s="2">
        <v>0</v>
      </c>
      <c r="O61" s="2">
        <v>0</v>
      </c>
      <c r="P61" s="2">
        <v>1</v>
      </c>
      <c r="Q61" s="2">
        <v>1</v>
      </c>
      <c r="R61" s="2">
        <v>0.1</v>
      </c>
      <c r="S61" s="2">
        <v>0.1</v>
      </c>
      <c r="T61" s="2">
        <v>0.35</v>
      </c>
      <c r="U61" s="2">
        <v>0.35</v>
      </c>
      <c r="V61" s="3">
        <v>5</v>
      </c>
      <c r="W61" s="3">
        <v>5</v>
      </c>
      <c r="X61" s="3">
        <v>0</v>
      </c>
      <c r="Y61" s="3">
        <v>0</v>
      </c>
      <c r="Z61" s="3">
        <v>0</v>
      </c>
      <c r="AA61" s="3">
        <v>1</v>
      </c>
      <c r="AB61" s="3">
        <v>0</v>
      </c>
      <c r="AC61" s="3">
        <v>1</v>
      </c>
      <c r="AD61" s="3">
        <v>1</v>
      </c>
      <c r="AE61" s="3">
        <v>1</v>
      </c>
      <c r="AF61" s="3">
        <v>3</v>
      </c>
      <c r="AG61" s="3">
        <v>3</v>
      </c>
      <c r="AH61" s="3">
        <v>5</v>
      </c>
      <c r="AI61" s="3">
        <v>5</v>
      </c>
    </row>
    <row r="62" spans="1:35" x14ac:dyDescent="0.2">
      <c r="A62" s="1">
        <v>60</v>
      </c>
      <c r="B62" s="1" t="s">
        <v>127</v>
      </c>
      <c r="C62" s="1"/>
      <c r="D62" s="23">
        <v>10.7951</v>
      </c>
      <c r="E62" s="23">
        <v>55.286999999999999</v>
      </c>
      <c r="F62" s="1"/>
      <c r="G62" s="2">
        <v>5</v>
      </c>
      <c r="H62" s="2">
        <v>5</v>
      </c>
      <c r="I62" s="2">
        <f t="shared" si="0"/>
        <v>0</v>
      </c>
      <c r="J62" s="2">
        <v>0</v>
      </c>
      <c r="K62" s="11">
        <v>500</v>
      </c>
      <c r="L62" s="11">
        <v>500</v>
      </c>
      <c r="M62" s="2">
        <v>1</v>
      </c>
      <c r="N62" s="2">
        <v>0</v>
      </c>
      <c r="O62" s="2">
        <v>0</v>
      </c>
      <c r="P62" s="2">
        <v>1</v>
      </c>
      <c r="Q62" s="2">
        <v>1</v>
      </c>
      <c r="R62" s="2">
        <v>0.1</v>
      </c>
      <c r="S62" s="2">
        <v>0.1</v>
      </c>
      <c r="T62" s="2">
        <v>0.35</v>
      </c>
      <c r="U62" s="2">
        <v>0.35</v>
      </c>
      <c r="V62" s="3">
        <v>5</v>
      </c>
      <c r="W62" s="3">
        <v>5</v>
      </c>
      <c r="X62" s="3">
        <v>0</v>
      </c>
      <c r="Y62" s="3">
        <v>0</v>
      </c>
      <c r="Z62" s="3">
        <v>0</v>
      </c>
      <c r="AA62" s="3">
        <v>1</v>
      </c>
      <c r="AB62" s="3">
        <v>0</v>
      </c>
      <c r="AC62" s="3">
        <v>1</v>
      </c>
      <c r="AD62" s="3">
        <v>1</v>
      </c>
      <c r="AE62" s="3">
        <v>1</v>
      </c>
      <c r="AF62" s="3">
        <v>3</v>
      </c>
      <c r="AG62" s="3">
        <v>3</v>
      </c>
      <c r="AH62" s="3">
        <v>5</v>
      </c>
      <c r="AI62" s="3">
        <v>5</v>
      </c>
    </row>
    <row r="63" spans="1:35" x14ac:dyDescent="0.2">
      <c r="A63" s="1">
        <v>61</v>
      </c>
      <c r="B63" s="1" t="s">
        <v>128</v>
      </c>
      <c r="C63" s="1"/>
      <c r="D63" s="23">
        <v>11.2102</v>
      </c>
      <c r="E63" s="23">
        <v>55.389000000000003</v>
      </c>
      <c r="F63" s="1"/>
      <c r="G63" s="2">
        <v>5</v>
      </c>
      <c r="H63" s="2">
        <v>5</v>
      </c>
      <c r="I63" s="2">
        <f t="shared" si="0"/>
        <v>0</v>
      </c>
      <c r="J63" s="2">
        <v>0</v>
      </c>
      <c r="K63" s="11">
        <v>500</v>
      </c>
      <c r="L63" s="11">
        <v>500</v>
      </c>
      <c r="M63" s="2">
        <v>1</v>
      </c>
      <c r="N63" s="2">
        <v>0</v>
      </c>
      <c r="O63" s="2">
        <v>0</v>
      </c>
      <c r="P63" s="2">
        <v>1</v>
      </c>
      <c r="Q63" s="2">
        <v>1</v>
      </c>
      <c r="R63" s="2">
        <v>0.1</v>
      </c>
      <c r="S63" s="2">
        <v>0.1</v>
      </c>
      <c r="T63" s="2">
        <v>0.35</v>
      </c>
      <c r="U63" s="2">
        <v>0.35</v>
      </c>
      <c r="V63" s="3">
        <v>5</v>
      </c>
      <c r="W63" s="3">
        <v>5</v>
      </c>
      <c r="X63" s="3">
        <v>0</v>
      </c>
      <c r="Y63" s="3">
        <v>0</v>
      </c>
      <c r="Z63" s="3">
        <v>0</v>
      </c>
      <c r="AA63" s="3">
        <v>1</v>
      </c>
      <c r="AB63" s="3">
        <v>0</v>
      </c>
      <c r="AC63" s="3">
        <v>1</v>
      </c>
      <c r="AD63" s="3">
        <v>1</v>
      </c>
      <c r="AE63" s="3">
        <v>1</v>
      </c>
      <c r="AF63" s="3">
        <v>3</v>
      </c>
      <c r="AG63" s="3">
        <v>3</v>
      </c>
      <c r="AH63" s="3">
        <v>5</v>
      </c>
      <c r="AI63" s="3">
        <v>5</v>
      </c>
    </row>
    <row r="64" spans="1:35" x14ac:dyDescent="0.2">
      <c r="A64" s="1">
        <v>62</v>
      </c>
      <c r="B64" s="1" t="s">
        <v>129</v>
      </c>
      <c r="C64" s="1"/>
      <c r="D64" s="17">
        <v>7.1892900000000282</v>
      </c>
      <c r="E64" s="17">
        <v>53.346200000000067</v>
      </c>
      <c r="F64" s="1"/>
      <c r="G64" s="2">
        <v>5</v>
      </c>
      <c r="H64" s="2">
        <v>5</v>
      </c>
      <c r="I64" s="2">
        <f t="shared" si="0"/>
        <v>0</v>
      </c>
      <c r="J64" s="2">
        <v>0</v>
      </c>
      <c r="K64" s="11">
        <v>500</v>
      </c>
      <c r="L64" s="11">
        <v>500</v>
      </c>
      <c r="M64" s="2">
        <v>1</v>
      </c>
      <c r="N64" s="2">
        <v>0</v>
      </c>
      <c r="O64" s="2">
        <v>0</v>
      </c>
      <c r="P64" s="2">
        <v>1</v>
      </c>
      <c r="Q64" s="2">
        <v>1</v>
      </c>
      <c r="R64" s="2">
        <v>0.1</v>
      </c>
      <c r="S64" s="2">
        <v>0.1</v>
      </c>
      <c r="T64" s="2">
        <v>0.35</v>
      </c>
      <c r="U64" s="2">
        <v>0.35</v>
      </c>
      <c r="V64" s="3">
        <v>5</v>
      </c>
      <c r="W64" s="3">
        <v>5</v>
      </c>
      <c r="X64" s="3">
        <v>0</v>
      </c>
      <c r="Y64" s="3">
        <v>0</v>
      </c>
      <c r="Z64" s="3">
        <v>0</v>
      </c>
      <c r="AA64" s="3">
        <v>1</v>
      </c>
      <c r="AB64" s="3">
        <v>0</v>
      </c>
      <c r="AC64" s="3">
        <v>1</v>
      </c>
      <c r="AD64" s="3">
        <v>1</v>
      </c>
      <c r="AE64" s="3">
        <v>1</v>
      </c>
      <c r="AF64" s="3">
        <v>3</v>
      </c>
      <c r="AG64" s="3">
        <v>3</v>
      </c>
      <c r="AH64" s="3">
        <v>5</v>
      </c>
      <c r="AI64" s="3">
        <v>5</v>
      </c>
    </row>
    <row r="67" spans="10:10" x14ac:dyDescent="0.2">
      <c r="J67" t="s">
        <v>270</v>
      </c>
    </row>
  </sheetData>
  <mergeCells count="2">
    <mergeCell ref="G1:U1"/>
    <mergeCell ref="V1:AI1"/>
  </mergeCells>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5E03E-FBB7-334A-A23D-60160D8DDD28}">
  <dimension ref="A1:Q29"/>
  <sheetViews>
    <sheetView workbookViewId="0">
      <selection activeCell="Q13" sqref="Q13"/>
    </sheetView>
  </sheetViews>
  <sheetFormatPr baseColWidth="10" defaultRowHeight="16" x14ac:dyDescent="0.2"/>
  <sheetData>
    <row r="1" spans="1:17" x14ac:dyDescent="0.2">
      <c r="A1" s="4" t="s">
        <v>34</v>
      </c>
      <c r="B1" s="33">
        <v>1</v>
      </c>
      <c r="C1" s="33"/>
      <c r="D1" s="33"/>
      <c r="E1" s="33"/>
      <c r="F1" s="33"/>
      <c r="G1" s="33"/>
      <c r="H1" s="33"/>
      <c r="I1" s="33"/>
      <c r="J1" s="33"/>
      <c r="K1" s="33"/>
      <c r="L1" s="33"/>
      <c r="M1" s="33"/>
      <c r="N1" s="33"/>
      <c r="O1" s="33"/>
      <c r="P1" s="33"/>
      <c r="Q1" s="33"/>
    </row>
    <row r="2" spans="1:17" x14ac:dyDescent="0.2">
      <c r="A2" s="4" t="s">
        <v>27</v>
      </c>
      <c r="B2" s="33">
        <v>1</v>
      </c>
      <c r="C2" s="33"/>
      <c r="D2" s="33"/>
      <c r="E2" s="33"/>
      <c r="F2" s="33"/>
      <c r="G2" s="33"/>
      <c r="H2" s="33"/>
      <c r="I2" s="33"/>
      <c r="J2" s="33"/>
      <c r="K2" s="33"/>
      <c r="L2" s="33"/>
      <c r="M2" s="33"/>
      <c r="N2" s="33"/>
      <c r="O2" s="33"/>
      <c r="P2" s="33"/>
      <c r="Q2" s="33"/>
    </row>
    <row r="3" spans="1:17" x14ac:dyDescent="0.2">
      <c r="A3" s="4" t="s">
        <v>35</v>
      </c>
      <c r="B3" s="34"/>
      <c r="C3" s="35"/>
      <c r="D3" s="35"/>
      <c r="E3" s="35"/>
      <c r="F3" s="35"/>
      <c r="G3" s="35"/>
      <c r="H3" s="35"/>
      <c r="I3" s="35"/>
      <c r="J3" s="35"/>
      <c r="K3" s="35"/>
      <c r="L3" s="35"/>
      <c r="M3" s="35"/>
      <c r="N3" s="35"/>
      <c r="O3" s="35"/>
      <c r="P3" s="35"/>
      <c r="Q3" s="36"/>
    </row>
    <row r="4" spans="1:17" x14ac:dyDescent="0.2">
      <c r="A4" s="4"/>
      <c r="B4" s="37" t="s">
        <v>28</v>
      </c>
      <c r="C4" s="37"/>
      <c r="D4" s="37"/>
      <c r="E4" s="37"/>
      <c r="F4" s="37"/>
      <c r="G4" s="37"/>
      <c r="H4" s="37"/>
      <c r="I4" s="37"/>
      <c r="J4" s="38" t="s">
        <v>29</v>
      </c>
      <c r="K4" s="38"/>
      <c r="L4" s="38"/>
      <c r="M4" s="38"/>
      <c r="N4" s="38"/>
      <c r="O4" s="38"/>
      <c r="P4" s="38"/>
      <c r="Q4" s="38"/>
    </row>
    <row r="5" spans="1:17" x14ac:dyDescent="0.2">
      <c r="A5" s="4" t="s">
        <v>18</v>
      </c>
      <c r="B5" s="5" t="str">
        <f>'Demand Stage 2'!B4</f>
        <v>ST.FERGUS</v>
      </c>
      <c r="C5" s="5" t="str">
        <f>'Demand Stage 2'!C4</f>
        <v>EASINGTON</v>
      </c>
      <c r="D5" s="5" t="str">
        <f>'Demand Stage 2'!D4</f>
        <v>TEESSIDE</v>
      </c>
      <c r="E5" s="5" t="str">
        <f>'Demand Stage 2'!E4</f>
        <v>EMDEN</v>
      </c>
      <c r="F5" s="5" t="str">
        <f>'Demand Stage 2'!F4</f>
        <v>EMDEN 2</v>
      </c>
      <c r="G5" s="5" t="str">
        <f>'Demand Stage 2'!G4</f>
        <v>ZEEBRUGGE</v>
      </c>
      <c r="H5" s="5" t="str">
        <f>'Demand Stage 2'!H4</f>
        <v>DUNKERQUE</v>
      </c>
      <c r="I5" s="5" t="str">
        <f>'Demand Stage 2'!I4</f>
        <v>POLAND</v>
      </c>
      <c r="J5" s="6" t="str">
        <f>'Demand Stage 2'!J4</f>
        <v>ST.FERGUS</v>
      </c>
      <c r="K5" s="6" t="str">
        <f>'Demand Stage 2'!K4</f>
        <v>EASINGTON</v>
      </c>
      <c r="L5" s="6" t="str">
        <f>'Demand Stage 2'!L4</f>
        <v>TEESSIDE</v>
      </c>
      <c r="M5" s="6" t="str">
        <f>'Demand Stage 2'!M4</f>
        <v>EMDEN</v>
      </c>
      <c r="N5" s="6" t="str">
        <f>'Demand Stage 2'!N4</f>
        <v>EMDEN 2</v>
      </c>
      <c r="O5" s="6" t="str">
        <f>'Demand Stage 2'!O4</f>
        <v>ZEEBRUGGE</v>
      </c>
      <c r="P5" s="6" t="str">
        <f>'Demand Stage 2'!P4</f>
        <v>DUNKERQUE</v>
      </c>
      <c r="Q5" s="6" t="str">
        <f>'Demand Stage 2'!Q4</f>
        <v>POLAND</v>
      </c>
    </row>
    <row r="6" spans="1:17" x14ac:dyDescent="0.2">
      <c r="A6" s="1">
        <v>0</v>
      </c>
      <c r="B6" s="2">
        <f>'Demand Stage 2'!B43</f>
        <v>10</v>
      </c>
      <c r="C6" s="2">
        <f>'Demand Stage 2'!C43</f>
        <v>10</v>
      </c>
      <c r="D6" s="2">
        <f>'Demand Stage 2'!D43</f>
        <v>10</v>
      </c>
      <c r="E6" s="2">
        <f>'Demand Stage 2'!E43</f>
        <v>40</v>
      </c>
      <c r="F6" s="2">
        <f>'Demand Stage 2'!F43</f>
        <v>40</v>
      </c>
      <c r="G6" s="2">
        <f>'Demand Stage 2'!G43</f>
        <v>40</v>
      </c>
      <c r="H6" s="2">
        <f>'Demand Stage 2'!H43</f>
        <v>40</v>
      </c>
      <c r="I6" s="2">
        <f>'Demand Stage 2'!I43</f>
        <v>20</v>
      </c>
      <c r="J6" s="3">
        <v>0</v>
      </c>
      <c r="K6" s="3">
        <v>0</v>
      </c>
      <c r="L6" s="3">
        <v>0</v>
      </c>
      <c r="M6" s="3">
        <v>0</v>
      </c>
      <c r="N6" s="3">
        <v>0</v>
      </c>
      <c r="O6" s="3">
        <v>0</v>
      </c>
      <c r="P6" s="3">
        <v>0</v>
      </c>
      <c r="Q6" s="3">
        <v>0</v>
      </c>
    </row>
    <row r="7" spans="1:17" x14ac:dyDescent="0.2">
      <c r="A7" s="1">
        <v>1</v>
      </c>
      <c r="B7" s="2">
        <f>'Demand Stage 2'!B44</f>
        <v>10</v>
      </c>
      <c r="C7" s="2">
        <f>'Demand Stage 2'!C44</f>
        <v>10</v>
      </c>
      <c r="D7" s="2">
        <f>'Demand Stage 2'!D44</f>
        <v>10</v>
      </c>
      <c r="E7" s="2">
        <f>'Demand Stage 2'!E44</f>
        <v>45</v>
      </c>
      <c r="F7" s="2">
        <f>'Demand Stage 2'!F44</f>
        <v>45</v>
      </c>
      <c r="G7" s="2">
        <f>'Demand Stage 2'!G44</f>
        <v>40</v>
      </c>
      <c r="H7" s="2">
        <f>'Demand Stage 2'!H44</f>
        <v>45</v>
      </c>
      <c r="I7" s="2">
        <f>'Demand Stage 2'!I44</f>
        <v>20</v>
      </c>
      <c r="J7" s="3">
        <v>0</v>
      </c>
      <c r="K7" s="3">
        <v>0</v>
      </c>
      <c r="L7" s="3">
        <v>0</v>
      </c>
      <c r="M7" s="3">
        <v>0</v>
      </c>
      <c r="N7" s="3">
        <v>0</v>
      </c>
      <c r="O7" s="3">
        <v>0</v>
      </c>
      <c r="P7" s="3">
        <v>0</v>
      </c>
      <c r="Q7" s="3">
        <v>0</v>
      </c>
    </row>
    <row r="8" spans="1:17" x14ac:dyDescent="0.2">
      <c r="A8" s="1">
        <v>2</v>
      </c>
      <c r="B8" s="2">
        <f>'Demand Stage 2'!B45</f>
        <v>10</v>
      </c>
      <c r="C8" s="2">
        <f>'Demand Stage 2'!C45</f>
        <v>10</v>
      </c>
      <c r="D8" s="2">
        <f>'Demand Stage 2'!D45</f>
        <v>10</v>
      </c>
      <c r="E8" s="2">
        <f>'Demand Stage 2'!E45</f>
        <v>40</v>
      </c>
      <c r="F8" s="2">
        <f>'Demand Stage 2'!F45</f>
        <v>40</v>
      </c>
      <c r="G8" s="2">
        <f>'Demand Stage 2'!G45</f>
        <v>40</v>
      </c>
      <c r="H8" s="2">
        <f>'Demand Stage 2'!H45</f>
        <v>35</v>
      </c>
      <c r="I8" s="2">
        <f>'Demand Stage 2'!I45</f>
        <v>20</v>
      </c>
      <c r="J8" s="3">
        <v>0</v>
      </c>
      <c r="K8" s="3">
        <v>0</v>
      </c>
      <c r="L8" s="3">
        <v>0</v>
      </c>
      <c r="M8" s="3">
        <v>0</v>
      </c>
      <c r="N8" s="3">
        <v>0</v>
      </c>
      <c r="O8" s="3">
        <v>0</v>
      </c>
      <c r="P8" s="3">
        <v>0</v>
      </c>
      <c r="Q8" s="3">
        <v>0</v>
      </c>
    </row>
    <row r="9" spans="1:17" x14ac:dyDescent="0.2">
      <c r="A9" s="1">
        <v>3</v>
      </c>
      <c r="B9" s="2">
        <f>'Demand Stage 2'!B46</f>
        <v>10</v>
      </c>
      <c r="C9" s="2">
        <f>'Demand Stage 2'!C46</f>
        <v>10</v>
      </c>
      <c r="D9" s="2">
        <f>'Demand Stage 2'!D46</f>
        <v>10</v>
      </c>
      <c r="E9" s="2">
        <f>'Demand Stage 2'!E46</f>
        <v>45</v>
      </c>
      <c r="F9" s="2">
        <f>'Demand Stage 2'!F46</f>
        <v>45</v>
      </c>
      <c r="G9" s="2">
        <f>'Demand Stage 2'!G46</f>
        <v>40</v>
      </c>
      <c r="H9" s="2">
        <f>'Demand Stage 2'!H46</f>
        <v>40</v>
      </c>
      <c r="I9" s="2">
        <f>'Demand Stage 2'!I46</f>
        <v>20</v>
      </c>
      <c r="J9" s="3">
        <v>0</v>
      </c>
      <c r="K9" s="3">
        <v>0</v>
      </c>
      <c r="L9" s="3">
        <v>0</v>
      </c>
      <c r="M9" s="3">
        <v>0</v>
      </c>
      <c r="N9" s="3">
        <v>0</v>
      </c>
      <c r="O9" s="3">
        <v>0</v>
      </c>
      <c r="P9" s="3">
        <v>0</v>
      </c>
      <c r="Q9" s="3">
        <v>0</v>
      </c>
    </row>
    <row r="10" spans="1:17" x14ac:dyDescent="0.2">
      <c r="A10" s="1">
        <v>4</v>
      </c>
      <c r="B10" s="2"/>
      <c r="C10" s="2"/>
      <c r="D10" s="2"/>
      <c r="E10" s="2"/>
      <c r="F10" s="2"/>
      <c r="G10" s="2"/>
      <c r="H10" s="2"/>
      <c r="I10" s="2"/>
      <c r="J10" s="3"/>
      <c r="K10" s="3"/>
      <c r="L10" s="3"/>
      <c r="M10" s="3"/>
      <c r="N10" s="3"/>
      <c r="O10" s="3"/>
      <c r="P10" s="3"/>
      <c r="Q10" s="3"/>
    </row>
    <row r="11" spans="1:17" x14ac:dyDescent="0.2">
      <c r="A11" s="1">
        <v>5</v>
      </c>
      <c r="B11" s="2"/>
      <c r="C11" s="2"/>
      <c r="D11" s="2"/>
      <c r="E11" s="2"/>
      <c r="F11" s="2"/>
      <c r="G11" s="2"/>
      <c r="H11" s="2"/>
      <c r="I11" s="2"/>
      <c r="J11" s="3"/>
      <c r="K11" s="3"/>
      <c r="L11" s="3"/>
      <c r="M11" s="3"/>
      <c r="N11" s="3"/>
      <c r="O11" s="3"/>
      <c r="P11" s="3"/>
      <c r="Q11" s="3"/>
    </row>
    <row r="12" spans="1:17" x14ac:dyDescent="0.2">
      <c r="A12" s="1">
        <v>6</v>
      </c>
      <c r="B12" s="2"/>
      <c r="C12" s="2"/>
      <c r="D12" s="2"/>
      <c r="E12" s="2"/>
      <c r="F12" s="2"/>
      <c r="G12" s="2"/>
      <c r="H12" s="2"/>
      <c r="I12" s="2"/>
      <c r="J12" s="3"/>
      <c r="K12" s="3"/>
      <c r="L12" s="3"/>
      <c r="M12" s="3"/>
      <c r="N12" s="3"/>
      <c r="O12" s="3"/>
      <c r="P12" s="3"/>
      <c r="Q12" s="3"/>
    </row>
    <row r="13" spans="1:17" x14ac:dyDescent="0.2">
      <c r="A13" s="1">
        <v>7</v>
      </c>
      <c r="B13" s="2"/>
      <c r="C13" s="2"/>
      <c r="D13" s="2"/>
      <c r="E13" s="2"/>
      <c r="F13" s="2"/>
      <c r="G13" s="2"/>
      <c r="H13" s="2"/>
      <c r="I13" s="2"/>
      <c r="J13" s="3"/>
      <c r="K13" s="3"/>
      <c r="L13" s="3"/>
      <c r="M13" s="3"/>
      <c r="N13" s="3"/>
      <c r="O13" s="3"/>
      <c r="P13" s="3"/>
      <c r="Q13" s="3"/>
    </row>
    <row r="14" spans="1:17" x14ac:dyDescent="0.2">
      <c r="A14" s="1">
        <v>8</v>
      </c>
      <c r="B14" s="2"/>
      <c r="C14" s="2"/>
      <c r="D14" s="2"/>
      <c r="E14" s="2"/>
      <c r="F14" s="2"/>
      <c r="G14" s="2"/>
      <c r="H14" s="2"/>
      <c r="I14" s="2"/>
      <c r="J14" s="3"/>
      <c r="K14" s="3"/>
      <c r="L14" s="3"/>
      <c r="M14" s="3"/>
      <c r="N14" s="3"/>
      <c r="O14" s="3"/>
      <c r="P14" s="3"/>
      <c r="Q14" s="3"/>
    </row>
    <row r="15" spans="1:17" x14ac:dyDescent="0.2">
      <c r="A15" s="1">
        <v>9</v>
      </c>
      <c r="B15" s="2"/>
      <c r="C15" s="2"/>
      <c r="D15" s="2"/>
      <c r="E15" s="2"/>
      <c r="F15" s="2"/>
      <c r="G15" s="2"/>
      <c r="H15" s="2"/>
      <c r="I15" s="2"/>
      <c r="J15" s="3"/>
      <c r="K15" s="3"/>
      <c r="L15" s="3"/>
      <c r="M15" s="3"/>
      <c r="N15" s="3"/>
      <c r="O15" s="3"/>
      <c r="P15" s="3"/>
      <c r="Q15" s="3"/>
    </row>
    <row r="16" spans="1:17" x14ac:dyDescent="0.2">
      <c r="A16" s="1">
        <v>10</v>
      </c>
      <c r="B16" s="2"/>
      <c r="C16" s="2"/>
      <c r="D16" s="2"/>
      <c r="E16" s="2"/>
      <c r="F16" s="2"/>
      <c r="G16" s="2"/>
      <c r="H16" s="2"/>
      <c r="I16" s="2"/>
      <c r="J16" s="3"/>
      <c r="K16" s="3"/>
      <c r="L16" s="3"/>
      <c r="M16" s="3"/>
      <c r="N16" s="3"/>
      <c r="O16" s="3"/>
      <c r="P16" s="3"/>
      <c r="Q16" s="3"/>
    </row>
    <row r="17" spans="1:17" x14ac:dyDescent="0.2">
      <c r="A17" s="1">
        <v>11</v>
      </c>
      <c r="B17" s="2"/>
      <c r="C17" s="2"/>
      <c r="D17" s="2"/>
      <c r="E17" s="2"/>
      <c r="F17" s="2"/>
      <c r="G17" s="2"/>
      <c r="H17" s="2"/>
      <c r="I17" s="2"/>
      <c r="J17" s="3"/>
      <c r="K17" s="3"/>
      <c r="L17" s="3"/>
      <c r="M17" s="3"/>
      <c r="N17" s="3"/>
      <c r="O17" s="3"/>
      <c r="P17" s="3"/>
      <c r="Q17" s="3"/>
    </row>
    <row r="18" spans="1:17" x14ac:dyDescent="0.2">
      <c r="A18" s="1">
        <v>12</v>
      </c>
      <c r="B18" s="2"/>
      <c r="C18" s="2"/>
      <c r="D18" s="2"/>
      <c r="E18" s="2"/>
      <c r="F18" s="2"/>
      <c r="G18" s="2"/>
      <c r="H18" s="2"/>
      <c r="I18" s="2"/>
      <c r="J18" s="3"/>
      <c r="K18" s="3"/>
      <c r="L18" s="3"/>
      <c r="M18" s="3"/>
      <c r="N18" s="3"/>
      <c r="O18" s="3"/>
      <c r="P18" s="3"/>
      <c r="Q18" s="3"/>
    </row>
    <row r="19" spans="1:17" x14ac:dyDescent="0.2">
      <c r="A19" s="1">
        <v>13</v>
      </c>
      <c r="B19" s="2"/>
      <c r="C19" s="2"/>
      <c r="D19" s="2"/>
      <c r="E19" s="2"/>
      <c r="F19" s="2"/>
      <c r="G19" s="2"/>
      <c r="H19" s="2"/>
      <c r="I19" s="2"/>
      <c r="J19" s="3"/>
      <c r="K19" s="3"/>
      <c r="L19" s="3"/>
      <c r="M19" s="3"/>
      <c r="N19" s="3"/>
      <c r="O19" s="3"/>
      <c r="P19" s="3"/>
      <c r="Q19" s="3"/>
    </row>
    <row r="20" spans="1:17" x14ac:dyDescent="0.2">
      <c r="A20" s="1">
        <v>14</v>
      </c>
      <c r="B20" s="2"/>
      <c r="C20" s="2"/>
      <c r="D20" s="2"/>
      <c r="E20" s="2"/>
      <c r="F20" s="2"/>
      <c r="G20" s="2"/>
      <c r="H20" s="2"/>
      <c r="I20" s="2"/>
      <c r="J20" s="3"/>
      <c r="K20" s="3"/>
      <c r="L20" s="3"/>
      <c r="M20" s="3"/>
      <c r="N20" s="3"/>
      <c r="O20" s="3"/>
      <c r="P20" s="3"/>
      <c r="Q20" s="3"/>
    </row>
    <row r="21" spans="1:17" x14ac:dyDescent="0.2">
      <c r="A21" s="1">
        <v>15</v>
      </c>
      <c r="B21" s="2"/>
      <c r="C21" s="2"/>
      <c r="D21" s="2"/>
      <c r="E21" s="2"/>
      <c r="F21" s="2"/>
      <c r="G21" s="2"/>
      <c r="H21" s="2"/>
      <c r="I21" s="2"/>
      <c r="J21" s="3"/>
      <c r="K21" s="3"/>
      <c r="L21" s="3"/>
      <c r="M21" s="3"/>
      <c r="N21" s="3"/>
      <c r="O21" s="3"/>
      <c r="P21" s="3"/>
      <c r="Q21" s="3"/>
    </row>
    <row r="22" spans="1:17" x14ac:dyDescent="0.2">
      <c r="A22" s="1">
        <v>16</v>
      </c>
      <c r="B22" s="2"/>
      <c r="C22" s="2"/>
      <c r="D22" s="2"/>
      <c r="E22" s="2"/>
      <c r="F22" s="2"/>
      <c r="G22" s="2"/>
      <c r="H22" s="2"/>
      <c r="I22" s="2"/>
      <c r="J22" s="3"/>
      <c r="K22" s="3"/>
      <c r="L22" s="3"/>
      <c r="M22" s="3"/>
      <c r="N22" s="3"/>
      <c r="O22" s="3"/>
      <c r="P22" s="3"/>
      <c r="Q22" s="3"/>
    </row>
    <row r="23" spans="1:17" x14ac:dyDescent="0.2">
      <c r="A23" s="1">
        <v>17</v>
      </c>
      <c r="B23" s="2"/>
      <c r="C23" s="2"/>
      <c r="D23" s="2"/>
      <c r="E23" s="2"/>
      <c r="F23" s="2"/>
      <c r="G23" s="2"/>
      <c r="H23" s="2"/>
      <c r="I23" s="2"/>
      <c r="J23" s="3"/>
      <c r="K23" s="3"/>
      <c r="L23" s="3"/>
      <c r="M23" s="3"/>
      <c r="N23" s="3"/>
      <c r="O23" s="3"/>
      <c r="P23" s="3"/>
      <c r="Q23" s="3"/>
    </row>
    <row r="24" spans="1:17" x14ac:dyDescent="0.2">
      <c r="A24" s="1">
        <v>18</v>
      </c>
      <c r="B24" s="2"/>
      <c r="C24" s="2"/>
      <c r="D24" s="2"/>
      <c r="E24" s="2"/>
      <c r="F24" s="2"/>
      <c r="G24" s="2"/>
      <c r="H24" s="2"/>
      <c r="I24" s="2"/>
      <c r="J24" s="3"/>
      <c r="K24" s="3"/>
      <c r="L24" s="3"/>
      <c r="M24" s="3"/>
      <c r="N24" s="3"/>
      <c r="O24" s="3"/>
      <c r="P24" s="3"/>
      <c r="Q24" s="3"/>
    </row>
    <row r="25" spans="1:17" x14ac:dyDescent="0.2">
      <c r="A25" s="1">
        <v>19</v>
      </c>
      <c r="B25" s="2"/>
      <c r="C25" s="2"/>
      <c r="D25" s="2"/>
      <c r="E25" s="2"/>
      <c r="F25" s="2"/>
      <c r="G25" s="2"/>
      <c r="H25" s="2"/>
      <c r="I25" s="2"/>
      <c r="J25" s="3"/>
      <c r="K25" s="3"/>
      <c r="L25" s="3"/>
      <c r="M25" s="3"/>
      <c r="N25" s="3"/>
      <c r="O25" s="3"/>
      <c r="P25" s="3"/>
      <c r="Q25" s="3"/>
    </row>
    <row r="26" spans="1:17" x14ac:dyDescent="0.2">
      <c r="A26" s="1">
        <v>20</v>
      </c>
      <c r="B26" s="2"/>
      <c r="C26" s="2"/>
      <c r="D26" s="2"/>
      <c r="E26" s="2"/>
      <c r="F26" s="2"/>
      <c r="G26" s="2"/>
      <c r="H26" s="2"/>
      <c r="I26" s="2"/>
      <c r="J26" s="3"/>
      <c r="K26" s="3"/>
      <c r="L26" s="3"/>
      <c r="M26" s="3"/>
      <c r="N26" s="3"/>
      <c r="O26" s="3"/>
      <c r="P26" s="3"/>
      <c r="Q26" s="3"/>
    </row>
    <row r="27" spans="1:17" x14ac:dyDescent="0.2">
      <c r="A27" s="1">
        <v>21</v>
      </c>
      <c r="B27" s="2"/>
      <c r="C27" s="2"/>
      <c r="D27" s="2"/>
      <c r="E27" s="2"/>
      <c r="F27" s="2"/>
      <c r="G27" s="2"/>
      <c r="H27" s="2"/>
      <c r="I27" s="2"/>
      <c r="J27" s="3"/>
      <c r="K27" s="3"/>
      <c r="L27" s="3"/>
      <c r="M27" s="3"/>
      <c r="N27" s="3"/>
      <c r="O27" s="3"/>
      <c r="P27" s="3"/>
      <c r="Q27" s="3"/>
    </row>
    <row r="28" spans="1:17" x14ac:dyDescent="0.2">
      <c r="A28" s="1">
        <v>22</v>
      </c>
      <c r="B28" s="2"/>
      <c r="C28" s="2"/>
      <c r="D28" s="2"/>
      <c r="E28" s="2"/>
      <c r="F28" s="2"/>
      <c r="G28" s="2"/>
      <c r="H28" s="2"/>
      <c r="I28" s="2"/>
      <c r="J28" s="3"/>
      <c r="K28" s="3"/>
      <c r="L28" s="3"/>
      <c r="M28" s="3"/>
      <c r="N28" s="3"/>
      <c r="O28" s="3"/>
      <c r="P28" s="3"/>
      <c r="Q28" s="3"/>
    </row>
    <row r="29" spans="1:17" x14ac:dyDescent="0.2">
      <c r="A29" s="1">
        <v>23</v>
      </c>
      <c r="B29" s="2"/>
      <c r="C29" s="2"/>
      <c r="D29" s="2"/>
      <c r="E29" s="2"/>
      <c r="F29" s="2"/>
      <c r="G29" s="2"/>
      <c r="H29" s="2"/>
      <c r="I29" s="2"/>
      <c r="J29" s="3"/>
      <c r="K29" s="3"/>
      <c r="L29" s="3"/>
      <c r="M29" s="3"/>
      <c r="N29" s="3"/>
      <c r="O29" s="3"/>
      <c r="P29" s="3"/>
      <c r="Q29" s="3"/>
    </row>
  </sheetData>
  <mergeCells count="5">
    <mergeCell ref="B1:Q1"/>
    <mergeCell ref="B2:Q2"/>
    <mergeCell ref="B3:Q3"/>
    <mergeCell ref="B4:I4"/>
    <mergeCell ref="J4:Q4"/>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292E87-5CF7-794D-A1AA-7C1926221C7B}">
  <dimension ref="A1:BM54"/>
  <sheetViews>
    <sheetView zoomScale="125" zoomScaleNormal="200" workbookViewId="0">
      <selection activeCell="B4" sqref="B4:I4"/>
    </sheetView>
  </sheetViews>
  <sheetFormatPr baseColWidth="10" defaultRowHeight="16" x14ac:dyDescent="0.2"/>
  <cols>
    <col min="1" max="1" width="15.33203125" bestFit="1" customWidth="1"/>
    <col min="2" max="2" width="10.5" bestFit="1" customWidth="1"/>
    <col min="3" max="3" width="11.1640625" bestFit="1" customWidth="1"/>
    <col min="4" max="4" width="9" bestFit="1" customWidth="1"/>
    <col min="5" max="5" width="7.5" bestFit="1" customWidth="1"/>
    <col min="6" max="6" width="9" bestFit="1" customWidth="1"/>
    <col min="7" max="7" width="11.5" bestFit="1" customWidth="1"/>
    <col min="8" max="8" width="12.1640625" bestFit="1" customWidth="1"/>
    <col min="9" max="9" width="8.1640625" bestFit="1" customWidth="1"/>
    <col min="10" max="10" width="10.5" bestFit="1" customWidth="1"/>
    <col min="11" max="11" width="11.1640625" bestFit="1" customWidth="1"/>
    <col min="12" max="12" width="9" bestFit="1" customWidth="1"/>
    <col min="13" max="13" width="7.5" bestFit="1" customWidth="1"/>
    <col min="14" max="14" width="9" bestFit="1" customWidth="1"/>
    <col min="15" max="15" width="11.5" bestFit="1" customWidth="1"/>
    <col min="16" max="16" width="12.1640625" bestFit="1" customWidth="1"/>
    <col min="17" max="17" width="8.1640625" bestFit="1" customWidth="1"/>
  </cols>
  <sheetData>
    <row r="1" spans="1:65" x14ac:dyDescent="0.2">
      <c r="A1" s="4" t="s">
        <v>34</v>
      </c>
      <c r="B1" s="33">
        <v>2</v>
      </c>
      <c r="C1" s="33"/>
      <c r="D1" s="33"/>
      <c r="E1" s="33"/>
      <c r="F1" s="33"/>
      <c r="G1" s="33"/>
      <c r="H1" s="33"/>
      <c r="I1" s="33"/>
      <c r="J1" s="33"/>
      <c r="K1" s="33"/>
      <c r="L1" s="33"/>
      <c r="M1" s="33"/>
      <c r="N1" s="33"/>
      <c r="O1" s="33"/>
      <c r="P1" s="33"/>
      <c r="Q1" s="33"/>
      <c r="R1" s="33">
        <f>B1+Parameters!$B$5</f>
        <v>6</v>
      </c>
      <c r="S1" s="33"/>
      <c r="T1" s="33"/>
      <c r="U1" s="33"/>
      <c r="V1" s="33"/>
      <c r="W1" s="33"/>
      <c r="X1" s="33"/>
      <c r="Y1" s="33"/>
      <c r="Z1" s="33"/>
      <c r="AA1" s="33"/>
      <c r="AB1" s="33"/>
      <c r="AC1" s="33"/>
      <c r="AD1" s="33"/>
      <c r="AE1" s="33"/>
      <c r="AF1" s="33"/>
      <c r="AG1" s="33"/>
      <c r="AH1" s="33">
        <f>R1+Parameters!$B$5</f>
        <v>10</v>
      </c>
      <c r="AI1" s="33"/>
      <c r="AJ1" s="33"/>
      <c r="AK1" s="33"/>
      <c r="AL1" s="33"/>
      <c r="AM1" s="33"/>
      <c r="AN1" s="33"/>
      <c r="AO1" s="33"/>
      <c r="AP1" s="33"/>
      <c r="AQ1" s="33"/>
      <c r="AR1" s="33"/>
      <c r="AS1" s="33"/>
      <c r="AT1" s="33"/>
      <c r="AU1" s="33"/>
      <c r="AV1" s="33"/>
      <c r="AW1" s="33"/>
      <c r="AX1" s="33">
        <f>AH1+Parameters!$B$5</f>
        <v>14</v>
      </c>
      <c r="AY1" s="33"/>
      <c r="AZ1" s="33"/>
      <c r="BA1" s="33"/>
      <c r="BB1" s="33"/>
      <c r="BC1" s="33"/>
      <c r="BD1" s="33"/>
      <c r="BE1" s="33"/>
      <c r="BF1" s="33"/>
      <c r="BG1" s="33"/>
      <c r="BH1" s="33"/>
      <c r="BI1" s="33"/>
      <c r="BJ1" s="33"/>
      <c r="BK1" s="33"/>
      <c r="BL1" s="33"/>
      <c r="BM1" s="33"/>
    </row>
    <row r="2" spans="1:65" x14ac:dyDescent="0.2">
      <c r="A2" s="4" t="s">
        <v>27</v>
      </c>
      <c r="B2" s="33">
        <v>0.25</v>
      </c>
      <c r="C2" s="33"/>
      <c r="D2" s="33"/>
      <c r="E2" s="33"/>
      <c r="F2" s="33"/>
      <c r="G2" s="33"/>
      <c r="H2" s="33"/>
      <c r="I2" s="33"/>
      <c r="J2" s="33"/>
      <c r="K2" s="33"/>
      <c r="L2" s="33"/>
      <c r="M2" s="33"/>
      <c r="N2" s="33"/>
      <c r="O2" s="33"/>
      <c r="P2" s="33"/>
      <c r="Q2" s="33"/>
      <c r="R2" s="33">
        <f>B2</f>
        <v>0.25</v>
      </c>
      <c r="S2" s="33"/>
      <c r="T2" s="33"/>
      <c r="U2" s="33"/>
      <c r="V2" s="33"/>
      <c r="W2" s="33"/>
      <c r="X2" s="33"/>
      <c r="Y2" s="33"/>
      <c r="Z2" s="33"/>
      <c r="AA2" s="33"/>
      <c r="AB2" s="33"/>
      <c r="AC2" s="33"/>
      <c r="AD2" s="33"/>
      <c r="AE2" s="33"/>
      <c r="AF2" s="33"/>
      <c r="AG2" s="33"/>
      <c r="AH2" s="33">
        <f>B2</f>
        <v>0.25</v>
      </c>
      <c r="AI2" s="33"/>
      <c r="AJ2" s="33"/>
      <c r="AK2" s="33"/>
      <c r="AL2" s="33"/>
      <c r="AM2" s="33"/>
      <c r="AN2" s="33"/>
      <c r="AO2" s="33"/>
      <c r="AP2" s="33"/>
      <c r="AQ2" s="33"/>
      <c r="AR2" s="33"/>
      <c r="AS2" s="33"/>
      <c r="AT2" s="33"/>
      <c r="AU2" s="33"/>
      <c r="AV2" s="33"/>
      <c r="AW2" s="33"/>
      <c r="AX2" s="33">
        <f>B2</f>
        <v>0.25</v>
      </c>
      <c r="AY2" s="33"/>
      <c r="AZ2" s="33"/>
      <c r="BA2" s="33"/>
      <c r="BB2" s="33"/>
      <c r="BC2" s="33"/>
      <c r="BD2" s="33"/>
      <c r="BE2" s="33"/>
      <c r="BF2" s="33"/>
      <c r="BG2" s="33"/>
      <c r="BH2" s="33"/>
      <c r="BI2" s="33"/>
      <c r="BJ2" s="33"/>
      <c r="BK2" s="33"/>
      <c r="BL2" s="33"/>
      <c r="BM2" s="33"/>
    </row>
    <row r="3" spans="1:65" x14ac:dyDescent="0.2">
      <c r="A3" s="4"/>
      <c r="B3" s="37" t="s">
        <v>28</v>
      </c>
      <c r="C3" s="37"/>
      <c r="D3" s="37"/>
      <c r="E3" s="37"/>
      <c r="F3" s="37"/>
      <c r="G3" s="37"/>
      <c r="H3" s="37"/>
      <c r="I3" s="37"/>
      <c r="J3" s="38" t="s">
        <v>29</v>
      </c>
      <c r="K3" s="38"/>
      <c r="L3" s="38"/>
      <c r="M3" s="38"/>
      <c r="N3" s="38"/>
      <c r="O3" s="38"/>
      <c r="P3" s="38"/>
      <c r="Q3" s="38"/>
      <c r="R3" s="37" t="s">
        <v>28</v>
      </c>
      <c r="S3" s="37"/>
      <c r="T3" s="37"/>
      <c r="U3" s="37"/>
      <c r="V3" s="37"/>
      <c r="W3" s="37"/>
      <c r="X3" s="37"/>
      <c r="Y3" s="37"/>
      <c r="Z3" s="38" t="s">
        <v>29</v>
      </c>
      <c r="AA3" s="38"/>
      <c r="AB3" s="38"/>
      <c r="AC3" s="38"/>
      <c r="AD3" s="38"/>
      <c r="AE3" s="38"/>
      <c r="AF3" s="38"/>
      <c r="AG3" s="38"/>
      <c r="AH3" s="37" t="s">
        <v>28</v>
      </c>
      <c r="AI3" s="37"/>
      <c r="AJ3" s="37"/>
      <c r="AK3" s="37"/>
      <c r="AL3" s="37"/>
      <c r="AM3" s="37"/>
      <c r="AN3" s="37"/>
      <c r="AO3" s="37"/>
      <c r="AP3" s="38" t="s">
        <v>29</v>
      </c>
      <c r="AQ3" s="38"/>
      <c r="AR3" s="38"/>
      <c r="AS3" s="38"/>
      <c r="AT3" s="38"/>
      <c r="AU3" s="38"/>
      <c r="AV3" s="38"/>
      <c r="AW3" s="38"/>
      <c r="AX3" s="37" t="s">
        <v>28</v>
      </c>
      <c r="AY3" s="37"/>
      <c r="AZ3" s="37"/>
      <c r="BA3" s="37"/>
      <c r="BB3" s="37"/>
      <c r="BC3" s="37"/>
      <c r="BD3" s="37"/>
      <c r="BE3" s="37"/>
      <c r="BF3" s="38" t="s">
        <v>29</v>
      </c>
      <c r="BG3" s="38"/>
      <c r="BH3" s="38"/>
      <c r="BI3" s="38"/>
      <c r="BJ3" s="38"/>
      <c r="BK3" s="38"/>
      <c r="BL3" s="38"/>
      <c r="BM3" s="38"/>
    </row>
    <row r="4" spans="1:65" x14ac:dyDescent="0.2">
      <c r="A4" s="4" t="s">
        <v>18</v>
      </c>
      <c r="B4" s="5" t="s">
        <v>111</v>
      </c>
      <c r="C4" s="5" t="s">
        <v>121</v>
      </c>
      <c r="D4" s="5" t="s">
        <v>117</v>
      </c>
      <c r="E4" s="5" t="s">
        <v>122</v>
      </c>
      <c r="F4" s="5" t="s">
        <v>129</v>
      </c>
      <c r="G4" s="5" t="s">
        <v>123</v>
      </c>
      <c r="H4" s="5" t="s">
        <v>124</v>
      </c>
      <c r="I4" s="5" t="s">
        <v>119</v>
      </c>
      <c r="J4" s="6" t="str">
        <f>B4</f>
        <v>ST.FERGUS</v>
      </c>
      <c r="K4" s="6" t="str">
        <f t="shared" ref="K4:Q4" si="0">C4</f>
        <v>EASINGTON</v>
      </c>
      <c r="L4" s="6" t="str">
        <f t="shared" si="0"/>
        <v>TEESSIDE</v>
      </c>
      <c r="M4" s="6" t="str">
        <f t="shared" si="0"/>
        <v>EMDEN</v>
      </c>
      <c r="N4" s="6" t="str">
        <f t="shared" si="0"/>
        <v>EMDEN 2</v>
      </c>
      <c r="O4" s="6" t="str">
        <f t="shared" si="0"/>
        <v>ZEEBRUGGE</v>
      </c>
      <c r="P4" s="6" t="str">
        <f t="shared" si="0"/>
        <v>DUNKERQUE</v>
      </c>
      <c r="Q4" s="6" t="str">
        <f t="shared" si="0"/>
        <v>POLAND</v>
      </c>
      <c r="R4" s="5" t="str">
        <f>B4</f>
        <v>ST.FERGUS</v>
      </c>
      <c r="S4" s="5" t="str">
        <f t="shared" ref="S4:Y4" si="1">C4</f>
        <v>EASINGTON</v>
      </c>
      <c r="T4" s="5" t="str">
        <f t="shared" si="1"/>
        <v>TEESSIDE</v>
      </c>
      <c r="U4" s="5" t="str">
        <f t="shared" si="1"/>
        <v>EMDEN</v>
      </c>
      <c r="V4" s="5" t="str">
        <f t="shared" si="1"/>
        <v>EMDEN 2</v>
      </c>
      <c r="W4" s="5" t="str">
        <f t="shared" si="1"/>
        <v>ZEEBRUGGE</v>
      </c>
      <c r="X4" s="5" t="str">
        <f t="shared" si="1"/>
        <v>DUNKERQUE</v>
      </c>
      <c r="Y4" s="5" t="str">
        <f t="shared" si="1"/>
        <v>POLAND</v>
      </c>
      <c r="Z4" s="6" t="str">
        <f>J4</f>
        <v>ST.FERGUS</v>
      </c>
      <c r="AA4" s="6" t="str">
        <f t="shared" ref="AA4:AG4" si="2">K4</f>
        <v>EASINGTON</v>
      </c>
      <c r="AB4" s="6" t="str">
        <f t="shared" si="2"/>
        <v>TEESSIDE</v>
      </c>
      <c r="AC4" s="6" t="str">
        <f t="shared" si="2"/>
        <v>EMDEN</v>
      </c>
      <c r="AD4" s="6" t="str">
        <f t="shared" si="2"/>
        <v>EMDEN 2</v>
      </c>
      <c r="AE4" s="6" t="str">
        <f t="shared" si="2"/>
        <v>ZEEBRUGGE</v>
      </c>
      <c r="AF4" s="6" t="str">
        <f t="shared" si="2"/>
        <v>DUNKERQUE</v>
      </c>
      <c r="AG4" s="6" t="str">
        <f t="shared" si="2"/>
        <v>POLAND</v>
      </c>
      <c r="AH4" s="5" t="str">
        <f>R4</f>
        <v>ST.FERGUS</v>
      </c>
      <c r="AI4" s="5" t="str">
        <f t="shared" ref="AI4:AO4" si="3">S4</f>
        <v>EASINGTON</v>
      </c>
      <c r="AJ4" s="5" t="str">
        <f t="shared" si="3"/>
        <v>TEESSIDE</v>
      </c>
      <c r="AK4" s="5" t="str">
        <f t="shared" si="3"/>
        <v>EMDEN</v>
      </c>
      <c r="AL4" s="5" t="str">
        <f t="shared" si="3"/>
        <v>EMDEN 2</v>
      </c>
      <c r="AM4" s="5" t="str">
        <f t="shared" si="3"/>
        <v>ZEEBRUGGE</v>
      </c>
      <c r="AN4" s="5" t="str">
        <f t="shared" si="3"/>
        <v>DUNKERQUE</v>
      </c>
      <c r="AO4" s="5" t="str">
        <f t="shared" si="3"/>
        <v>POLAND</v>
      </c>
      <c r="AP4" s="6" t="str">
        <f>Z4</f>
        <v>ST.FERGUS</v>
      </c>
      <c r="AQ4" s="6" t="str">
        <f t="shared" ref="AQ4:AW4" si="4">AA4</f>
        <v>EASINGTON</v>
      </c>
      <c r="AR4" s="6" t="str">
        <f t="shared" si="4"/>
        <v>TEESSIDE</v>
      </c>
      <c r="AS4" s="6" t="str">
        <f t="shared" si="4"/>
        <v>EMDEN</v>
      </c>
      <c r="AT4" s="6" t="str">
        <f t="shared" si="4"/>
        <v>EMDEN 2</v>
      </c>
      <c r="AU4" s="6" t="str">
        <f t="shared" si="4"/>
        <v>ZEEBRUGGE</v>
      </c>
      <c r="AV4" s="6" t="str">
        <f t="shared" si="4"/>
        <v>DUNKERQUE</v>
      </c>
      <c r="AW4" s="6" t="str">
        <f t="shared" si="4"/>
        <v>POLAND</v>
      </c>
      <c r="AX4" s="5" t="str">
        <f>AH4</f>
        <v>ST.FERGUS</v>
      </c>
      <c r="AY4" s="5" t="str">
        <f t="shared" ref="AY4:BE4" si="5">AI4</f>
        <v>EASINGTON</v>
      </c>
      <c r="AZ4" s="5" t="str">
        <f t="shared" si="5"/>
        <v>TEESSIDE</v>
      </c>
      <c r="BA4" s="5" t="str">
        <f t="shared" si="5"/>
        <v>EMDEN</v>
      </c>
      <c r="BB4" s="5" t="str">
        <f t="shared" si="5"/>
        <v>EMDEN 2</v>
      </c>
      <c r="BC4" s="5" t="str">
        <f t="shared" si="5"/>
        <v>ZEEBRUGGE</v>
      </c>
      <c r="BD4" s="5" t="str">
        <f t="shared" si="5"/>
        <v>DUNKERQUE</v>
      </c>
      <c r="BE4" s="5" t="str">
        <f t="shared" si="5"/>
        <v>POLAND</v>
      </c>
      <c r="BF4" s="6" t="str">
        <f>AQ4</f>
        <v>EASINGTON</v>
      </c>
      <c r="BG4" s="6" t="str">
        <f t="shared" ref="BG4:BM4" si="6">AR4</f>
        <v>TEESSIDE</v>
      </c>
      <c r="BH4" s="6" t="str">
        <f t="shared" si="6"/>
        <v>EMDEN</v>
      </c>
      <c r="BI4" s="6" t="str">
        <f t="shared" si="6"/>
        <v>EMDEN 2</v>
      </c>
      <c r="BJ4" s="6" t="str">
        <f t="shared" si="6"/>
        <v>ZEEBRUGGE</v>
      </c>
      <c r="BK4" s="6" t="str">
        <f t="shared" si="6"/>
        <v>DUNKERQUE</v>
      </c>
      <c r="BL4" s="6" t="str">
        <f t="shared" si="6"/>
        <v>POLAND</v>
      </c>
      <c r="BM4" s="6" t="str">
        <f t="shared" si="6"/>
        <v>ST.FERGUS</v>
      </c>
    </row>
    <row r="5" spans="1:65" x14ac:dyDescent="0.2">
      <c r="A5" s="1">
        <v>0</v>
      </c>
      <c r="B5" s="2">
        <f>B31+B43</f>
        <v>10</v>
      </c>
      <c r="C5" s="2">
        <f t="shared" ref="C5:I5" si="7">C31+C43</f>
        <v>10</v>
      </c>
      <c r="D5" s="2">
        <f t="shared" si="7"/>
        <v>10</v>
      </c>
      <c r="E5" s="2">
        <f t="shared" si="7"/>
        <v>40</v>
      </c>
      <c r="F5" s="2">
        <f t="shared" si="7"/>
        <v>40</v>
      </c>
      <c r="G5" s="2">
        <f t="shared" si="7"/>
        <v>40</v>
      </c>
      <c r="H5" s="2">
        <f t="shared" si="7"/>
        <v>40</v>
      </c>
      <c r="I5" s="2">
        <f t="shared" si="7"/>
        <v>20</v>
      </c>
      <c r="J5" s="3">
        <v>0</v>
      </c>
      <c r="K5" s="3">
        <v>0</v>
      </c>
      <c r="L5" s="3">
        <v>0</v>
      </c>
      <c r="M5" s="3">
        <v>0</v>
      </c>
      <c r="N5" s="3">
        <v>0</v>
      </c>
      <c r="O5" s="3">
        <v>0</v>
      </c>
      <c r="P5" s="3">
        <v>0</v>
      </c>
      <c r="Q5" s="3">
        <v>0</v>
      </c>
      <c r="R5" s="2">
        <f>R31+B43</f>
        <v>10</v>
      </c>
      <c r="S5" s="2">
        <f t="shared" ref="S5:Y8" si="8">S31+C43</f>
        <v>10</v>
      </c>
      <c r="T5" s="2">
        <f t="shared" si="8"/>
        <v>10</v>
      </c>
      <c r="U5" s="2">
        <f t="shared" si="8"/>
        <v>40</v>
      </c>
      <c r="V5" s="2">
        <f t="shared" si="8"/>
        <v>40</v>
      </c>
      <c r="W5" s="2">
        <f t="shared" si="8"/>
        <v>40</v>
      </c>
      <c r="X5" s="2">
        <f t="shared" si="8"/>
        <v>40</v>
      </c>
      <c r="Y5" s="2">
        <f t="shared" si="8"/>
        <v>20</v>
      </c>
      <c r="Z5" s="3">
        <v>0</v>
      </c>
      <c r="AA5" s="3">
        <v>0</v>
      </c>
      <c r="AB5" s="3">
        <v>0</v>
      </c>
      <c r="AC5" s="3">
        <v>0</v>
      </c>
      <c r="AD5" s="3">
        <v>0</v>
      </c>
      <c r="AE5" s="3">
        <v>0</v>
      </c>
      <c r="AF5" s="3">
        <v>0</v>
      </c>
      <c r="AG5" s="3">
        <v>0</v>
      </c>
      <c r="AH5" s="2">
        <f>AH31+B43</f>
        <v>10</v>
      </c>
      <c r="AI5" s="2">
        <f t="shared" ref="AI5:AO8" si="9">AI31+C43</f>
        <v>10</v>
      </c>
      <c r="AJ5" s="2">
        <f t="shared" si="9"/>
        <v>10</v>
      </c>
      <c r="AK5" s="2">
        <f t="shared" si="9"/>
        <v>40</v>
      </c>
      <c r="AL5" s="2">
        <f t="shared" si="9"/>
        <v>40</v>
      </c>
      <c r="AM5" s="2">
        <f t="shared" si="9"/>
        <v>40</v>
      </c>
      <c r="AN5" s="2">
        <f t="shared" si="9"/>
        <v>40</v>
      </c>
      <c r="AO5" s="2">
        <f t="shared" si="9"/>
        <v>20</v>
      </c>
      <c r="AP5" s="3">
        <v>0</v>
      </c>
      <c r="AQ5" s="3">
        <v>0</v>
      </c>
      <c r="AR5" s="3">
        <v>0</v>
      </c>
      <c r="AS5" s="3">
        <v>0</v>
      </c>
      <c r="AT5" s="3">
        <v>0</v>
      </c>
      <c r="AU5" s="3">
        <v>0</v>
      </c>
      <c r="AV5" s="3">
        <v>0</v>
      </c>
      <c r="AW5" s="3">
        <v>0</v>
      </c>
      <c r="AX5" s="2">
        <f>AX31+B43</f>
        <v>10</v>
      </c>
      <c r="AY5" s="2">
        <f t="shared" ref="AY5:BE8" si="10">AY31+C43</f>
        <v>10</v>
      </c>
      <c r="AZ5" s="2">
        <f t="shared" si="10"/>
        <v>10</v>
      </c>
      <c r="BA5" s="2">
        <f t="shared" si="10"/>
        <v>40</v>
      </c>
      <c r="BB5" s="2">
        <f t="shared" si="10"/>
        <v>40</v>
      </c>
      <c r="BC5" s="2">
        <f t="shared" si="10"/>
        <v>40</v>
      </c>
      <c r="BD5" s="2">
        <f t="shared" si="10"/>
        <v>40</v>
      </c>
      <c r="BE5" s="2">
        <f t="shared" si="10"/>
        <v>20</v>
      </c>
      <c r="BF5" s="3">
        <v>0</v>
      </c>
      <c r="BG5" s="3">
        <v>0</v>
      </c>
      <c r="BH5" s="3">
        <v>0</v>
      </c>
      <c r="BI5" s="3">
        <v>0</v>
      </c>
      <c r="BJ5" s="3">
        <v>0</v>
      </c>
      <c r="BK5" s="3">
        <v>0</v>
      </c>
      <c r="BL5" s="3">
        <v>0</v>
      </c>
      <c r="BM5" s="3">
        <v>0</v>
      </c>
    </row>
    <row r="6" spans="1:65" x14ac:dyDescent="0.2">
      <c r="A6" s="1">
        <v>1</v>
      </c>
      <c r="B6" s="2">
        <f t="shared" ref="B6:I8" si="11">B32+B44</f>
        <v>10</v>
      </c>
      <c r="C6" s="2">
        <f t="shared" si="11"/>
        <v>10</v>
      </c>
      <c r="D6" s="2">
        <f t="shared" si="11"/>
        <v>10</v>
      </c>
      <c r="E6" s="2">
        <f t="shared" si="11"/>
        <v>50</v>
      </c>
      <c r="F6" s="2">
        <f t="shared" si="11"/>
        <v>50</v>
      </c>
      <c r="G6" s="2">
        <f t="shared" si="11"/>
        <v>40</v>
      </c>
      <c r="H6" s="2">
        <f t="shared" si="11"/>
        <v>50</v>
      </c>
      <c r="I6" s="2">
        <f t="shared" si="11"/>
        <v>20</v>
      </c>
      <c r="J6" s="3">
        <v>0</v>
      </c>
      <c r="K6" s="3">
        <v>0</v>
      </c>
      <c r="L6" s="3">
        <v>0</v>
      </c>
      <c r="M6" s="3">
        <v>0</v>
      </c>
      <c r="N6" s="3">
        <v>0</v>
      </c>
      <c r="O6" s="3">
        <v>0</v>
      </c>
      <c r="P6" s="3">
        <v>0</v>
      </c>
      <c r="Q6" s="3">
        <v>0</v>
      </c>
      <c r="R6" s="2">
        <f t="shared" ref="R6:R8" si="12">R32+B44</f>
        <v>10</v>
      </c>
      <c r="S6" s="2">
        <f t="shared" si="8"/>
        <v>10</v>
      </c>
      <c r="T6" s="2">
        <f t="shared" si="8"/>
        <v>10</v>
      </c>
      <c r="U6" s="2">
        <f t="shared" si="8"/>
        <v>40</v>
      </c>
      <c r="V6" s="2">
        <f t="shared" si="8"/>
        <v>40</v>
      </c>
      <c r="W6" s="2">
        <f t="shared" si="8"/>
        <v>40</v>
      </c>
      <c r="X6" s="2">
        <f t="shared" si="8"/>
        <v>50</v>
      </c>
      <c r="Y6" s="2">
        <f t="shared" si="8"/>
        <v>20</v>
      </c>
      <c r="Z6" s="3">
        <v>0</v>
      </c>
      <c r="AA6" s="3">
        <v>0</v>
      </c>
      <c r="AB6" s="3">
        <v>0</v>
      </c>
      <c r="AC6" s="3">
        <v>0</v>
      </c>
      <c r="AD6" s="3">
        <v>0</v>
      </c>
      <c r="AE6" s="3">
        <v>0</v>
      </c>
      <c r="AF6" s="3">
        <v>0</v>
      </c>
      <c r="AG6" s="3">
        <v>0</v>
      </c>
      <c r="AH6" s="2">
        <f t="shared" ref="AH6:AH8" si="13">AH32+B44</f>
        <v>10</v>
      </c>
      <c r="AI6" s="2">
        <f t="shared" si="9"/>
        <v>10</v>
      </c>
      <c r="AJ6" s="2">
        <f t="shared" si="9"/>
        <v>10</v>
      </c>
      <c r="AK6" s="2">
        <f t="shared" si="9"/>
        <v>50</v>
      </c>
      <c r="AL6" s="2">
        <f t="shared" si="9"/>
        <v>50</v>
      </c>
      <c r="AM6" s="2">
        <f t="shared" si="9"/>
        <v>40</v>
      </c>
      <c r="AN6" s="2">
        <f t="shared" si="9"/>
        <v>40</v>
      </c>
      <c r="AO6" s="2">
        <f t="shared" si="9"/>
        <v>20</v>
      </c>
      <c r="AP6" s="3">
        <f>AP5*0.5</f>
        <v>0</v>
      </c>
      <c r="AQ6" s="3">
        <f t="shared" ref="AQ6:AR6" si="14">AQ5*0.5</f>
        <v>0</v>
      </c>
      <c r="AR6" s="3">
        <f t="shared" si="14"/>
        <v>0</v>
      </c>
      <c r="AS6" s="3">
        <f t="shared" ref="AS6:AV6" si="15">AS5*0.5</f>
        <v>0</v>
      </c>
      <c r="AT6" s="3">
        <f t="shared" si="15"/>
        <v>0</v>
      </c>
      <c r="AU6" s="3">
        <f t="shared" si="15"/>
        <v>0</v>
      </c>
      <c r="AV6" s="3">
        <f t="shared" si="15"/>
        <v>0</v>
      </c>
      <c r="AW6" s="3">
        <v>0</v>
      </c>
      <c r="AX6" s="2">
        <f t="shared" ref="AX6:AX8" si="16">AX32+B44</f>
        <v>10</v>
      </c>
      <c r="AY6" s="2">
        <f t="shared" si="10"/>
        <v>10</v>
      </c>
      <c r="AZ6" s="2">
        <f t="shared" si="10"/>
        <v>10</v>
      </c>
      <c r="BA6" s="2">
        <f t="shared" si="10"/>
        <v>40</v>
      </c>
      <c r="BB6" s="2">
        <f t="shared" si="10"/>
        <v>40</v>
      </c>
      <c r="BC6" s="2">
        <f t="shared" si="10"/>
        <v>40</v>
      </c>
      <c r="BD6" s="2">
        <f t="shared" si="10"/>
        <v>40</v>
      </c>
      <c r="BE6" s="2">
        <f t="shared" si="10"/>
        <v>20</v>
      </c>
      <c r="BF6" s="3">
        <v>0</v>
      </c>
      <c r="BG6" s="3">
        <v>0</v>
      </c>
      <c r="BH6" s="3">
        <v>0</v>
      </c>
      <c r="BI6" s="3">
        <v>0</v>
      </c>
      <c r="BJ6" s="3">
        <v>0</v>
      </c>
      <c r="BK6" s="3">
        <v>0</v>
      </c>
      <c r="BL6" s="3">
        <v>0</v>
      </c>
      <c r="BM6" s="3">
        <v>0</v>
      </c>
    </row>
    <row r="7" spans="1:65" x14ac:dyDescent="0.2">
      <c r="A7" s="1">
        <v>2</v>
      </c>
      <c r="B7" s="2">
        <f t="shared" si="11"/>
        <v>10</v>
      </c>
      <c r="C7" s="2">
        <f t="shared" si="11"/>
        <v>10</v>
      </c>
      <c r="D7" s="2">
        <f t="shared" si="11"/>
        <v>10</v>
      </c>
      <c r="E7" s="2">
        <f t="shared" si="11"/>
        <v>40</v>
      </c>
      <c r="F7" s="2">
        <f t="shared" si="11"/>
        <v>40</v>
      </c>
      <c r="G7" s="2">
        <f t="shared" si="11"/>
        <v>40</v>
      </c>
      <c r="H7" s="2">
        <f t="shared" si="11"/>
        <v>35</v>
      </c>
      <c r="I7" s="2">
        <f t="shared" si="11"/>
        <v>20</v>
      </c>
      <c r="J7" s="3">
        <v>0</v>
      </c>
      <c r="K7" s="3">
        <v>0</v>
      </c>
      <c r="L7" s="3">
        <v>0</v>
      </c>
      <c r="M7" s="3">
        <v>0</v>
      </c>
      <c r="N7" s="3">
        <v>0</v>
      </c>
      <c r="O7" s="3">
        <v>0</v>
      </c>
      <c r="P7" s="3">
        <v>0</v>
      </c>
      <c r="Q7" s="3">
        <v>0</v>
      </c>
      <c r="R7" s="2">
        <f t="shared" si="12"/>
        <v>10</v>
      </c>
      <c r="S7" s="2">
        <f t="shared" si="8"/>
        <v>10</v>
      </c>
      <c r="T7" s="2">
        <f t="shared" si="8"/>
        <v>10</v>
      </c>
      <c r="U7" s="2">
        <f t="shared" si="8"/>
        <v>40</v>
      </c>
      <c r="V7" s="2">
        <f t="shared" si="8"/>
        <v>40</v>
      </c>
      <c r="W7" s="2">
        <f t="shared" si="8"/>
        <v>40</v>
      </c>
      <c r="X7" s="2">
        <f t="shared" si="8"/>
        <v>35</v>
      </c>
      <c r="Y7" s="2">
        <f t="shared" si="8"/>
        <v>20</v>
      </c>
      <c r="Z7" s="3">
        <v>0</v>
      </c>
      <c r="AA7" s="3">
        <v>0</v>
      </c>
      <c r="AB7" s="3">
        <v>0</v>
      </c>
      <c r="AC7" s="3">
        <v>0</v>
      </c>
      <c r="AD7" s="3">
        <v>0</v>
      </c>
      <c r="AE7" s="3">
        <v>0</v>
      </c>
      <c r="AF7" s="3">
        <v>0</v>
      </c>
      <c r="AG7" s="3">
        <v>0</v>
      </c>
      <c r="AH7" s="2">
        <f t="shared" si="13"/>
        <v>10</v>
      </c>
      <c r="AI7" s="2">
        <f t="shared" si="9"/>
        <v>10</v>
      </c>
      <c r="AJ7" s="2">
        <f t="shared" si="9"/>
        <v>10</v>
      </c>
      <c r="AK7" s="2">
        <f t="shared" si="9"/>
        <v>40</v>
      </c>
      <c r="AL7" s="2">
        <f t="shared" si="9"/>
        <v>40</v>
      </c>
      <c r="AM7" s="2">
        <f t="shared" si="9"/>
        <v>40</v>
      </c>
      <c r="AN7" s="2">
        <f t="shared" si="9"/>
        <v>35</v>
      </c>
      <c r="AO7" s="2">
        <f t="shared" si="9"/>
        <v>20</v>
      </c>
      <c r="AP7" s="3">
        <v>0</v>
      </c>
      <c r="AQ7" s="3">
        <v>0</v>
      </c>
      <c r="AR7" s="3">
        <v>0</v>
      </c>
      <c r="AS7" s="3">
        <v>0</v>
      </c>
      <c r="AT7" s="3">
        <v>0</v>
      </c>
      <c r="AU7" s="3">
        <v>0</v>
      </c>
      <c r="AV7" s="3">
        <v>0</v>
      </c>
      <c r="AW7" s="3">
        <v>0</v>
      </c>
      <c r="AX7" s="2">
        <f t="shared" si="16"/>
        <v>10</v>
      </c>
      <c r="AY7" s="2">
        <f t="shared" si="10"/>
        <v>10</v>
      </c>
      <c r="AZ7" s="2">
        <f t="shared" si="10"/>
        <v>10</v>
      </c>
      <c r="BA7" s="2">
        <f t="shared" si="10"/>
        <v>40</v>
      </c>
      <c r="BB7" s="2">
        <f t="shared" si="10"/>
        <v>40</v>
      </c>
      <c r="BC7" s="2">
        <f t="shared" si="10"/>
        <v>40</v>
      </c>
      <c r="BD7" s="2">
        <f t="shared" si="10"/>
        <v>35</v>
      </c>
      <c r="BE7" s="2">
        <f t="shared" si="10"/>
        <v>20</v>
      </c>
      <c r="BF7" s="3">
        <v>0</v>
      </c>
      <c r="BG7" s="3">
        <v>0</v>
      </c>
      <c r="BH7" s="3">
        <v>0</v>
      </c>
      <c r="BI7" s="3">
        <v>0</v>
      </c>
      <c r="BJ7" s="3">
        <v>0</v>
      </c>
      <c r="BK7" s="3">
        <v>0</v>
      </c>
      <c r="BL7" s="3">
        <v>0</v>
      </c>
      <c r="BM7" s="3">
        <v>0</v>
      </c>
    </row>
    <row r="8" spans="1:65" x14ac:dyDescent="0.2">
      <c r="A8" s="1">
        <v>3</v>
      </c>
      <c r="B8" s="2">
        <f t="shared" si="11"/>
        <v>10</v>
      </c>
      <c r="C8" s="2">
        <f t="shared" si="11"/>
        <v>10</v>
      </c>
      <c r="D8" s="2">
        <f t="shared" si="11"/>
        <v>10</v>
      </c>
      <c r="E8" s="2">
        <f t="shared" si="11"/>
        <v>50</v>
      </c>
      <c r="F8" s="2">
        <f t="shared" si="11"/>
        <v>50</v>
      </c>
      <c r="G8" s="2">
        <f t="shared" si="11"/>
        <v>40</v>
      </c>
      <c r="H8" s="2">
        <f t="shared" si="11"/>
        <v>45</v>
      </c>
      <c r="I8" s="2">
        <f>I34+I46</f>
        <v>20</v>
      </c>
      <c r="J8" s="3">
        <v>0</v>
      </c>
      <c r="K8" s="3">
        <v>0</v>
      </c>
      <c r="L8" s="3">
        <v>0</v>
      </c>
      <c r="M8" s="3">
        <v>0</v>
      </c>
      <c r="N8" s="3">
        <v>0</v>
      </c>
      <c r="O8" s="3">
        <v>0</v>
      </c>
      <c r="P8" s="3">
        <v>0</v>
      </c>
      <c r="Q8" s="3">
        <v>0</v>
      </c>
      <c r="R8" s="2">
        <f t="shared" si="12"/>
        <v>10</v>
      </c>
      <c r="S8" s="2">
        <f t="shared" si="8"/>
        <v>10</v>
      </c>
      <c r="T8" s="2">
        <f t="shared" si="8"/>
        <v>10</v>
      </c>
      <c r="U8" s="2">
        <f t="shared" si="8"/>
        <v>40</v>
      </c>
      <c r="V8" s="2">
        <f t="shared" si="8"/>
        <v>40</v>
      </c>
      <c r="W8" s="2">
        <f t="shared" si="8"/>
        <v>40</v>
      </c>
      <c r="X8" s="2">
        <f t="shared" si="8"/>
        <v>45</v>
      </c>
      <c r="Y8" s="2">
        <f t="shared" si="8"/>
        <v>20</v>
      </c>
      <c r="Z8" s="3">
        <v>0</v>
      </c>
      <c r="AA8" s="3">
        <v>0</v>
      </c>
      <c r="AB8" s="3">
        <v>0</v>
      </c>
      <c r="AC8" s="3">
        <v>0</v>
      </c>
      <c r="AD8" s="3">
        <v>0</v>
      </c>
      <c r="AE8" s="3">
        <v>0</v>
      </c>
      <c r="AF8" s="3">
        <v>0</v>
      </c>
      <c r="AG8" s="3">
        <v>0</v>
      </c>
      <c r="AH8" s="2">
        <f t="shared" si="13"/>
        <v>10</v>
      </c>
      <c r="AI8" s="2">
        <f t="shared" si="9"/>
        <v>10</v>
      </c>
      <c r="AJ8" s="2">
        <f t="shared" si="9"/>
        <v>10</v>
      </c>
      <c r="AK8" s="2">
        <f t="shared" si="9"/>
        <v>50</v>
      </c>
      <c r="AL8" s="2">
        <f t="shared" si="9"/>
        <v>50</v>
      </c>
      <c r="AM8" s="2">
        <f t="shared" si="9"/>
        <v>40</v>
      </c>
      <c r="AN8" s="2">
        <f t="shared" si="9"/>
        <v>35</v>
      </c>
      <c r="AO8" s="2">
        <f t="shared" si="9"/>
        <v>20</v>
      </c>
      <c r="AP8" s="3">
        <v>0</v>
      </c>
      <c r="AQ8" s="3">
        <v>0</v>
      </c>
      <c r="AR8" s="3">
        <v>0</v>
      </c>
      <c r="AS8" s="3">
        <v>0</v>
      </c>
      <c r="AT8" s="3">
        <v>0</v>
      </c>
      <c r="AU8" s="3">
        <v>0</v>
      </c>
      <c r="AV8" s="3">
        <v>0</v>
      </c>
      <c r="AW8" s="3">
        <v>0</v>
      </c>
      <c r="AX8" s="2">
        <f t="shared" si="16"/>
        <v>10</v>
      </c>
      <c r="AY8" s="2">
        <f t="shared" si="10"/>
        <v>10</v>
      </c>
      <c r="AZ8" s="2">
        <f t="shared" si="10"/>
        <v>10</v>
      </c>
      <c r="BA8" s="2">
        <f t="shared" si="10"/>
        <v>40</v>
      </c>
      <c r="BB8" s="2">
        <f t="shared" si="10"/>
        <v>40</v>
      </c>
      <c r="BC8" s="2">
        <f t="shared" si="10"/>
        <v>40</v>
      </c>
      <c r="BD8" s="2">
        <f t="shared" si="10"/>
        <v>35</v>
      </c>
      <c r="BE8" s="2">
        <f t="shared" si="10"/>
        <v>20</v>
      </c>
      <c r="BF8" s="3">
        <v>0</v>
      </c>
      <c r="BG8" s="3">
        <v>0</v>
      </c>
      <c r="BH8" s="3">
        <v>0</v>
      </c>
      <c r="BI8" s="3">
        <v>0</v>
      </c>
      <c r="BJ8" s="3">
        <v>0</v>
      </c>
      <c r="BK8" s="3">
        <v>0</v>
      </c>
      <c r="BL8" s="3">
        <v>0</v>
      </c>
      <c r="BM8" s="3">
        <v>0</v>
      </c>
    </row>
    <row r="9" spans="1:65" x14ac:dyDescent="0.2">
      <c r="A9" s="1">
        <v>4</v>
      </c>
      <c r="B9" s="2"/>
      <c r="C9" s="2"/>
      <c r="D9" s="2"/>
      <c r="E9" s="2"/>
      <c r="F9" s="2"/>
      <c r="G9" s="2"/>
      <c r="H9" s="2"/>
      <c r="I9" s="2"/>
      <c r="J9" s="3"/>
      <c r="K9" s="3"/>
      <c r="L9" s="3"/>
      <c r="M9" s="3"/>
      <c r="N9" s="3"/>
      <c r="O9" s="3"/>
      <c r="P9" s="3"/>
      <c r="Q9" s="3"/>
      <c r="R9" s="2"/>
      <c r="S9" s="2"/>
      <c r="T9" s="2"/>
      <c r="U9" s="2"/>
      <c r="V9" s="2"/>
      <c r="W9" s="2"/>
      <c r="X9" s="2"/>
      <c r="Y9" s="2"/>
      <c r="Z9" s="3"/>
      <c r="AA9" s="3"/>
      <c r="AB9" s="3"/>
      <c r="AC9" s="3"/>
      <c r="AD9" s="3"/>
      <c r="AE9" s="3"/>
      <c r="AF9" s="3"/>
      <c r="AG9" s="3"/>
      <c r="AH9" s="2"/>
      <c r="AI9" s="2"/>
      <c r="AJ9" s="2"/>
      <c r="AK9" s="2"/>
      <c r="AL9" s="2"/>
      <c r="AM9" s="2"/>
      <c r="AN9" s="2"/>
      <c r="AO9" s="2"/>
      <c r="AP9" s="3"/>
      <c r="AQ9" s="3"/>
      <c r="AR9" s="3"/>
      <c r="AS9" s="3"/>
      <c r="AT9" s="3"/>
      <c r="AU9" s="3"/>
      <c r="AV9" s="3"/>
      <c r="AW9" s="3"/>
      <c r="AX9" s="2"/>
      <c r="AY9" s="2"/>
      <c r="AZ9" s="2"/>
      <c r="BA9" s="2"/>
      <c r="BB9" s="2"/>
      <c r="BC9" s="2"/>
      <c r="BD9" s="2"/>
      <c r="BE9" s="2"/>
      <c r="BF9" s="3"/>
      <c r="BG9" s="3"/>
      <c r="BH9" s="3"/>
      <c r="BI9" s="3"/>
      <c r="BJ9" s="3"/>
      <c r="BK9" s="3"/>
      <c r="BL9" s="3"/>
      <c r="BM9" s="3"/>
    </row>
    <row r="10" spans="1:65" x14ac:dyDescent="0.2">
      <c r="A10" s="1">
        <v>5</v>
      </c>
      <c r="B10" s="2"/>
      <c r="C10" s="2"/>
      <c r="D10" s="2"/>
      <c r="E10" s="2"/>
      <c r="F10" s="2"/>
      <c r="G10" s="2"/>
      <c r="H10" s="2"/>
      <c r="I10" s="2"/>
      <c r="J10" s="3"/>
      <c r="K10" s="3"/>
      <c r="L10" s="3"/>
      <c r="M10" s="3"/>
      <c r="N10" s="3"/>
      <c r="O10" s="3"/>
      <c r="P10" s="3"/>
      <c r="Q10" s="3"/>
      <c r="R10" s="2"/>
      <c r="S10" s="2"/>
      <c r="T10" s="2"/>
      <c r="U10" s="2"/>
      <c r="V10" s="2"/>
      <c r="W10" s="2"/>
      <c r="X10" s="2"/>
      <c r="Y10" s="2"/>
      <c r="Z10" s="3"/>
      <c r="AA10" s="3"/>
      <c r="AB10" s="3"/>
      <c r="AC10" s="3"/>
      <c r="AD10" s="3"/>
      <c r="AE10" s="3"/>
      <c r="AF10" s="3"/>
      <c r="AG10" s="3"/>
      <c r="AH10" s="2"/>
      <c r="AI10" s="2"/>
      <c r="AJ10" s="2"/>
      <c r="AK10" s="2"/>
      <c r="AL10" s="2"/>
      <c r="AM10" s="2"/>
      <c r="AN10" s="2"/>
      <c r="AO10" s="2"/>
      <c r="AP10" s="3"/>
      <c r="AQ10" s="3"/>
      <c r="AR10" s="3"/>
      <c r="AS10" s="3"/>
      <c r="AT10" s="3"/>
      <c r="AU10" s="3"/>
      <c r="AV10" s="3"/>
      <c r="AW10" s="3"/>
      <c r="AX10" s="2"/>
      <c r="AY10" s="2"/>
      <c r="AZ10" s="2"/>
      <c r="BA10" s="2"/>
      <c r="BB10" s="2"/>
      <c r="BC10" s="2"/>
      <c r="BD10" s="2"/>
      <c r="BE10" s="2"/>
      <c r="BF10" s="3"/>
      <c r="BG10" s="3"/>
      <c r="BH10" s="3"/>
      <c r="BI10" s="3"/>
      <c r="BJ10" s="3"/>
      <c r="BK10" s="3"/>
      <c r="BL10" s="3"/>
      <c r="BM10" s="3"/>
    </row>
    <row r="11" spans="1:65" x14ac:dyDescent="0.2">
      <c r="A11" s="1">
        <v>6</v>
      </c>
      <c r="B11" s="2"/>
      <c r="C11" s="2"/>
      <c r="D11" s="2"/>
      <c r="E11" s="2"/>
      <c r="F11" s="2"/>
      <c r="G11" s="2"/>
      <c r="H11" s="2"/>
      <c r="I11" s="2"/>
      <c r="J11" s="3"/>
      <c r="K11" s="3"/>
      <c r="L11" s="3"/>
      <c r="M11" s="3"/>
      <c r="N11" s="3"/>
      <c r="O11" s="3"/>
      <c r="P11" s="3"/>
      <c r="Q11" s="3"/>
      <c r="R11" s="2"/>
      <c r="S11" s="2"/>
      <c r="T11" s="2"/>
      <c r="U11" s="2"/>
      <c r="V11" s="2"/>
      <c r="W11" s="2"/>
      <c r="X11" s="2"/>
      <c r="Y11" s="2"/>
      <c r="Z11" s="3"/>
      <c r="AA11" s="3"/>
      <c r="AB11" s="3"/>
      <c r="AC11" s="3"/>
      <c r="AD11" s="3"/>
      <c r="AE11" s="3"/>
      <c r="AF11" s="3"/>
      <c r="AG11" s="3"/>
      <c r="AH11" s="2"/>
      <c r="AI11" s="2"/>
      <c r="AJ11" s="2"/>
      <c r="AK11" s="2"/>
      <c r="AL11" s="2"/>
      <c r="AM11" s="2"/>
      <c r="AN11" s="2"/>
      <c r="AO11" s="2"/>
      <c r="AP11" s="3"/>
      <c r="AQ11" s="3"/>
      <c r="AR11" s="3"/>
      <c r="AS11" s="3"/>
      <c r="AT11" s="3"/>
      <c r="AU11" s="3"/>
      <c r="AV11" s="3"/>
      <c r="AW11" s="3"/>
      <c r="AX11" s="2"/>
      <c r="AY11" s="2"/>
      <c r="AZ11" s="2"/>
      <c r="BA11" s="2"/>
      <c r="BB11" s="2"/>
      <c r="BC11" s="2"/>
      <c r="BD11" s="2"/>
      <c r="BE11" s="2"/>
      <c r="BF11" s="3"/>
      <c r="BG11" s="3"/>
      <c r="BH11" s="3"/>
      <c r="BI11" s="3"/>
      <c r="BJ11" s="3"/>
      <c r="BK11" s="3"/>
      <c r="BL11" s="3"/>
      <c r="BM11" s="3"/>
    </row>
    <row r="12" spans="1:65" x14ac:dyDescent="0.2">
      <c r="A12" s="1">
        <v>7</v>
      </c>
      <c r="B12" s="2"/>
      <c r="C12" s="2"/>
      <c r="D12" s="2"/>
      <c r="E12" s="2"/>
      <c r="F12" s="2"/>
      <c r="G12" s="2"/>
      <c r="H12" s="2"/>
      <c r="I12" s="2"/>
      <c r="J12" s="3"/>
      <c r="K12" s="3"/>
      <c r="L12" s="3"/>
      <c r="M12" s="3"/>
      <c r="N12" s="3"/>
      <c r="O12" s="3"/>
      <c r="P12" s="3"/>
      <c r="Q12" s="3"/>
      <c r="R12" s="2"/>
      <c r="S12" s="2"/>
      <c r="T12" s="2"/>
      <c r="U12" s="2"/>
      <c r="V12" s="2"/>
      <c r="W12" s="2"/>
      <c r="X12" s="2"/>
      <c r="Y12" s="2"/>
      <c r="Z12" s="3"/>
      <c r="AA12" s="3"/>
      <c r="AB12" s="3"/>
      <c r="AC12" s="3"/>
      <c r="AD12" s="3"/>
      <c r="AE12" s="3"/>
      <c r="AF12" s="3"/>
      <c r="AG12" s="3"/>
      <c r="AH12" s="2"/>
      <c r="AI12" s="2"/>
      <c r="AJ12" s="2"/>
      <c r="AK12" s="2"/>
      <c r="AL12" s="2"/>
      <c r="AM12" s="2"/>
      <c r="AN12" s="2"/>
      <c r="AO12" s="2"/>
      <c r="AP12" s="3"/>
      <c r="AQ12" s="3"/>
      <c r="AR12" s="3"/>
      <c r="AS12" s="3"/>
      <c r="AT12" s="3"/>
      <c r="AU12" s="3"/>
      <c r="AV12" s="3"/>
      <c r="AW12" s="3"/>
      <c r="AX12" s="2"/>
      <c r="AY12" s="2"/>
      <c r="AZ12" s="2"/>
      <c r="BA12" s="2"/>
      <c r="BB12" s="2"/>
      <c r="BC12" s="2"/>
      <c r="BD12" s="2"/>
      <c r="BE12" s="2"/>
      <c r="BF12" s="3"/>
      <c r="BG12" s="3"/>
      <c r="BH12" s="3"/>
      <c r="BI12" s="3"/>
      <c r="BJ12" s="3"/>
      <c r="BK12" s="3"/>
      <c r="BL12" s="3"/>
      <c r="BM12" s="3"/>
    </row>
    <row r="13" spans="1:65" x14ac:dyDescent="0.2">
      <c r="A13" s="1">
        <v>8</v>
      </c>
      <c r="B13" s="2"/>
      <c r="C13" s="2"/>
      <c r="D13" s="2"/>
      <c r="E13" s="2"/>
      <c r="F13" s="2"/>
      <c r="G13" s="2"/>
      <c r="H13" s="2"/>
      <c r="I13" s="2"/>
      <c r="J13" s="3"/>
      <c r="K13" s="3"/>
      <c r="L13" s="3"/>
      <c r="M13" s="3"/>
      <c r="N13" s="3"/>
      <c r="O13" s="3"/>
      <c r="P13" s="3"/>
      <c r="Q13" s="3"/>
      <c r="R13" s="2"/>
      <c r="S13" s="2"/>
      <c r="T13" s="2"/>
      <c r="U13" s="2"/>
      <c r="V13" s="2"/>
      <c r="W13" s="2"/>
      <c r="X13" s="2"/>
      <c r="Y13" s="2"/>
      <c r="Z13" s="3"/>
      <c r="AA13" s="3"/>
      <c r="AB13" s="3"/>
      <c r="AC13" s="3"/>
      <c r="AD13" s="3"/>
      <c r="AE13" s="3"/>
      <c r="AF13" s="3"/>
      <c r="AG13" s="3"/>
      <c r="AH13" s="2"/>
      <c r="AI13" s="2"/>
      <c r="AJ13" s="2"/>
      <c r="AK13" s="2"/>
      <c r="AL13" s="2"/>
      <c r="AM13" s="2"/>
      <c r="AN13" s="2"/>
      <c r="AO13" s="2"/>
      <c r="AP13" s="3"/>
      <c r="AQ13" s="3"/>
      <c r="AR13" s="3"/>
      <c r="AS13" s="3"/>
      <c r="AT13" s="3"/>
      <c r="AU13" s="3"/>
      <c r="AV13" s="3"/>
      <c r="AW13" s="3"/>
      <c r="AX13" s="2"/>
      <c r="AY13" s="2"/>
      <c r="AZ13" s="2"/>
      <c r="BA13" s="2"/>
      <c r="BB13" s="2"/>
      <c r="BC13" s="2"/>
      <c r="BD13" s="2"/>
      <c r="BE13" s="2"/>
      <c r="BF13" s="3"/>
      <c r="BG13" s="3"/>
      <c r="BH13" s="3"/>
      <c r="BI13" s="3"/>
      <c r="BJ13" s="3"/>
      <c r="BK13" s="3"/>
      <c r="BL13" s="3"/>
      <c r="BM13" s="3"/>
    </row>
    <row r="14" spans="1:65" x14ac:dyDescent="0.2">
      <c r="A14" s="1">
        <v>9</v>
      </c>
      <c r="B14" s="2"/>
      <c r="C14" s="2"/>
      <c r="D14" s="2"/>
      <c r="E14" s="2"/>
      <c r="F14" s="2"/>
      <c r="G14" s="2"/>
      <c r="H14" s="2"/>
      <c r="I14" s="2"/>
      <c r="J14" s="3"/>
      <c r="K14" s="3"/>
      <c r="L14" s="3"/>
      <c r="M14" s="3"/>
      <c r="N14" s="3"/>
      <c r="O14" s="3"/>
      <c r="P14" s="3"/>
      <c r="Q14" s="3"/>
      <c r="R14" s="2"/>
      <c r="S14" s="2"/>
      <c r="T14" s="2"/>
      <c r="U14" s="2"/>
      <c r="V14" s="2"/>
      <c r="W14" s="2"/>
      <c r="X14" s="2"/>
      <c r="Y14" s="2"/>
      <c r="Z14" s="3"/>
      <c r="AA14" s="3"/>
      <c r="AB14" s="3"/>
      <c r="AC14" s="3"/>
      <c r="AD14" s="3"/>
      <c r="AE14" s="3"/>
      <c r="AF14" s="3"/>
      <c r="AG14" s="3"/>
      <c r="AH14" s="2"/>
      <c r="AI14" s="2"/>
      <c r="AJ14" s="2"/>
      <c r="AK14" s="2"/>
      <c r="AL14" s="2"/>
      <c r="AM14" s="2"/>
      <c r="AN14" s="2"/>
      <c r="AO14" s="2"/>
      <c r="AP14" s="3"/>
      <c r="AQ14" s="3"/>
      <c r="AR14" s="3"/>
      <c r="AS14" s="3"/>
      <c r="AT14" s="3"/>
      <c r="AU14" s="3"/>
      <c r="AV14" s="3"/>
      <c r="AW14" s="3"/>
      <c r="AX14" s="2"/>
      <c r="AY14" s="2"/>
      <c r="AZ14" s="2"/>
      <c r="BA14" s="2"/>
      <c r="BB14" s="2"/>
      <c r="BC14" s="2"/>
      <c r="BD14" s="2"/>
      <c r="BE14" s="2"/>
      <c r="BF14" s="3"/>
      <c r="BG14" s="3"/>
      <c r="BH14" s="3"/>
      <c r="BI14" s="3"/>
      <c r="BJ14" s="3"/>
      <c r="BK14" s="3"/>
      <c r="BL14" s="3"/>
      <c r="BM14" s="3"/>
    </row>
    <row r="15" spans="1:65" x14ac:dyDescent="0.2">
      <c r="A15" s="1">
        <v>10</v>
      </c>
      <c r="B15" s="2"/>
      <c r="C15" s="2"/>
      <c r="D15" s="2"/>
      <c r="E15" s="2"/>
      <c r="F15" s="2"/>
      <c r="G15" s="2"/>
      <c r="H15" s="2"/>
      <c r="I15" s="2"/>
      <c r="J15" s="3"/>
      <c r="K15" s="3"/>
      <c r="L15" s="3"/>
      <c r="M15" s="3"/>
      <c r="N15" s="3"/>
      <c r="O15" s="3"/>
      <c r="P15" s="3"/>
      <c r="Q15" s="3"/>
      <c r="R15" s="2"/>
      <c r="S15" s="2"/>
      <c r="T15" s="2"/>
      <c r="U15" s="2"/>
      <c r="V15" s="2"/>
      <c r="W15" s="2"/>
      <c r="X15" s="2"/>
      <c r="Y15" s="2"/>
      <c r="Z15" s="3"/>
      <c r="AA15" s="3"/>
      <c r="AB15" s="3"/>
      <c r="AC15" s="3"/>
      <c r="AD15" s="3"/>
      <c r="AE15" s="3"/>
      <c r="AF15" s="3"/>
      <c r="AG15" s="3"/>
      <c r="AH15" s="2"/>
      <c r="AI15" s="2"/>
      <c r="AJ15" s="2"/>
      <c r="AK15" s="2"/>
      <c r="AL15" s="2"/>
      <c r="AM15" s="2"/>
      <c r="AN15" s="2"/>
      <c r="AO15" s="2"/>
      <c r="AP15" s="3"/>
      <c r="AQ15" s="3"/>
      <c r="AR15" s="3"/>
      <c r="AS15" s="3"/>
      <c r="AT15" s="3"/>
      <c r="AU15" s="3"/>
      <c r="AV15" s="3"/>
      <c r="AW15" s="3"/>
      <c r="AX15" s="2"/>
      <c r="AY15" s="2"/>
      <c r="AZ15" s="2"/>
      <c r="BA15" s="2"/>
      <c r="BB15" s="2"/>
      <c r="BC15" s="2"/>
      <c r="BD15" s="2"/>
      <c r="BE15" s="2"/>
      <c r="BF15" s="3"/>
      <c r="BG15" s="3"/>
      <c r="BH15" s="3"/>
      <c r="BI15" s="3"/>
      <c r="BJ15" s="3"/>
      <c r="BK15" s="3"/>
      <c r="BL15" s="3"/>
      <c r="BM15" s="3"/>
    </row>
    <row r="16" spans="1:65" x14ac:dyDescent="0.2">
      <c r="A16" s="1">
        <v>11</v>
      </c>
      <c r="B16" s="2"/>
      <c r="C16" s="2"/>
      <c r="D16" s="2"/>
      <c r="E16" s="2"/>
      <c r="F16" s="2"/>
      <c r="G16" s="2"/>
      <c r="H16" s="2"/>
      <c r="I16" s="2"/>
      <c r="J16" s="3"/>
      <c r="K16" s="3"/>
      <c r="L16" s="3"/>
      <c r="M16" s="3"/>
      <c r="N16" s="3"/>
      <c r="O16" s="3"/>
      <c r="P16" s="3"/>
      <c r="Q16" s="3"/>
      <c r="R16" s="2"/>
      <c r="S16" s="2"/>
      <c r="T16" s="2"/>
      <c r="U16" s="2"/>
      <c r="V16" s="2"/>
      <c r="W16" s="2"/>
      <c r="X16" s="2"/>
      <c r="Y16" s="2"/>
      <c r="Z16" s="3"/>
      <c r="AA16" s="3"/>
      <c r="AB16" s="3"/>
      <c r="AC16" s="3"/>
      <c r="AD16" s="3"/>
      <c r="AE16" s="3"/>
      <c r="AF16" s="3"/>
      <c r="AG16" s="3"/>
      <c r="AH16" s="2"/>
      <c r="AI16" s="2"/>
      <c r="AJ16" s="2"/>
      <c r="AK16" s="2"/>
      <c r="AL16" s="2"/>
      <c r="AM16" s="2"/>
      <c r="AN16" s="2"/>
      <c r="AO16" s="2"/>
      <c r="AP16" s="3"/>
      <c r="AQ16" s="3"/>
      <c r="AR16" s="3"/>
      <c r="AS16" s="3"/>
      <c r="AT16" s="3"/>
      <c r="AU16" s="3"/>
      <c r="AV16" s="3"/>
      <c r="AW16" s="3"/>
      <c r="AX16" s="2"/>
      <c r="AY16" s="2"/>
      <c r="AZ16" s="2"/>
      <c r="BA16" s="2"/>
      <c r="BB16" s="2"/>
      <c r="BC16" s="2"/>
      <c r="BD16" s="2"/>
      <c r="BE16" s="2"/>
      <c r="BF16" s="3"/>
      <c r="BG16" s="3"/>
      <c r="BH16" s="3"/>
      <c r="BI16" s="3"/>
      <c r="BJ16" s="3"/>
      <c r="BK16" s="3"/>
      <c r="BL16" s="3"/>
      <c r="BM16" s="3"/>
    </row>
    <row r="17" spans="1:65" x14ac:dyDescent="0.2">
      <c r="A17" s="1">
        <v>12</v>
      </c>
      <c r="B17" s="2"/>
      <c r="C17" s="2"/>
      <c r="D17" s="2"/>
      <c r="E17" s="2"/>
      <c r="F17" s="2"/>
      <c r="G17" s="2"/>
      <c r="H17" s="2"/>
      <c r="I17" s="2"/>
      <c r="J17" s="3"/>
      <c r="K17" s="3"/>
      <c r="L17" s="3"/>
      <c r="M17" s="3"/>
      <c r="N17" s="3"/>
      <c r="O17" s="3"/>
      <c r="P17" s="3"/>
      <c r="Q17" s="3"/>
      <c r="R17" s="2"/>
      <c r="S17" s="2"/>
      <c r="T17" s="2"/>
      <c r="U17" s="2"/>
      <c r="V17" s="2"/>
      <c r="W17" s="2"/>
      <c r="X17" s="2"/>
      <c r="Y17" s="2"/>
      <c r="Z17" s="3"/>
      <c r="AA17" s="3"/>
      <c r="AB17" s="3"/>
      <c r="AC17" s="3"/>
      <c r="AD17" s="3"/>
      <c r="AE17" s="3"/>
      <c r="AF17" s="3"/>
      <c r="AG17" s="3"/>
      <c r="AH17" s="2"/>
      <c r="AI17" s="2"/>
      <c r="AJ17" s="2"/>
      <c r="AK17" s="2"/>
      <c r="AL17" s="2"/>
      <c r="AM17" s="2"/>
      <c r="AN17" s="2"/>
      <c r="AO17" s="2"/>
      <c r="AP17" s="3"/>
      <c r="AQ17" s="3"/>
      <c r="AR17" s="3"/>
      <c r="AS17" s="3"/>
      <c r="AT17" s="3"/>
      <c r="AU17" s="3"/>
      <c r="AV17" s="3"/>
      <c r="AW17" s="3"/>
      <c r="AX17" s="2"/>
      <c r="AY17" s="2"/>
      <c r="AZ17" s="2"/>
      <c r="BA17" s="2"/>
      <c r="BB17" s="2"/>
      <c r="BC17" s="2"/>
      <c r="BD17" s="2"/>
      <c r="BE17" s="2"/>
      <c r="BF17" s="3"/>
      <c r="BG17" s="3"/>
      <c r="BH17" s="3"/>
      <c r="BI17" s="3"/>
      <c r="BJ17" s="3"/>
      <c r="BK17" s="3"/>
      <c r="BL17" s="3"/>
      <c r="BM17" s="3"/>
    </row>
    <row r="18" spans="1:65" x14ac:dyDescent="0.2">
      <c r="A18" s="1">
        <v>13</v>
      </c>
      <c r="B18" s="2"/>
      <c r="C18" s="2"/>
      <c r="D18" s="2"/>
      <c r="E18" s="2"/>
      <c r="F18" s="2"/>
      <c r="G18" s="2"/>
      <c r="H18" s="2"/>
      <c r="I18" s="2"/>
      <c r="J18" s="3"/>
      <c r="K18" s="3"/>
      <c r="L18" s="3"/>
      <c r="M18" s="3"/>
      <c r="N18" s="3"/>
      <c r="O18" s="3"/>
      <c r="P18" s="3"/>
      <c r="Q18" s="3"/>
      <c r="R18" s="2"/>
      <c r="S18" s="2"/>
      <c r="T18" s="2"/>
      <c r="U18" s="2"/>
      <c r="V18" s="2"/>
      <c r="W18" s="2"/>
      <c r="X18" s="2"/>
      <c r="Y18" s="2"/>
      <c r="Z18" s="3"/>
      <c r="AA18" s="3"/>
      <c r="AB18" s="3"/>
      <c r="AC18" s="3"/>
      <c r="AD18" s="3"/>
      <c r="AE18" s="3"/>
      <c r="AF18" s="3"/>
      <c r="AG18" s="3"/>
      <c r="AH18" s="2"/>
      <c r="AI18" s="2"/>
      <c r="AJ18" s="2"/>
      <c r="AK18" s="2"/>
      <c r="AL18" s="2"/>
      <c r="AM18" s="2"/>
      <c r="AN18" s="2"/>
      <c r="AO18" s="2"/>
      <c r="AP18" s="3"/>
      <c r="AQ18" s="3"/>
      <c r="AR18" s="3"/>
      <c r="AS18" s="3"/>
      <c r="AT18" s="3"/>
      <c r="AU18" s="3"/>
      <c r="AV18" s="3"/>
      <c r="AW18" s="3"/>
      <c r="AX18" s="2"/>
      <c r="AY18" s="2"/>
      <c r="AZ18" s="2"/>
      <c r="BA18" s="2"/>
      <c r="BB18" s="2"/>
      <c r="BC18" s="2"/>
      <c r="BD18" s="2"/>
      <c r="BE18" s="2"/>
      <c r="BF18" s="3"/>
      <c r="BG18" s="3"/>
      <c r="BH18" s="3"/>
      <c r="BI18" s="3"/>
      <c r="BJ18" s="3"/>
      <c r="BK18" s="3"/>
      <c r="BL18" s="3"/>
      <c r="BM18" s="3"/>
    </row>
    <row r="19" spans="1:65" x14ac:dyDescent="0.2">
      <c r="A19" s="1">
        <v>14</v>
      </c>
      <c r="B19" s="2"/>
      <c r="C19" s="2"/>
      <c r="D19" s="2"/>
      <c r="E19" s="2"/>
      <c r="F19" s="2"/>
      <c r="G19" s="2"/>
      <c r="H19" s="2"/>
      <c r="I19" s="2"/>
      <c r="J19" s="3"/>
      <c r="K19" s="3"/>
      <c r="L19" s="3"/>
      <c r="M19" s="3"/>
      <c r="N19" s="3"/>
      <c r="O19" s="3"/>
      <c r="P19" s="3"/>
      <c r="Q19" s="3"/>
      <c r="R19" s="2"/>
      <c r="S19" s="2"/>
      <c r="T19" s="2"/>
      <c r="U19" s="2"/>
      <c r="V19" s="2"/>
      <c r="W19" s="2"/>
      <c r="X19" s="2"/>
      <c r="Y19" s="2"/>
      <c r="Z19" s="3"/>
      <c r="AA19" s="3"/>
      <c r="AB19" s="3"/>
      <c r="AC19" s="3"/>
      <c r="AD19" s="3"/>
      <c r="AE19" s="3"/>
      <c r="AF19" s="3"/>
      <c r="AG19" s="3"/>
      <c r="AH19" s="2"/>
      <c r="AI19" s="2"/>
      <c r="AJ19" s="2"/>
      <c r="AK19" s="2"/>
      <c r="AL19" s="2"/>
      <c r="AM19" s="2"/>
      <c r="AN19" s="2"/>
      <c r="AO19" s="2"/>
      <c r="AP19" s="3"/>
      <c r="AQ19" s="3"/>
      <c r="AR19" s="3"/>
      <c r="AS19" s="3"/>
      <c r="AT19" s="3"/>
      <c r="AU19" s="3"/>
      <c r="AV19" s="3"/>
      <c r="AW19" s="3"/>
      <c r="AX19" s="2"/>
      <c r="AY19" s="2"/>
      <c r="AZ19" s="2"/>
      <c r="BA19" s="2"/>
      <c r="BB19" s="2"/>
      <c r="BC19" s="2"/>
      <c r="BD19" s="2"/>
      <c r="BE19" s="2"/>
      <c r="BF19" s="3"/>
      <c r="BG19" s="3"/>
      <c r="BH19" s="3"/>
      <c r="BI19" s="3"/>
      <c r="BJ19" s="3"/>
      <c r="BK19" s="3"/>
      <c r="BL19" s="3"/>
      <c r="BM19" s="3"/>
    </row>
    <row r="20" spans="1:65" x14ac:dyDescent="0.2">
      <c r="A20" s="1">
        <v>15</v>
      </c>
      <c r="B20" s="2"/>
      <c r="C20" s="2"/>
      <c r="D20" s="2"/>
      <c r="E20" s="2"/>
      <c r="F20" s="2"/>
      <c r="G20" s="2"/>
      <c r="H20" s="2"/>
      <c r="I20" s="2"/>
      <c r="J20" s="3"/>
      <c r="K20" s="3"/>
      <c r="L20" s="3"/>
      <c r="M20" s="3"/>
      <c r="N20" s="3"/>
      <c r="O20" s="3"/>
      <c r="P20" s="3"/>
      <c r="Q20" s="3"/>
      <c r="R20" s="2"/>
      <c r="S20" s="2"/>
      <c r="T20" s="2"/>
      <c r="U20" s="2"/>
      <c r="V20" s="2"/>
      <c r="W20" s="2"/>
      <c r="X20" s="2"/>
      <c r="Y20" s="2"/>
      <c r="Z20" s="3"/>
      <c r="AA20" s="3"/>
      <c r="AB20" s="3"/>
      <c r="AC20" s="3"/>
      <c r="AD20" s="3"/>
      <c r="AE20" s="3"/>
      <c r="AF20" s="3"/>
      <c r="AG20" s="3"/>
      <c r="AH20" s="2"/>
      <c r="AI20" s="2"/>
      <c r="AJ20" s="2"/>
      <c r="AK20" s="2"/>
      <c r="AL20" s="2"/>
      <c r="AM20" s="2"/>
      <c r="AN20" s="2"/>
      <c r="AO20" s="2"/>
      <c r="AP20" s="3"/>
      <c r="AQ20" s="3"/>
      <c r="AR20" s="3"/>
      <c r="AS20" s="3"/>
      <c r="AT20" s="3"/>
      <c r="AU20" s="3"/>
      <c r="AV20" s="3"/>
      <c r="AW20" s="3"/>
      <c r="AX20" s="2"/>
      <c r="AY20" s="2"/>
      <c r="AZ20" s="2"/>
      <c r="BA20" s="2"/>
      <c r="BB20" s="2"/>
      <c r="BC20" s="2"/>
      <c r="BD20" s="2"/>
      <c r="BE20" s="2"/>
      <c r="BF20" s="3"/>
      <c r="BG20" s="3"/>
      <c r="BH20" s="3"/>
      <c r="BI20" s="3"/>
      <c r="BJ20" s="3"/>
      <c r="BK20" s="3"/>
      <c r="BL20" s="3"/>
      <c r="BM20" s="3"/>
    </row>
    <row r="21" spans="1:65" x14ac:dyDescent="0.2">
      <c r="A21" s="1">
        <v>16</v>
      </c>
      <c r="B21" s="2"/>
      <c r="C21" s="2"/>
      <c r="D21" s="2"/>
      <c r="E21" s="2"/>
      <c r="F21" s="2"/>
      <c r="G21" s="2"/>
      <c r="H21" s="2"/>
      <c r="I21" s="2"/>
      <c r="J21" s="3"/>
      <c r="K21" s="3"/>
      <c r="L21" s="3"/>
      <c r="M21" s="3"/>
      <c r="N21" s="3"/>
      <c r="O21" s="3"/>
      <c r="P21" s="3"/>
      <c r="Q21" s="3"/>
      <c r="R21" s="2"/>
      <c r="S21" s="2"/>
      <c r="T21" s="2"/>
      <c r="U21" s="2"/>
      <c r="V21" s="2"/>
      <c r="W21" s="2"/>
      <c r="X21" s="2"/>
      <c r="Y21" s="2"/>
      <c r="Z21" s="3"/>
      <c r="AA21" s="3"/>
      <c r="AB21" s="3"/>
      <c r="AC21" s="3"/>
      <c r="AD21" s="3"/>
      <c r="AE21" s="3"/>
      <c r="AF21" s="3"/>
      <c r="AG21" s="3"/>
      <c r="AH21" s="2"/>
      <c r="AI21" s="2"/>
      <c r="AJ21" s="2"/>
      <c r="AK21" s="2"/>
      <c r="AL21" s="2"/>
      <c r="AM21" s="2"/>
      <c r="AN21" s="2"/>
      <c r="AO21" s="2"/>
      <c r="AP21" s="3"/>
      <c r="AQ21" s="3"/>
      <c r="AR21" s="3"/>
      <c r="AS21" s="3"/>
      <c r="AT21" s="3"/>
      <c r="AU21" s="3"/>
      <c r="AV21" s="3"/>
      <c r="AW21" s="3"/>
      <c r="AX21" s="2"/>
      <c r="AY21" s="2"/>
      <c r="AZ21" s="2"/>
      <c r="BA21" s="2"/>
      <c r="BB21" s="2"/>
      <c r="BC21" s="2"/>
      <c r="BD21" s="2"/>
      <c r="BE21" s="2"/>
      <c r="BF21" s="3"/>
      <c r="BG21" s="3"/>
      <c r="BH21" s="3"/>
      <c r="BI21" s="3"/>
      <c r="BJ21" s="3"/>
      <c r="BK21" s="3"/>
      <c r="BL21" s="3"/>
      <c r="BM21" s="3"/>
    </row>
    <row r="22" spans="1:65" x14ac:dyDescent="0.2">
      <c r="A22" s="1">
        <v>17</v>
      </c>
      <c r="B22" s="2"/>
      <c r="C22" s="2"/>
      <c r="D22" s="2"/>
      <c r="E22" s="2"/>
      <c r="F22" s="2"/>
      <c r="G22" s="2"/>
      <c r="H22" s="2"/>
      <c r="I22" s="2"/>
      <c r="J22" s="3"/>
      <c r="K22" s="3"/>
      <c r="L22" s="3"/>
      <c r="M22" s="3"/>
      <c r="N22" s="3"/>
      <c r="O22" s="3"/>
      <c r="P22" s="3"/>
      <c r="Q22" s="3"/>
      <c r="R22" s="2"/>
      <c r="S22" s="2"/>
      <c r="T22" s="2"/>
      <c r="U22" s="2"/>
      <c r="V22" s="2"/>
      <c r="W22" s="2"/>
      <c r="X22" s="2"/>
      <c r="Y22" s="2"/>
      <c r="Z22" s="3"/>
      <c r="AA22" s="3"/>
      <c r="AB22" s="3"/>
      <c r="AC22" s="3"/>
      <c r="AD22" s="3"/>
      <c r="AE22" s="3"/>
      <c r="AF22" s="3"/>
      <c r="AG22" s="3"/>
      <c r="AH22" s="2"/>
      <c r="AI22" s="2"/>
      <c r="AJ22" s="2"/>
      <c r="AK22" s="2"/>
      <c r="AL22" s="2"/>
      <c r="AM22" s="2"/>
      <c r="AN22" s="2"/>
      <c r="AO22" s="2"/>
      <c r="AP22" s="3"/>
      <c r="AQ22" s="3"/>
      <c r="AR22" s="3"/>
      <c r="AS22" s="3"/>
      <c r="AT22" s="3"/>
      <c r="AU22" s="3"/>
      <c r="AV22" s="3"/>
      <c r="AW22" s="3"/>
      <c r="AX22" s="2"/>
      <c r="AY22" s="2"/>
      <c r="AZ22" s="2"/>
      <c r="BA22" s="2"/>
      <c r="BB22" s="2"/>
      <c r="BC22" s="2"/>
      <c r="BD22" s="2"/>
      <c r="BE22" s="2"/>
      <c r="BF22" s="3"/>
      <c r="BG22" s="3"/>
      <c r="BH22" s="3"/>
      <c r="BI22" s="3"/>
      <c r="BJ22" s="3"/>
      <c r="BK22" s="3"/>
      <c r="BL22" s="3"/>
      <c r="BM22" s="3"/>
    </row>
    <row r="23" spans="1:65" x14ac:dyDescent="0.2">
      <c r="A23" s="1">
        <v>18</v>
      </c>
      <c r="B23" s="2"/>
      <c r="C23" s="2"/>
      <c r="D23" s="2"/>
      <c r="E23" s="2"/>
      <c r="F23" s="2"/>
      <c r="G23" s="2"/>
      <c r="H23" s="2"/>
      <c r="I23" s="2"/>
      <c r="J23" s="3"/>
      <c r="K23" s="3"/>
      <c r="L23" s="3"/>
      <c r="M23" s="3"/>
      <c r="N23" s="3"/>
      <c r="O23" s="3"/>
      <c r="P23" s="3"/>
      <c r="Q23" s="3"/>
      <c r="R23" s="2"/>
      <c r="S23" s="2"/>
      <c r="T23" s="2"/>
      <c r="U23" s="2"/>
      <c r="V23" s="2"/>
      <c r="W23" s="2"/>
      <c r="X23" s="2"/>
      <c r="Y23" s="2"/>
      <c r="Z23" s="3"/>
      <c r="AA23" s="3"/>
      <c r="AB23" s="3"/>
      <c r="AC23" s="3"/>
      <c r="AD23" s="3"/>
      <c r="AE23" s="3"/>
      <c r="AF23" s="3"/>
      <c r="AG23" s="3"/>
      <c r="AH23" s="2"/>
      <c r="AI23" s="2"/>
      <c r="AJ23" s="2"/>
      <c r="AK23" s="2"/>
      <c r="AL23" s="2"/>
      <c r="AM23" s="2"/>
      <c r="AN23" s="2"/>
      <c r="AO23" s="2"/>
      <c r="AP23" s="3"/>
      <c r="AQ23" s="3"/>
      <c r="AR23" s="3"/>
      <c r="AS23" s="3"/>
      <c r="AT23" s="3"/>
      <c r="AU23" s="3"/>
      <c r="AV23" s="3"/>
      <c r="AW23" s="3"/>
      <c r="AX23" s="2"/>
      <c r="AY23" s="2"/>
      <c r="AZ23" s="2"/>
      <c r="BA23" s="2"/>
      <c r="BB23" s="2"/>
      <c r="BC23" s="2"/>
      <c r="BD23" s="2"/>
      <c r="BE23" s="2"/>
      <c r="BF23" s="3"/>
      <c r="BG23" s="3"/>
      <c r="BH23" s="3"/>
      <c r="BI23" s="3"/>
      <c r="BJ23" s="3"/>
      <c r="BK23" s="3"/>
      <c r="BL23" s="3"/>
      <c r="BM23" s="3"/>
    </row>
    <row r="24" spans="1:65" x14ac:dyDescent="0.2">
      <c r="A24" s="1">
        <v>19</v>
      </c>
      <c r="B24" s="2"/>
      <c r="C24" s="2"/>
      <c r="D24" s="2"/>
      <c r="E24" s="2"/>
      <c r="F24" s="2"/>
      <c r="G24" s="2"/>
      <c r="H24" s="2"/>
      <c r="I24" s="2"/>
      <c r="J24" s="3"/>
      <c r="K24" s="3"/>
      <c r="L24" s="3"/>
      <c r="M24" s="3"/>
      <c r="N24" s="3"/>
      <c r="O24" s="3"/>
      <c r="P24" s="3"/>
      <c r="Q24" s="3"/>
      <c r="R24" s="2"/>
      <c r="S24" s="2"/>
      <c r="T24" s="2"/>
      <c r="U24" s="2"/>
      <c r="V24" s="2"/>
      <c r="W24" s="2"/>
      <c r="X24" s="2"/>
      <c r="Y24" s="2"/>
      <c r="Z24" s="3"/>
      <c r="AA24" s="3"/>
      <c r="AB24" s="3"/>
      <c r="AC24" s="3"/>
      <c r="AD24" s="3"/>
      <c r="AE24" s="3"/>
      <c r="AF24" s="3"/>
      <c r="AG24" s="3"/>
      <c r="AH24" s="2"/>
      <c r="AI24" s="2"/>
      <c r="AJ24" s="2"/>
      <c r="AK24" s="2"/>
      <c r="AL24" s="2"/>
      <c r="AM24" s="2"/>
      <c r="AN24" s="2"/>
      <c r="AO24" s="2"/>
      <c r="AP24" s="3"/>
      <c r="AQ24" s="3"/>
      <c r="AR24" s="3"/>
      <c r="AS24" s="3"/>
      <c r="AT24" s="3"/>
      <c r="AU24" s="3"/>
      <c r="AV24" s="3"/>
      <c r="AW24" s="3"/>
      <c r="AX24" s="2"/>
      <c r="AY24" s="2"/>
      <c r="AZ24" s="2"/>
      <c r="BA24" s="2"/>
      <c r="BB24" s="2"/>
      <c r="BC24" s="2"/>
      <c r="BD24" s="2"/>
      <c r="BE24" s="2"/>
      <c r="BF24" s="3"/>
      <c r="BG24" s="3"/>
      <c r="BH24" s="3"/>
      <c r="BI24" s="3"/>
      <c r="BJ24" s="3"/>
      <c r="BK24" s="3"/>
      <c r="BL24" s="3"/>
      <c r="BM24" s="3"/>
    </row>
    <row r="25" spans="1:65" x14ac:dyDescent="0.2">
      <c r="A25" s="1">
        <v>20</v>
      </c>
      <c r="B25" s="2"/>
      <c r="C25" s="2"/>
      <c r="D25" s="2"/>
      <c r="E25" s="2"/>
      <c r="F25" s="2"/>
      <c r="G25" s="2"/>
      <c r="H25" s="2"/>
      <c r="I25" s="2"/>
      <c r="J25" s="3"/>
      <c r="K25" s="3"/>
      <c r="L25" s="3"/>
      <c r="M25" s="3"/>
      <c r="N25" s="3"/>
      <c r="O25" s="3"/>
      <c r="P25" s="3"/>
      <c r="Q25" s="3"/>
      <c r="R25" s="2"/>
      <c r="S25" s="2"/>
      <c r="T25" s="2"/>
      <c r="U25" s="2"/>
      <c r="V25" s="2"/>
      <c r="W25" s="2"/>
      <c r="X25" s="2"/>
      <c r="Y25" s="2"/>
      <c r="Z25" s="3"/>
      <c r="AA25" s="3"/>
      <c r="AB25" s="3"/>
      <c r="AC25" s="3"/>
      <c r="AD25" s="3"/>
      <c r="AE25" s="3"/>
      <c r="AF25" s="3"/>
      <c r="AG25" s="3"/>
      <c r="AH25" s="2"/>
      <c r="AI25" s="2"/>
      <c r="AJ25" s="2"/>
      <c r="AK25" s="2"/>
      <c r="AL25" s="2"/>
      <c r="AM25" s="2"/>
      <c r="AN25" s="2"/>
      <c r="AO25" s="2"/>
      <c r="AP25" s="3"/>
      <c r="AQ25" s="3"/>
      <c r="AR25" s="3"/>
      <c r="AS25" s="3"/>
      <c r="AT25" s="3"/>
      <c r="AU25" s="3"/>
      <c r="AV25" s="3"/>
      <c r="AW25" s="3"/>
      <c r="AX25" s="2"/>
      <c r="AY25" s="2"/>
      <c r="AZ25" s="2"/>
      <c r="BA25" s="2"/>
      <c r="BB25" s="2"/>
      <c r="BC25" s="2"/>
      <c r="BD25" s="2"/>
      <c r="BE25" s="2"/>
      <c r="BF25" s="3"/>
      <c r="BG25" s="3"/>
      <c r="BH25" s="3"/>
      <c r="BI25" s="3"/>
      <c r="BJ25" s="3"/>
      <c r="BK25" s="3"/>
      <c r="BL25" s="3"/>
      <c r="BM25" s="3"/>
    </row>
    <row r="26" spans="1:65" x14ac:dyDescent="0.2">
      <c r="A26" s="1">
        <v>21</v>
      </c>
      <c r="B26" s="2"/>
      <c r="C26" s="2"/>
      <c r="D26" s="2"/>
      <c r="E26" s="2"/>
      <c r="F26" s="2"/>
      <c r="G26" s="2"/>
      <c r="H26" s="2"/>
      <c r="I26" s="2"/>
      <c r="J26" s="3"/>
      <c r="K26" s="3"/>
      <c r="L26" s="3"/>
      <c r="M26" s="3"/>
      <c r="N26" s="3"/>
      <c r="O26" s="3"/>
      <c r="P26" s="3"/>
      <c r="Q26" s="3"/>
      <c r="R26" s="2"/>
      <c r="S26" s="2"/>
      <c r="T26" s="2"/>
      <c r="U26" s="2"/>
      <c r="V26" s="2"/>
      <c r="W26" s="2"/>
      <c r="X26" s="2"/>
      <c r="Y26" s="2"/>
      <c r="Z26" s="3"/>
      <c r="AA26" s="3"/>
      <c r="AB26" s="3"/>
      <c r="AC26" s="3"/>
      <c r="AD26" s="3"/>
      <c r="AE26" s="3"/>
      <c r="AF26" s="3"/>
      <c r="AG26" s="3"/>
      <c r="AH26" s="2"/>
      <c r="AI26" s="2"/>
      <c r="AJ26" s="2"/>
      <c r="AK26" s="2"/>
      <c r="AL26" s="2"/>
      <c r="AM26" s="2"/>
      <c r="AN26" s="2"/>
      <c r="AO26" s="2"/>
      <c r="AP26" s="3"/>
      <c r="AQ26" s="3"/>
      <c r="AR26" s="3"/>
      <c r="AS26" s="3"/>
      <c r="AT26" s="3"/>
      <c r="AU26" s="3"/>
      <c r="AV26" s="3"/>
      <c r="AW26" s="3"/>
      <c r="AX26" s="2"/>
      <c r="AY26" s="2"/>
      <c r="AZ26" s="2"/>
      <c r="BA26" s="2"/>
      <c r="BB26" s="2"/>
      <c r="BC26" s="2"/>
      <c r="BD26" s="2"/>
      <c r="BE26" s="2"/>
      <c r="BF26" s="3"/>
      <c r="BG26" s="3"/>
      <c r="BH26" s="3"/>
      <c r="BI26" s="3"/>
      <c r="BJ26" s="3"/>
      <c r="BK26" s="3"/>
      <c r="BL26" s="3"/>
      <c r="BM26" s="3"/>
    </row>
    <row r="27" spans="1:65" x14ac:dyDescent="0.2">
      <c r="A27" s="1">
        <v>22</v>
      </c>
      <c r="B27" s="2"/>
      <c r="C27" s="2"/>
      <c r="D27" s="2"/>
      <c r="E27" s="2"/>
      <c r="F27" s="2"/>
      <c r="G27" s="2"/>
      <c r="H27" s="2"/>
      <c r="I27" s="2"/>
      <c r="J27" s="3"/>
      <c r="K27" s="3"/>
      <c r="L27" s="3"/>
      <c r="M27" s="3"/>
      <c r="N27" s="3"/>
      <c r="O27" s="3"/>
      <c r="P27" s="3"/>
      <c r="Q27" s="3"/>
      <c r="R27" s="2"/>
      <c r="S27" s="2"/>
      <c r="T27" s="2"/>
      <c r="U27" s="2"/>
      <c r="V27" s="2"/>
      <c r="W27" s="2"/>
      <c r="X27" s="2"/>
      <c r="Y27" s="2"/>
      <c r="Z27" s="3"/>
      <c r="AA27" s="3"/>
      <c r="AB27" s="3"/>
      <c r="AC27" s="3"/>
      <c r="AD27" s="3"/>
      <c r="AE27" s="3"/>
      <c r="AF27" s="3"/>
      <c r="AG27" s="3"/>
      <c r="AH27" s="2"/>
      <c r="AI27" s="2"/>
      <c r="AJ27" s="2"/>
      <c r="AK27" s="2"/>
      <c r="AL27" s="2"/>
      <c r="AM27" s="2"/>
      <c r="AN27" s="2"/>
      <c r="AO27" s="2"/>
      <c r="AP27" s="3"/>
      <c r="AQ27" s="3"/>
      <c r="AR27" s="3"/>
      <c r="AS27" s="3"/>
      <c r="AT27" s="3"/>
      <c r="AU27" s="3"/>
      <c r="AV27" s="3"/>
      <c r="AW27" s="3"/>
      <c r="AX27" s="2"/>
      <c r="AY27" s="2"/>
      <c r="AZ27" s="2"/>
      <c r="BA27" s="2"/>
      <c r="BB27" s="2"/>
      <c r="BC27" s="2"/>
      <c r="BD27" s="2"/>
      <c r="BE27" s="2"/>
      <c r="BF27" s="3"/>
      <c r="BG27" s="3"/>
      <c r="BH27" s="3"/>
      <c r="BI27" s="3"/>
      <c r="BJ27" s="3"/>
      <c r="BK27" s="3"/>
      <c r="BL27" s="3"/>
      <c r="BM27" s="3"/>
    </row>
    <row r="28" spans="1:65" x14ac:dyDescent="0.2">
      <c r="A28" s="1">
        <v>23</v>
      </c>
      <c r="B28" s="2"/>
      <c r="C28" s="2"/>
      <c r="D28" s="2"/>
      <c r="E28" s="2"/>
      <c r="F28" s="2"/>
      <c r="G28" s="2"/>
      <c r="H28" s="2"/>
      <c r="I28" s="2"/>
      <c r="J28" s="3"/>
      <c r="K28" s="3"/>
      <c r="L28" s="3"/>
      <c r="M28" s="3"/>
      <c r="N28" s="3"/>
      <c r="O28" s="3"/>
      <c r="P28" s="3"/>
      <c r="Q28" s="3"/>
      <c r="R28" s="2"/>
      <c r="S28" s="2"/>
      <c r="T28" s="2"/>
      <c r="U28" s="2"/>
      <c r="V28" s="2"/>
      <c r="W28" s="2"/>
      <c r="X28" s="2"/>
      <c r="Y28" s="2"/>
      <c r="Z28" s="3"/>
      <c r="AA28" s="3"/>
      <c r="AB28" s="3"/>
      <c r="AC28" s="3"/>
      <c r="AD28" s="3"/>
      <c r="AE28" s="3"/>
      <c r="AF28" s="3"/>
      <c r="AG28" s="3"/>
      <c r="AH28" s="2"/>
      <c r="AI28" s="2"/>
      <c r="AJ28" s="2"/>
      <c r="AK28" s="2"/>
      <c r="AL28" s="2"/>
      <c r="AM28" s="2"/>
      <c r="AN28" s="2"/>
      <c r="AO28" s="2"/>
      <c r="AP28" s="3"/>
      <c r="AQ28" s="3"/>
      <c r="AR28" s="3"/>
      <c r="AS28" s="3"/>
      <c r="AT28" s="3"/>
      <c r="AU28" s="3"/>
      <c r="AV28" s="3"/>
      <c r="AW28" s="3"/>
      <c r="AX28" s="2"/>
      <c r="AY28" s="2"/>
      <c r="AZ28" s="2"/>
      <c r="BA28" s="2"/>
      <c r="BB28" s="2"/>
      <c r="BC28" s="2"/>
      <c r="BD28" s="2"/>
      <c r="BE28" s="2"/>
      <c r="BF28" s="3"/>
      <c r="BG28" s="3"/>
      <c r="BH28" s="3"/>
      <c r="BI28" s="3"/>
      <c r="BJ28" s="3"/>
      <c r="BK28" s="3"/>
      <c r="BL28" s="3"/>
      <c r="BM28" s="3"/>
    </row>
    <row r="30" spans="1:65" x14ac:dyDescent="0.2">
      <c r="B30" s="8" t="s">
        <v>260</v>
      </c>
    </row>
    <row r="31" spans="1:65" x14ac:dyDescent="0.2">
      <c r="B31">
        <v>0</v>
      </c>
      <c r="C31">
        <v>0</v>
      </c>
      <c r="D31">
        <v>0</v>
      </c>
      <c r="E31">
        <v>0</v>
      </c>
      <c r="F31">
        <v>0</v>
      </c>
      <c r="G31">
        <v>0</v>
      </c>
      <c r="H31">
        <v>0</v>
      </c>
      <c r="I31">
        <v>0</v>
      </c>
      <c r="R31">
        <v>0</v>
      </c>
      <c r="S31">
        <v>0</v>
      </c>
      <c r="T31">
        <v>0</v>
      </c>
      <c r="U31">
        <v>0</v>
      </c>
      <c r="V31">
        <v>0</v>
      </c>
      <c r="W31">
        <v>0</v>
      </c>
      <c r="X31">
        <v>0</v>
      </c>
      <c r="Y31">
        <v>0</v>
      </c>
      <c r="AH31">
        <v>0</v>
      </c>
      <c r="AI31">
        <v>0</v>
      </c>
      <c r="AJ31">
        <v>0</v>
      </c>
      <c r="AK31">
        <v>0</v>
      </c>
      <c r="AL31">
        <v>0</v>
      </c>
      <c r="AM31">
        <v>0</v>
      </c>
      <c r="AN31">
        <v>0</v>
      </c>
      <c r="AO31">
        <v>0</v>
      </c>
      <c r="AX31">
        <v>0</v>
      </c>
      <c r="AY31">
        <v>0</v>
      </c>
      <c r="AZ31">
        <v>0</v>
      </c>
      <c r="BA31">
        <v>0</v>
      </c>
      <c r="BB31">
        <v>0</v>
      </c>
      <c r="BC31">
        <v>0</v>
      </c>
      <c r="BD31">
        <v>0</v>
      </c>
      <c r="BE31">
        <v>0</v>
      </c>
    </row>
    <row r="32" spans="1:65" x14ac:dyDescent="0.2">
      <c r="B32">
        <v>0</v>
      </c>
      <c r="C32">
        <v>0</v>
      </c>
      <c r="D32">
        <v>0</v>
      </c>
      <c r="E32">
        <v>5</v>
      </c>
      <c r="F32">
        <v>5</v>
      </c>
      <c r="G32">
        <v>0</v>
      </c>
      <c r="H32">
        <v>5</v>
      </c>
      <c r="I32">
        <v>0</v>
      </c>
      <c r="R32">
        <v>0</v>
      </c>
      <c r="S32">
        <v>0</v>
      </c>
      <c r="T32">
        <v>0</v>
      </c>
      <c r="U32">
        <v>-5</v>
      </c>
      <c r="V32">
        <v>-5</v>
      </c>
      <c r="W32">
        <v>0</v>
      </c>
      <c r="X32">
        <v>5</v>
      </c>
      <c r="Y32">
        <v>0</v>
      </c>
      <c r="AH32">
        <v>0</v>
      </c>
      <c r="AI32">
        <v>0</v>
      </c>
      <c r="AJ32">
        <v>0</v>
      </c>
      <c r="AK32">
        <v>5</v>
      </c>
      <c r="AL32">
        <v>5</v>
      </c>
      <c r="AM32">
        <v>0</v>
      </c>
      <c r="AN32">
        <v>-5</v>
      </c>
      <c r="AO32">
        <v>0</v>
      </c>
      <c r="AX32">
        <v>0</v>
      </c>
      <c r="AY32">
        <v>0</v>
      </c>
      <c r="AZ32">
        <v>0</v>
      </c>
      <c r="BA32">
        <v>-5</v>
      </c>
      <c r="BB32">
        <v>-5</v>
      </c>
      <c r="BC32">
        <v>0</v>
      </c>
      <c r="BD32">
        <v>-5</v>
      </c>
      <c r="BE32">
        <v>0</v>
      </c>
    </row>
    <row r="33" spans="2:57" x14ac:dyDescent="0.2">
      <c r="B33">
        <v>0</v>
      </c>
      <c r="C33">
        <v>0</v>
      </c>
      <c r="D33">
        <v>0</v>
      </c>
      <c r="E33">
        <v>0</v>
      </c>
      <c r="F33">
        <v>0</v>
      </c>
      <c r="G33">
        <v>0</v>
      </c>
      <c r="H33">
        <v>0</v>
      </c>
      <c r="I33">
        <v>0</v>
      </c>
      <c r="R33">
        <v>0</v>
      </c>
      <c r="S33">
        <v>0</v>
      </c>
      <c r="T33">
        <v>0</v>
      </c>
      <c r="U33">
        <v>0</v>
      </c>
      <c r="V33">
        <v>0</v>
      </c>
      <c r="W33">
        <v>0</v>
      </c>
      <c r="X33">
        <v>0</v>
      </c>
      <c r="Y33">
        <v>0</v>
      </c>
      <c r="AH33">
        <v>0</v>
      </c>
      <c r="AI33">
        <v>0</v>
      </c>
      <c r="AJ33">
        <v>0</v>
      </c>
      <c r="AK33">
        <v>0</v>
      </c>
      <c r="AL33">
        <v>0</v>
      </c>
      <c r="AM33">
        <v>0</v>
      </c>
      <c r="AN33">
        <v>0</v>
      </c>
      <c r="AO33">
        <v>0</v>
      </c>
      <c r="AX33">
        <v>0</v>
      </c>
      <c r="AY33">
        <v>0</v>
      </c>
      <c r="AZ33">
        <v>0</v>
      </c>
      <c r="BA33">
        <v>0</v>
      </c>
      <c r="BB33">
        <v>0</v>
      </c>
      <c r="BC33">
        <v>0</v>
      </c>
      <c r="BD33">
        <v>0</v>
      </c>
      <c r="BE33">
        <v>0</v>
      </c>
    </row>
    <row r="34" spans="2:57" x14ac:dyDescent="0.2">
      <c r="B34">
        <v>0</v>
      </c>
      <c r="C34">
        <v>0</v>
      </c>
      <c r="D34">
        <v>0</v>
      </c>
      <c r="E34">
        <v>5</v>
      </c>
      <c r="F34">
        <v>5</v>
      </c>
      <c r="G34">
        <v>0</v>
      </c>
      <c r="H34">
        <v>5</v>
      </c>
      <c r="I34">
        <v>0</v>
      </c>
      <c r="R34">
        <v>0</v>
      </c>
      <c r="S34">
        <v>0</v>
      </c>
      <c r="T34">
        <v>0</v>
      </c>
      <c r="U34">
        <v>-5</v>
      </c>
      <c r="V34">
        <v>-5</v>
      </c>
      <c r="W34">
        <v>0</v>
      </c>
      <c r="X34">
        <v>5</v>
      </c>
      <c r="Y34">
        <v>0</v>
      </c>
      <c r="AH34">
        <v>0</v>
      </c>
      <c r="AI34">
        <v>0</v>
      </c>
      <c r="AJ34">
        <v>0</v>
      </c>
      <c r="AK34">
        <v>5</v>
      </c>
      <c r="AL34">
        <v>5</v>
      </c>
      <c r="AM34">
        <v>0</v>
      </c>
      <c r="AN34">
        <v>-5</v>
      </c>
      <c r="AO34">
        <v>0</v>
      </c>
      <c r="AX34">
        <v>0</v>
      </c>
      <c r="AY34">
        <v>0</v>
      </c>
      <c r="AZ34">
        <v>0</v>
      </c>
      <c r="BA34">
        <v>-5</v>
      </c>
      <c r="BB34">
        <v>-5</v>
      </c>
      <c r="BC34">
        <v>0</v>
      </c>
      <c r="BD34">
        <v>-5</v>
      </c>
      <c r="BE34">
        <v>0</v>
      </c>
    </row>
    <row r="41" spans="2:57" x14ac:dyDescent="0.2">
      <c r="H41" s="8" t="s">
        <v>271</v>
      </c>
      <c r="I41">
        <f>SUM(B2:BM2)</f>
        <v>1</v>
      </c>
    </row>
    <row r="42" spans="2:57" x14ac:dyDescent="0.2">
      <c r="B42" s="8" t="s">
        <v>75</v>
      </c>
    </row>
    <row r="43" spans="2:57" x14ac:dyDescent="0.2">
      <c r="B43" s="2">
        <v>10</v>
      </c>
      <c r="C43" s="2">
        <v>10</v>
      </c>
      <c r="D43" s="2">
        <v>10</v>
      </c>
      <c r="E43" s="2">
        <v>40</v>
      </c>
      <c r="F43" s="2">
        <v>40</v>
      </c>
      <c r="G43" s="2">
        <v>40</v>
      </c>
      <c r="H43" s="2">
        <v>40</v>
      </c>
      <c r="I43" s="2">
        <v>20</v>
      </c>
      <c r="K43">
        <f>SUM(B43:I43)</f>
        <v>210</v>
      </c>
    </row>
    <row r="44" spans="2:57" x14ac:dyDescent="0.2">
      <c r="B44" s="2">
        <v>10</v>
      </c>
      <c r="C44" s="2">
        <v>10</v>
      </c>
      <c r="D44" s="2">
        <v>10</v>
      </c>
      <c r="E44" s="2">
        <v>45</v>
      </c>
      <c r="F44" s="2">
        <v>45</v>
      </c>
      <c r="G44" s="2">
        <v>40</v>
      </c>
      <c r="H44" s="2">
        <v>45</v>
      </c>
      <c r="I44" s="2">
        <v>20</v>
      </c>
      <c r="K44">
        <f t="shared" ref="K44:K46" si="17">SUM(B44:I44)</f>
        <v>225</v>
      </c>
    </row>
    <row r="45" spans="2:57" x14ac:dyDescent="0.2">
      <c r="B45" s="2">
        <v>10</v>
      </c>
      <c r="C45" s="2">
        <v>10</v>
      </c>
      <c r="D45" s="2">
        <v>10</v>
      </c>
      <c r="E45" s="2">
        <v>40</v>
      </c>
      <c r="F45" s="2">
        <v>40</v>
      </c>
      <c r="G45" s="2">
        <v>40</v>
      </c>
      <c r="H45" s="2">
        <v>35</v>
      </c>
      <c r="I45" s="2">
        <v>20</v>
      </c>
      <c r="K45">
        <f t="shared" si="17"/>
        <v>205</v>
      </c>
    </row>
    <row r="46" spans="2:57" x14ac:dyDescent="0.2">
      <c r="B46" s="2">
        <v>10</v>
      </c>
      <c r="C46" s="2">
        <v>10</v>
      </c>
      <c r="D46" s="2">
        <v>10</v>
      </c>
      <c r="E46" s="2">
        <v>45</v>
      </c>
      <c r="F46" s="2">
        <v>45</v>
      </c>
      <c r="G46" s="2">
        <v>40</v>
      </c>
      <c r="H46" s="2">
        <v>40</v>
      </c>
      <c r="I46" s="2">
        <v>20</v>
      </c>
      <c r="K46">
        <f t="shared" si="17"/>
        <v>220</v>
      </c>
    </row>
    <row r="47" spans="2:57" x14ac:dyDescent="0.2">
      <c r="G47" s="25"/>
      <c r="H47" s="25"/>
    </row>
    <row r="49" spans="2:6" x14ac:dyDescent="0.2">
      <c r="B49" s="8" t="s">
        <v>261</v>
      </c>
    </row>
    <row r="50" spans="2:6" x14ac:dyDescent="0.2">
      <c r="B50" t="s">
        <v>252</v>
      </c>
      <c r="C50" t="s">
        <v>253</v>
      </c>
      <c r="D50" t="s">
        <v>254</v>
      </c>
      <c r="E50" t="s">
        <v>255</v>
      </c>
      <c r="F50" t="s">
        <v>256</v>
      </c>
    </row>
    <row r="51" spans="2:6" x14ac:dyDescent="0.2">
      <c r="B51" s="26">
        <v>30</v>
      </c>
      <c r="C51" s="26">
        <v>80</v>
      </c>
      <c r="D51" s="26">
        <v>40</v>
      </c>
      <c r="E51" s="26">
        <v>40</v>
      </c>
    </row>
    <row r="52" spans="2:6" x14ac:dyDescent="0.2">
      <c r="B52" s="26">
        <v>30</v>
      </c>
      <c r="C52" s="26">
        <v>90</v>
      </c>
      <c r="D52" s="26">
        <v>40</v>
      </c>
      <c r="E52" s="26">
        <v>45</v>
      </c>
    </row>
    <row r="53" spans="2:6" x14ac:dyDescent="0.2">
      <c r="B53" s="26">
        <v>30</v>
      </c>
      <c r="C53" s="26">
        <v>80</v>
      </c>
      <c r="D53" s="26">
        <v>40</v>
      </c>
      <c r="E53" s="26">
        <v>35</v>
      </c>
    </row>
    <row r="54" spans="2:6" x14ac:dyDescent="0.2">
      <c r="B54" s="26">
        <v>30</v>
      </c>
      <c r="C54" s="26">
        <v>90</v>
      </c>
      <c r="D54" s="26">
        <v>40</v>
      </c>
      <c r="E54" s="26">
        <v>40</v>
      </c>
    </row>
  </sheetData>
  <mergeCells count="16">
    <mergeCell ref="B3:I3"/>
    <mergeCell ref="J3:Q3"/>
    <mergeCell ref="B1:Q1"/>
    <mergeCell ref="B2:Q2"/>
    <mergeCell ref="R1:AG1"/>
    <mergeCell ref="R2:AG2"/>
    <mergeCell ref="R3:Y3"/>
    <mergeCell ref="Z3:AG3"/>
    <mergeCell ref="AH1:AW1"/>
    <mergeCell ref="AH2:AW2"/>
    <mergeCell ref="AH3:AO3"/>
    <mergeCell ref="AP3:AW3"/>
    <mergeCell ref="AX1:BM1"/>
    <mergeCell ref="AX2:BM2"/>
    <mergeCell ref="AX3:BE3"/>
    <mergeCell ref="BF3:BM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7506CF-850A-ED42-956F-025E5A994524}">
  <dimension ref="A1:IW33"/>
  <sheetViews>
    <sheetView zoomScale="113" zoomScaleNormal="150" workbookViewId="0">
      <selection activeCell="E48" sqref="E48"/>
    </sheetView>
  </sheetViews>
  <sheetFormatPr baseColWidth="10" defaultRowHeight="16" x14ac:dyDescent="0.2"/>
  <cols>
    <col min="1" max="1" width="19" bestFit="1" customWidth="1"/>
    <col min="2" max="2" width="11.33203125" bestFit="1" customWidth="1"/>
    <col min="3" max="3" width="16" bestFit="1" customWidth="1"/>
  </cols>
  <sheetData>
    <row r="1" spans="1:257" x14ac:dyDescent="0.2">
      <c r="A1" s="4" t="s">
        <v>34</v>
      </c>
      <c r="B1" s="33">
        <v>18</v>
      </c>
      <c r="C1" s="33"/>
      <c r="D1" s="33"/>
      <c r="E1" s="33"/>
      <c r="F1" s="33"/>
      <c r="G1" s="33"/>
      <c r="H1" s="33"/>
      <c r="I1" s="33"/>
      <c r="J1" s="33"/>
      <c r="K1" s="33"/>
      <c r="L1" s="33"/>
      <c r="M1" s="33"/>
      <c r="N1" s="33"/>
      <c r="O1" s="33"/>
      <c r="P1" s="33"/>
      <c r="Q1" s="33"/>
      <c r="R1" s="33">
        <f>B1+Parameters!$B$5</f>
        <v>22</v>
      </c>
      <c r="S1" s="33"/>
      <c r="T1" s="33"/>
      <c r="U1" s="33"/>
      <c r="V1" s="33"/>
      <c r="W1" s="33"/>
      <c r="X1" s="33"/>
      <c r="Y1" s="33"/>
      <c r="Z1" s="33"/>
      <c r="AA1" s="33"/>
      <c r="AB1" s="33"/>
      <c r="AC1" s="33"/>
      <c r="AD1" s="33"/>
      <c r="AE1" s="33"/>
      <c r="AF1" s="33"/>
      <c r="AG1" s="33"/>
      <c r="AH1" s="33">
        <f>R1+Parameters!$B$5</f>
        <v>26</v>
      </c>
      <c r="AI1" s="33"/>
      <c r="AJ1" s="33"/>
      <c r="AK1" s="33"/>
      <c r="AL1" s="33"/>
      <c r="AM1" s="33"/>
      <c r="AN1" s="33"/>
      <c r="AO1" s="33"/>
      <c r="AP1" s="33"/>
      <c r="AQ1" s="33"/>
      <c r="AR1" s="33"/>
      <c r="AS1" s="33"/>
      <c r="AT1" s="33"/>
      <c r="AU1" s="33"/>
      <c r="AV1" s="33"/>
      <c r="AW1" s="33"/>
      <c r="AX1" s="33">
        <f>AH1+Parameters!$B$5</f>
        <v>30</v>
      </c>
      <c r="AY1" s="33"/>
      <c r="AZ1" s="33"/>
      <c r="BA1" s="33"/>
      <c r="BB1" s="33"/>
      <c r="BC1" s="33"/>
      <c r="BD1" s="33"/>
      <c r="BE1" s="33"/>
      <c r="BF1" s="33"/>
      <c r="BG1" s="33"/>
      <c r="BH1" s="33"/>
      <c r="BI1" s="33"/>
      <c r="BJ1" s="33"/>
      <c r="BK1" s="33"/>
      <c r="BL1" s="33"/>
      <c r="BM1" s="33"/>
      <c r="BN1" s="33">
        <f>AX1+Parameters!$B$5</f>
        <v>34</v>
      </c>
      <c r="BO1" s="33"/>
      <c r="BP1" s="33"/>
      <c r="BQ1" s="33"/>
      <c r="BR1" s="33"/>
      <c r="BS1" s="33"/>
      <c r="BT1" s="33"/>
      <c r="BU1" s="33"/>
      <c r="BV1" s="33"/>
      <c r="BW1" s="33"/>
      <c r="BX1" s="33"/>
      <c r="BY1" s="33"/>
      <c r="BZ1" s="33"/>
      <c r="CA1" s="33"/>
      <c r="CB1" s="33"/>
      <c r="CC1" s="33"/>
      <c r="CD1" s="33">
        <f>BN1+Parameters!$B$5</f>
        <v>38</v>
      </c>
      <c r="CE1" s="33"/>
      <c r="CF1" s="33"/>
      <c r="CG1" s="33"/>
      <c r="CH1" s="33"/>
      <c r="CI1" s="33"/>
      <c r="CJ1" s="33"/>
      <c r="CK1" s="33"/>
      <c r="CL1" s="33"/>
      <c r="CM1" s="33"/>
      <c r="CN1" s="33"/>
      <c r="CO1" s="33"/>
      <c r="CP1" s="33"/>
      <c r="CQ1" s="33"/>
      <c r="CR1" s="33"/>
      <c r="CS1" s="33"/>
      <c r="CT1" s="33">
        <f>CD1+Parameters!$B$5</f>
        <v>42</v>
      </c>
      <c r="CU1" s="33"/>
      <c r="CV1" s="33"/>
      <c r="CW1" s="33"/>
      <c r="CX1" s="33"/>
      <c r="CY1" s="33"/>
      <c r="CZ1" s="33"/>
      <c r="DA1" s="33"/>
      <c r="DB1" s="33"/>
      <c r="DC1" s="33"/>
      <c r="DD1" s="33"/>
      <c r="DE1" s="33"/>
      <c r="DF1" s="33"/>
      <c r="DG1" s="33"/>
      <c r="DH1" s="33"/>
      <c r="DI1" s="33"/>
      <c r="DJ1" s="33">
        <f>CT1+Parameters!$B$5</f>
        <v>46</v>
      </c>
      <c r="DK1" s="33"/>
      <c r="DL1" s="33"/>
      <c r="DM1" s="33"/>
      <c r="DN1" s="33"/>
      <c r="DO1" s="33"/>
      <c r="DP1" s="33"/>
      <c r="DQ1" s="33"/>
      <c r="DR1" s="33"/>
      <c r="DS1" s="33"/>
      <c r="DT1" s="33"/>
      <c r="DU1" s="33"/>
      <c r="DV1" s="33"/>
      <c r="DW1" s="33"/>
      <c r="DX1" s="33"/>
      <c r="DY1" s="33"/>
      <c r="DZ1" s="33">
        <f>DJ1+Parameters!$B$5</f>
        <v>50</v>
      </c>
      <c r="EA1" s="33"/>
      <c r="EB1" s="33"/>
      <c r="EC1" s="33"/>
      <c r="ED1" s="33"/>
      <c r="EE1" s="33"/>
      <c r="EF1" s="33"/>
      <c r="EG1" s="33"/>
      <c r="EH1" s="33"/>
      <c r="EI1" s="33"/>
      <c r="EJ1" s="33"/>
      <c r="EK1" s="33"/>
      <c r="EL1" s="33"/>
      <c r="EM1" s="33"/>
      <c r="EN1" s="33"/>
      <c r="EO1" s="33"/>
      <c r="EP1" s="33">
        <f>DZ1+Parameters!$B$5</f>
        <v>54</v>
      </c>
      <c r="EQ1" s="33"/>
      <c r="ER1" s="33"/>
      <c r="ES1" s="33"/>
      <c r="ET1" s="33"/>
      <c r="EU1" s="33"/>
      <c r="EV1" s="33"/>
      <c r="EW1" s="33"/>
      <c r="EX1" s="33"/>
      <c r="EY1" s="33"/>
      <c r="EZ1" s="33"/>
      <c r="FA1" s="33"/>
      <c r="FB1" s="33"/>
      <c r="FC1" s="33"/>
      <c r="FD1" s="33"/>
      <c r="FE1" s="33"/>
      <c r="FF1" s="33">
        <f>EP1+Parameters!$B$5</f>
        <v>58</v>
      </c>
      <c r="FG1" s="33"/>
      <c r="FH1" s="33"/>
      <c r="FI1" s="33"/>
      <c r="FJ1" s="33"/>
      <c r="FK1" s="33"/>
      <c r="FL1" s="33"/>
      <c r="FM1" s="33"/>
      <c r="FN1" s="33"/>
      <c r="FO1" s="33"/>
      <c r="FP1" s="33"/>
      <c r="FQ1" s="33"/>
      <c r="FR1" s="33"/>
      <c r="FS1" s="33"/>
      <c r="FT1" s="33"/>
      <c r="FU1" s="33"/>
      <c r="FV1" s="33">
        <f>FF1+Parameters!$B$5</f>
        <v>62</v>
      </c>
      <c r="FW1" s="33"/>
      <c r="FX1" s="33"/>
      <c r="FY1" s="33"/>
      <c r="FZ1" s="33"/>
      <c r="GA1" s="33"/>
      <c r="GB1" s="33"/>
      <c r="GC1" s="33"/>
      <c r="GD1" s="33"/>
      <c r="GE1" s="33"/>
      <c r="GF1" s="33"/>
      <c r="GG1" s="33"/>
      <c r="GH1" s="33"/>
      <c r="GI1" s="33"/>
      <c r="GJ1" s="33"/>
      <c r="GK1" s="33"/>
      <c r="GL1" s="33">
        <f>FV1+Parameters!$B$5</f>
        <v>66</v>
      </c>
      <c r="GM1" s="33"/>
      <c r="GN1" s="33"/>
      <c r="GO1" s="33"/>
      <c r="GP1" s="33"/>
      <c r="GQ1" s="33"/>
      <c r="GR1" s="33"/>
      <c r="GS1" s="33"/>
      <c r="GT1" s="33"/>
      <c r="GU1" s="33"/>
      <c r="GV1" s="33"/>
      <c r="GW1" s="33"/>
      <c r="GX1" s="33"/>
      <c r="GY1" s="33"/>
      <c r="GZ1" s="33"/>
      <c r="HA1" s="33"/>
      <c r="HB1" s="33">
        <f>GL1+Parameters!$B$5</f>
        <v>70</v>
      </c>
      <c r="HC1" s="33"/>
      <c r="HD1" s="33"/>
      <c r="HE1" s="33"/>
      <c r="HF1" s="33"/>
      <c r="HG1" s="33"/>
      <c r="HH1" s="33"/>
      <c r="HI1" s="33"/>
      <c r="HJ1" s="33"/>
      <c r="HK1" s="33"/>
      <c r="HL1" s="33"/>
      <c r="HM1" s="33"/>
      <c r="HN1" s="33"/>
      <c r="HO1" s="33"/>
      <c r="HP1" s="33"/>
      <c r="HQ1" s="33"/>
      <c r="HR1" s="33">
        <f>HB1+Parameters!$B$5</f>
        <v>74</v>
      </c>
      <c r="HS1" s="33"/>
      <c r="HT1" s="33"/>
      <c r="HU1" s="33"/>
      <c r="HV1" s="33"/>
      <c r="HW1" s="33"/>
      <c r="HX1" s="33"/>
      <c r="HY1" s="33"/>
      <c r="HZ1" s="33"/>
      <c r="IA1" s="33"/>
      <c r="IB1" s="33"/>
      <c r="IC1" s="33"/>
      <c r="ID1" s="33"/>
      <c r="IE1" s="33"/>
      <c r="IF1" s="33"/>
      <c r="IG1" s="33"/>
      <c r="IH1" s="33">
        <f>HR1+Parameters!$B$5</f>
        <v>78</v>
      </c>
      <c r="II1" s="33"/>
      <c r="IJ1" s="33"/>
      <c r="IK1" s="33"/>
      <c r="IL1" s="33"/>
      <c r="IM1" s="33"/>
      <c r="IN1" s="33"/>
      <c r="IO1" s="33"/>
      <c r="IP1" s="33"/>
      <c r="IQ1" s="33"/>
      <c r="IR1" s="33"/>
      <c r="IS1" s="33"/>
      <c r="IT1" s="33"/>
      <c r="IU1" s="33"/>
      <c r="IV1" s="33"/>
      <c r="IW1" s="33"/>
    </row>
    <row r="2" spans="1:257" x14ac:dyDescent="0.2">
      <c r="A2" s="4" t="s">
        <v>27</v>
      </c>
      <c r="B2" s="33">
        <f>1/16</f>
        <v>6.25E-2</v>
      </c>
      <c r="C2" s="33"/>
      <c r="D2" s="33"/>
      <c r="E2" s="33"/>
      <c r="F2" s="33"/>
      <c r="G2" s="33"/>
      <c r="H2" s="33"/>
      <c r="I2" s="33"/>
      <c r="J2" s="33"/>
      <c r="K2" s="33"/>
      <c r="L2" s="33"/>
      <c r="M2" s="33"/>
      <c r="N2" s="33"/>
      <c r="O2" s="33"/>
      <c r="P2" s="33"/>
      <c r="Q2" s="33"/>
      <c r="R2" s="33">
        <f>B2</f>
        <v>6.25E-2</v>
      </c>
      <c r="S2" s="33"/>
      <c r="T2" s="33"/>
      <c r="U2" s="33"/>
      <c r="V2" s="33"/>
      <c r="W2" s="33"/>
      <c r="X2" s="33"/>
      <c r="Y2" s="33"/>
      <c r="Z2" s="33"/>
      <c r="AA2" s="33"/>
      <c r="AB2" s="33"/>
      <c r="AC2" s="33"/>
      <c r="AD2" s="33"/>
      <c r="AE2" s="33"/>
      <c r="AF2" s="33"/>
      <c r="AG2" s="33"/>
      <c r="AH2" s="33">
        <f t="shared" ref="AH2" si="0">R2</f>
        <v>6.25E-2</v>
      </c>
      <c r="AI2" s="33"/>
      <c r="AJ2" s="33"/>
      <c r="AK2" s="33"/>
      <c r="AL2" s="33"/>
      <c r="AM2" s="33"/>
      <c r="AN2" s="33"/>
      <c r="AO2" s="33"/>
      <c r="AP2" s="33"/>
      <c r="AQ2" s="33"/>
      <c r="AR2" s="33"/>
      <c r="AS2" s="33"/>
      <c r="AT2" s="33"/>
      <c r="AU2" s="33"/>
      <c r="AV2" s="33"/>
      <c r="AW2" s="33"/>
      <c r="AX2" s="33">
        <f t="shared" ref="AX2" si="1">AH2</f>
        <v>6.25E-2</v>
      </c>
      <c r="AY2" s="33"/>
      <c r="AZ2" s="33"/>
      <c r="BA2" s="33"/>
      <c r="BB2" s="33"/>
      <c r="BC2" s="33"/>
      <c r="BD2" s="33"/>
      <c r="BE2" s="33"/>
      <c r="BF2" s="33"/>
      <c r="BG2" s="33"/>
      <c r="BH2" s="33"/>
      <c r="BI2" s="33"/>
      <c r="BJ2" s="33"/>
      <c r="BK2" s="33"/>
      <c r="BL2" s="33"/>
      <c r="BM2" s="33"/>
      <c r="BN2" s="33">
        <f t="shared" ref="BN2" si="2">AX2</f>
        <v>6.25E-2</v>
      </c>
      <c r="BO2" s="33"/>
      <c r="BP2" s="33"/>
      <c r="BQ2" s="33"/>
      <c r="BR2" s="33"/>
      <c r="BS2" s="33"/>
      <c r="BT2" s="33"/>
      <c r="BU2" s="33"/>
      <c r="BV2" s="33"/>
      <c r="BW2" s="33"/>
      <c r="BX2" s="33"/>
      <c r="BY2" s="33"/>
      <c r="BZ2" s="33"/>
      <c r="CA2" s="33"/>
      <c r="CB2" s="33"/>
      <c r="CC2" s="33"/>
      <c r="CD2" s="33">
        <f t="shared" ref="CD2" si="3">BN2</f>
        <v>6.25E-2</v>
      </c>
      <c r="CE2" s="33"/>
      <c r="CF2" s="33"/>
      <c r="CG2" s="33"/>
      <c r="CH2" s="33"/>
      <c r="CI2" s="33"/>
      <c r="CJ2" s="33"/>
      <c r="CK2" s="33"/>
      <c r="CL2" s="33"/>
      <c r="CM2" s="33"/>
      <c r="CN2" s="33"/>
      <c r="CO2" s="33"/>
      <c r="CP2" s="33"/>
      <c r="CQ2" s="33"/>
      <c r="CR2" s="33"/>
      <c r="CS2" s="33"/>
      <c r="CT2" s="33">
        <f t="shared" ref="CT2" si="4">CD2</f>
        <v>6.25E-2</v>
      </c>
      <c r="CU2" s="33"/>
      <c r="CV2" s="33"/>
      <c r="CW2" s="33"/>
      <c r="CX2" s="33"/>
      <c r="CY2" s="33"/>
      <c r="CZ2" s="33"/>
      <c r="DA2" s="33"/>
      <c r="DB2" s="33"/>
      <c r="DC2" s="33"/>
      <c r="DD2" s="33"/>
      <c r="DE2" s="33"/>
      <c r="DF2" s="33"/>
      <c r="DG2" s="33"/>
      <c r="DH2" s="33"/>
      <c r="DI2" s="33"/>
      <c r="DJ2" s="33">
        <f t="shared" ref="DJ2" si="5">CT2</f>
        <v>6.25E-2</v>
      </c>
      <c r="DK2" s="33"/>
      <c r="DL2" s="33"/>
      <c r="DM2" s="33"/>
      <c r="DN2" s="33"/>
      <c r="DO2" s="33"/>
      <c r="DP2" s="33"/>
      <c r="DQ2" s="33"/>
      <c r="DR2" s="33"/>
      <c r="DS2" s="33"/>
      <c r="DT2" s="33"/>
      <c r="DU2" s="33"/>
      <c r="DV2" s="33"/>
      <c r="DW2" s="33"/>
      <c r="DX2" s="33"/>
      <c r="DY2" s="33"/>
      <c r="DZ2" s="33">
        <f t="shared" ref="DZ2" si="6">DJ2</f>
        <v>6.25E-2</v>
      </c>
      <c r="EA2" s="33"/>
      <c r="EB2" s="33"/>
      <c r="EC2" s="33"/>
      <c r="ED2" s="33"/>
      <c r="EE2" s="33"/>
      <c r="EF2" s="33"/>
      <c r="EG2" s="33"/>
      <c r="EH2" s="33"/>
      <c r="EI2" s="33"/>
      <c r="EJ2" s="33"/>
      <c r="EK2" s="33"/>
      <c r="EL2" s="33"/>
      <c r="EM2" s="33"/>
      <c r="EN2" s="33"/>
      <c r="EO2" s="33"/>
      <c r="EP2" s="33">
        <f t="shared" ref="EP2" si="7">DZ2</f>
        <v>6.25E-2</v>
      </c>
      <c r="EQ2" s="33"/>
      <c r="ER2" s="33"/>
      <c r="ES2" s="33"/>
      <c r="ET2" s="33"/>
      <c r="EU2" s="33"/>
      <c r="EV2" s="33"/>
      <c r="EW2" s="33"/>
      <c r="EX2" s="33"/>
      <c r="EY2" s="33"/>
      <c r="EZ2" s="33"/>
      <c r="FA2" s="33"/>
      <c r="FB2" s="33"/>
      <c r="FC2" s="33"/>
      <c r="FD2" s="33"/>
      <c r="FE2" s="33"/>
      <c r="FF2" s="33">
        <f t="shared" ref="FF2" si="8">EP2</f>
        <v>6.25E-2</v>
      </c>
      <c r="FG2" s="33"/>
      <c r="FH2" s="33"/>
      <c r="FI2" s="33"/>
      <c r="FJ2" s="33"/>
      <c r="FK2" s="33"/>
      <c r="FL2" s="33"/>
      <c r="FM2" s="33"/>
      <c r="FN2" s="33"/>
      <c r="FO2" s="33"/>
      <c r="FP2" s="33"/>
      <c r="FQ2" s="33"/>
      <c r="FR2" s="33"/>
      <c r="FS2" s="33"/>
      <c r="FT2" s="33"/>
      <c r="FU2" s="33"/>
      <c r="FV2" s="33">
        <f t="shared" ref="FV2" si="9">FF2</f>
        <v>6.25E-2</v>
      </c>
      <c r="FW2" s="33"/>
      <c r="FX2" s="33"/>
      <c r="FY2" s="33"/>
      <c r="FZ2" s="33"/>
      <c r="GA2" s="33"/>
      <c r="GB2" s="33"/>
      <c r="GC2" s="33"/>
      <c r="GD2" s="33"/>
      <c r="GE2" s="33"/>
      <c r="GF2" s="33"/>
      <c r="GG2" s="33"/>
      <c r="GH2" s="33"/>
      <c r="GI2" s="33"/>
      <c r="GJ2" s="33"/>
      <c r="GK2" s="33"/>
      <c r="GL2" s="33">
        <f t="shared" ref="GL2" si="10">FV2</f>
        <v>6.25E-2</v>
      </c>
      <c r="GM2" s="33"/>
      <c r="GN2" s="33"/>
      <c r="GO2" s="33"/>
      <c r="GP2" s="33"/>
      <c r="GQ2" s="33"/>
      <c r="GR2" s="33"/>
      <c r="GS2" s="33"/>
      <c r="GT2" s="33"/>
      <c r="GU2" s="33"/>
      <c r="GV2" s="33"/>
      <c r="GW2" s="33"/>
      <c r="GX2" s="33"/>
      <c r="GY2" s="33"/>
      <c r="GZ2" s="33"/>
      <c r="HA2" s="33"/>
      <c r="HB2" s="33">
        <f t="shared" ref="HB2" si="11">GL2</f>
        <v>6.25E-2</v>
      </c>
      <c r="HC2" s="33"/>
      <c r="HD2" s="33"/>
      <c r="HE2" s="33"/>
      <c r="HF2" s="33"/>
      <c r="HG2" s="33"/>
      <c r="HH2" s="33"/>
      <c r="HI2" s="33"/>
      <c r="HJ2" s="33"/>
      <c r="HK2" s="33"/>
      <c r="HL2" s="33"/>
      <c r="HM2" s="33"/>
      <c r="HN2" s="33"/>
      <c r="HO2" s="33"/>
      <c r="HP2" s="33"/>
      <c r="HQ2" s="33"/>
      <c r="HR2" s="33">
        <f t="shared" ref="HR2" si="12">HB2</f>
        <v>6.25E-2</v>
      </c>
      <c r="HS2" s="33"/>
      <c r="HT2" s="33"/>
      <c r="HU2" s="33"/>
      <c r="HV2" s="33"/>
      <c r="HW2" s="33"/>
      <c r="HX2" s="33"/>
      <c r="HY2" s="33"/>
      <c r="HZ2" s="33"/>
      <c r="IA2" s="33"/>
      <c r="IB2" s="33"/>
      <c r="IC2" s="33"/>
      <c r="ID2" s="33"/>
      <c r="IE2" s="33"/>
      <c r="IF2" s="33"/>
      <c r="IG2" s="33"/>
      <c r="IH2" s="33">
        <f t="shared" ref="IH2" si="13">HR2</f>
        <v>6.25E-2</v>
      </c>
      <c r="II2" s="33"/>
      <c r="IJ2" s="33"/>
      <c r="IK2" s="33"/>
      <c r="IL2" s="33"/>
      <c r="IM2" s="33"/>
      <c r="IN2" s="33"/>
      <c r="IO2" s="33"/>
      <c r="IP2" s="33"/>
      <c r="IQ2" s="33"/>
      <c r="IR2" s="33"/>
      <c r="IS2" s="33"/>
      <c r="IT2" s="33"/>
      <c r="IU2" s="33"/>
      <c r="IV2" s="33"/>
      <c r="IW2" s="33"/>
    </row>
    <row r="3" spans="1:257" x14ac:dyDescent="0.2">
      <c r="A3" s="4" t="s">
        <v>35</v>
      </c>
      <c r="B3" s="34">
        <v>2</v>
      </c>
      <c r="C3" s="35"/>
      <c r="D3" s="35"/>
      <c r="E3" s="35"/>
      <c r="F3" s="35"/>
      <c r="G3" s="35"/>
      <c r="H3" s="35"/>
      <c r="I3" s="35"/>
      <c r="J3" s="35"/>
      <c r="K3" s="35"/>
      <c r="L3" s="35"/>
      <c r="M3" s="35"/>
      <c r="N3" s="35"/>
      <c r="O3" s="35"/>
      <c r="P3" s="35"/>
      <c r="Q3" s="36"/>
      <c r="R3" s="34">
        <v>2</v>
      </c>
      <c r="S3" s="35"/>
      <c r="T3" s="35"/>
      <c r="U3" s="35"/>
      <c r="V3" s="35"/>
      <c r="W3" s="35"/>
      <c r="X3" s="35"/>
      <c r="Y3" s="35"/>
      <c r="Z3" s="35"/>
      <c r="AA3" s="35"/>
      <c r="AB3" s="35"/>
      <c r="AC3" s="35"/>
      <c r="AD3" s="35"/>
      <c r="AE3" s="35"/>
      <c r="AF3" s="35"/>
      <c r="AG3" s="36"/>
      <c r="AH3" s="34">
        <v>2</v>
      </c>
      <c r="AI3" s="35"/>
      <c r="AJ3" s="35"/>
      <c r="AK3" s="35"/>
      <c r="AL3" s="35"/>
      <c r="AM3" s="35"/>
      <c r="AN3" s="35"/>
      <c r="AO3" s="35"/>
      <c r="AP3" s="35"/>
      <c r="AQ3" s="35"/>
      <c r="AR3" s="35"/>
      <c r="AS3" s="35"/>
      <c r="AT3" s="35"/>
      <c r="AU3" s="35"/>
      <c r="AV3" s="35"/>
      <c r="AW3" s="36"/>
      <c r="AX3" s="34">
        <v>2</v>
      </c>
      <c r="AY3" s="35"/>
      <c r="AZ3" s="35"/>
      <c r="BA3" s="35"/>
      <c r="BB3" s="35"/>
      <c r="BC3" s="35"/>
      <c r="BD3" s="35"/>
      <c r="BE3" s="35"/>
      <c r="BF3" s="35"/>
      <c r="BG3" s="35"/>
      <c r="BH3" s="35"/>
      <c r="BI3" s="35"/>
      <c r="BJ3" s="35"/>
      <c r="BK3" s="35"/>
      <c r="BL3" s="35"/>
      <c r="BM3" s="36"/>
      <c r="BN3" s="34">
        <v>6</v>
      </c>
      <c r="BO3" s="35"/>
      <c r="BP3" s="35"/>
      <c r="BQ3" s="35"/>
      <c r="BR3" s="35"/>
      <c r="BS3" s="35"/>
      <c r="BT3" s="35"/>
      <c r="BU3" s="35"/>
      <c r="BV3" s="35"/>
      <c r="BW3" s="35"/>
      <c r="BX3" s="35"/>
      <c r="BY3" s="35"/>
      <c r="BZ3" s="35"/>
      <c r="CA3" s="35"/>
      <c r="CB3" s="35"/>
      <c r="CC3" s="36"/>
      <c r="CD3" s="34">
        <v>6</v>
      </c>
      <c r="CE3" s="35"/>
      <c r="CF3" s="35"/>
      <c r="CG3" s="35"/>
      <c r="CH3" s="35"/>
      <c r="CI3" s="35"/>
      <c r="CJ3" s="35"/>
      <c r="CK3" s="35"/>
      <c r="CL3" s="35"/>
      <c r="CM3" s="35"/>
      <c r="CN3" s="35"/>
      <c r="CO3" s="35"/>
      <c r="CP3" s="35"/>
      <c r="CQ3" s="35"/>
      <c r="CR3" s="35"/>
      <c r="CS3" s="36"/>
      <c r="CT3" s="34">
        <v>6</v>
      </c>
      <c r="CU3" s="35"/>
      <c r="CV3" s="35"/>
      <c r="CW3" s="35"/>
      <c r="CX3" s="35"/>
      <c r="CY3" s="35"/>
      <c r="CZ3" s="35"/>
      <c r="DA3" s="35"/>
      <c r="DB3" s="35"/>
      <c r="DC3" s="35"/>
      <c r="DD3" s="35"/>
      <c r="DE3" s="35"/>
      <c r="DF3" s="35"/>
      <c r="DG3" s="35"/>
      <c r="DH3" s="35"/>
      <c r="DI3" s="36"/>
      <c r="DJ3" s="34">
        <v>6</v>
      </c>
      <c r="DK3" s="35"/>
      <c r="DL3" s="35"/>
      <c r="DM3" s="35"/>
      <c r="DN3" s="35"/>
      <c r="DO3" s="35"/>
      <c r="DP3" s="35"/>
      <c r="DQ3" s="35"/>
      <c r="DR3" s="35"/>
      <c r="DS3" s="35"/>
      <c r="DT3" s="35"/>
      <c r="DU3" s="35"/>
      <c r="DV3" s="35"/>
      <c r="DW3" s="35"/>
      <c r="DX3" s="35"/>
      <c r="DY3" s="36"/>
      <c r="DZ3" s="42">
        <v>10</v>
      </c>
      <c r="EA3" s="40"/>
      <c r="EB3" s="40"/>
      <c r="EC3" s="40"/>
      <c r="ED3" s="40"/>
      <c r="EE3" s="40"/>
      <c r="EF3" s="40"/>
      <c r="EG3" s="40"/>
      <c r="EH3" s="40"/>
      <c r="EI3" s="40"/>
      <c r="EJ3" s="40"/>
      <c r="EK3" s="40"/>
      <c r="EL3" s="40"/>
      <c r="EM3" s="40"/>
      <c r="EN3" s="40"/>
      <c r="EO3" s="41"/>
      <c r="EP3" s="39">
        <v>10</v>
      </c>
      <c r="EQ3" s="40"/>
      <c r="ER3" s="40"/>
      <c r="ES3" s="40"/>
      <c r="ET3" s="40"/>
      <c r="EU3" s="40"/>
      <c r="EV3" s="40"/>
      <c r="EW3" s="40"/>
      <c r="EX3" s="40"/>
      <c r="EY3" s="40"/>
      <c r="EZ3" s="40"/>
      <c r="FA3" s="40"/>
      <c r="FB3" s="40"/>
      <c r="FC3" s="40"/>
      <c r="FD3" s="40"/>
      <c r="FE3" s="41"/>
      <c r="FF3" s="39">
        <v>10</v>
      </c>
      <c r="FG3" s="40"/>
      <c r="FH3" s="40"/>
      <c r="FI3" s="40"/>
      <c r="FJ3" s="40"/>
      <c r="FK3" s="40"/>
      <c r="FL3" s="40"/>
      <c r="FM3" s="40"/>
      <c r="FN3" s="40"/>
      <c r="FO3" s="40"/>
      <c r="FP3" s="40"/>
      <c r="FQ3" s="40"/>
      <c r="FR3" s="40"/>
      <c r="FS3" s="40"/>
      <c r="FT3" s="40"/>
      <c r="FU3" s="41"/>
      <c r="FV3" s="39">
        <v>10</v>
      </c>
      <c r="FW3" s="40"/>
      <c r="FX3" s="40"/>
      <c r="FY3" s="40"/>
      <c r="FZ3" s="40"/>
      <c r="GA3" s="40"/>
      <c r="GB3" s="40"/>
      <c r="GC3" s="40"/>
      <c r="GD3" s="40"/>
      <c r="GE3" s="40"/>
      <c r="GF3" s="40"/>
      <c r="GG3" s="40"/>
      <c r="GH3" s="40"/>
      <c r="GI3" s="40"/>
      <c r="GJ3" s="40"/>
      <c r="GK3" s="41"/>
      <c r="GL3" s="39">
        <v>14</v>
      </c>
      <c r="GM3" s="40"/>
      <c r="GN3" s="40"/>
      <c r="GO3" s="40"/>
      <c r="GP3" s="40"/>
      <c r="GQ3" s="40"/>
      <c r="GR3" s="40"/>
      <c r="GS3" s="40"/>
      <c r="GT3" s="40"/>
      <c r="GU3" s="40"/>
      <c r="GV3" s="40"/>
      <c r="GW3" s="40"/>
      <c r="GX3" s="40"/>
      <c r="GY3" s="40"/>
      <c r="GZ3" s="40"/>
      <c r="HA3" s="41"/>
      <c r="HB3" s="39">
        <v>14</v>
      </c>
      <c r="HC3" s="40"/>
      <c r="HD3" s="40"/>
      <c r="HE3" s="40"/>
      <c r="HF3" s="40"/>
      <c r="HG3" s="40"/>
      <c r="HH3" s="40"/>
      <c r="HI3" s="40"/>
      <c r="HJ3" s="40"/>
      <c r="HK3" s="40"/>
      <c r="HL3" s="40"/>
      <c r="HM3" s="40"/>
      <c r="HN3" s="40"/>
      <c r="HO3" s="40"/>
      <c r="HP3" s="40"/>
      <c r="HQ3" s="41"/>
      <c r="HR3" s="39">
        <v>14</v>
      </c>
      <c r="HS3" s="40"/>
      <c r="HT3" s="40"/>
      <c r="HU3" s="40"/>
      <c r="HV3" s="40"/>
      <c r="HW3" s="40"/>
      <c r="HX3" s="40"/>
      <c r="HY3" s="40"/>
      <c r="HZ3" s="40"/>
      <c r="IA3" s="40"/>
      <c r="IB3" s="40"/>
      <c r="IC3" s="40"/>
      <c r="ID3" s="40"/>
      <c r="IE3" s="40"/>
      <c r="IF3" s="40"/>
      <c r="IG3" s="41"/>
      <c r="IH3" s="39">
        <v>14</v>
      </c>
      <c r="II3" s="40"/>
      <c r="IJ3" s="40"/>
      <c r="IK3" s="40"/>
      <c r="IL3" s="40"/>
      <c r="IM3" s="40"/>
      <c r="IN3" s="40"/>
      <c r="IO3" s="40"/>
      <c r="IP3" s="40"/>
      <c r="IQ3" s="40"/>
      <c r="IR3" s="40"/>
      <c r="IS3" s="40"/>
      <c r="IT3" s="40"/>
      <c r="IU3" s="40"/>
      <c r="IV3" s="40"/>
      <c r="IW3" s="41"/>
    </row>
    <row r="4" spans="1:257" x14ac:dyDescent="0.2">
      <c r="A4" s="4"/>
      <c r="B4" s="37" t="s">
        <v>28</v>
      </c>
      <c r="C4" s="37"/>
      <c r="D4" s="37"/>
      <c r="E4" s="37"/>
      <c r="F4" s="37"/>
      <c r="G4" s="37"/>
      <c r="H4" s="37"/>
      <c r="I4" s="37"/>
      <c r="J4" s="38" t="s">
        <v>29</v>
      </c>
      <c r="K4" s="38"/>
      <c r="L4" s="38"/>
      <c r="M4" s="38"/>
      <c r="N4" s="38"/>
      <c r="O4" s="38"/>
      <c r="P4" s="38"/>
      <c r="Q4" s="38"/>
      <c r="R4" s="37" t="s">
        <v>28</v>
      </c>
      <c r="S4" s="37"/>
      <c r="T4" s="37"/>
      <c r="U4" s="37"/>
      <c r="V4" s="37"/>
      <c r="W4" s="37"/>
      <c r="X4" s="37"/>
      <c r="Y4" s="37"/>
      <c r="Z4" s="38" t="s">
        <v>29</v>
      </c>
      <c r="AA4" s="38"/>
      <c r="AB4" s="38"/>
      <c r="AC4" s="38"/>
      <c r="AD4" s="38"/>
      <c r="AE4" s="38"/>
      <c r="AF4" s="38"/>
      <c r="AG4" s="38"/>
      <c r="AH4" s="37" t="s">
        <v>28</v>
      </c>
      <c r="AI4" s="37"/>
      <c r="AJ4" s="37"/>
      <c r="AK4" s="37"/>
      <c r="AL4" s="37"/>
      <c r="AM4" s="37"/>
      <c r="AN4" s="37"/>
      <c r="AO4" s="37"/>
      <c r="AP4" s="38" t="s">
        <v>29</v>
      </c>
      <c r="AQ4" s="38"/>
      <c r="AR4" s="38"/>
      <c r="AS4" s="38"/>
      <c r="AT4" s="38"/>
      <c r="AU4" s="38"/>
      <c r="AV4" s="38"/>
      <c r="AW4" s="38"/>
      <c r="AX4" s="37" t="s">
        <v>28</v>
      </c>
      <c r="AY4" s="37"/>
      <c r="AZ4" s="37"/>
      <c r="BA4" s="37"/>
      <c r="BB4" s="37"/>
      <c r="BC4" s="37"/>
      <c r="BD4" s="37"/>
      <c r="BE4" s="37"/>
      <c r="BF4" s="38" t="s">
        <v>29</v>
      </c>
      <c r="BG4" s="38"/>
      <c r="BH4" s="38"/>
      <c r="BI4" s="38"/>
      <c r="BJ4" s="38"/>
      <c r="BK4" s="38"/>
      <c r="BL4" s="38"/>
      <c r="BM4" s="38"/>
      <c r="BN4" s="37" t="s">
        <v>28</v>
      </c>
      <c r="BO4" s="37"/>
      <c r="BP4" s="37"/>
      <c r="BQ4" s="37"/>
      <c r="BR4" s="37"/>
      <c r="BS4" s="37"/>
      <c r="BT4" s="37"/>
      <c r="BU4" s="37"/>
      <c r="BV4" s="38" t="s">
        <v>29</v>
      </c>
      <c r="BW4" s="38"/>
      <c r="BX4" s="38"/>
      <c r="BY4" s="38"/>
      <c r="BZ4" s="38"/>
      <c r="CA4" s="38"/>
      <c r="CB4" s="38"/>
      <c r="CC4" s="38"/>
      <c r="CD4" s="37" t="s">
        <v>28</v>
      </c>
      <c r="CE4" s="37"/>
      <c r="CF4" s="37"/>
      <c r="CG4" s="37"/>
      <c r="CH4" s="37"/>
      <c r="CI4" s="37"/>
      <c r="CJ4" s="37"/>
      <c r="CK4" s="37"/>
      <c r="CL4" s="38" t="s">
        <v>29</v>
      </c>
      <c r="CM4" s="38"/>
      <c r="CN4" s="38"/>
      <c r="CO4" s="38"/>
      <c r="CP4" s="38"/>
      <c r="CQ4" s="38"/>
      <c r="CR4" s="38"/>
      <c r="CS4" s="38"/>
      <c r="CT4" s="37" t="s">
        <v>28</v>
      </c>
      <c r="CU4" s="37"/>
      <c r="CV4" s="37"/>
      <c r="CW4" s="37"/>
      <c r="CX4" s="37"/>
      <c r="CY4" s="37"/>
      <c r="CZ4" s="37"/>
      <c r="DA4" s="37"/>
      <c r="DB4" s="38" t="s">
        <v>29</v>
      </c>
      <c r="DC4" s="38"/>
      <c r="DD4" s="38"/>
      <c r="DE4" s="38"/>
      <c r="DF4" s="38"/>
      <c r="DG4" s="38"/>
      <c r="DH4" s="38"/>
      <c r="DI4" s="38"/>
      <c r="DJ4" s="37" t="s">
        <v>28</v>
      </c>
      <c r="DK4" s="37"/>
      <c r="DL4" s="37"/>
      <c r="DM4" s="37"/>
      <c r="DN4" s="37"/>
      <c r="DO4" s="37"/>
      <c r="DP4" s="37"/>
      <c r="DQ4" s="37"/>
      <c r="DR4" s="38" t="s">
        <v>29</v>
      </c>
      <c r="DS4" s="38"/>
      <c r="DT4" s="38"/>
      <c r="DU4" s="38"/>
      <c r="DV4" s="38"/>
      <c r="DW4" s="38"/>
      <c r="DX4" s="38"/>
      <c r="DY4" s="38"/>
      <c r="DZ4" s="37" t="s">
        <v>28</v>
      </c>
      <c r="EA4" s="37"/>
      <c r="EB4" s="37"/>
      <c r="EC4" s="37"/>
      <c r="ED4" s="37"/>
      <c r="EE4" s="37"/>
      <c r="EF4" s="37"/>
      <c r="EG4" s="37"/>
      <c r="EH4" s="38" t="s">
        <v>29</v>
      </c>
      <c r="EI4" s="38"/>
      <c r="EJ4" s="38"/>
      <c r="EK4" s="38"/>
      <c r="EL4" s="38"/>
      <c r="EM4" s="38"/>
      <c r="EN4" s="38"/>
      <c r="EO4" s="38"/>
      <c r="EP4" s="37" t="s">
        <v>28</v>
      </c>
      <c r="EQ4" s="37"/>
      <c r="ER4" s="37"/>
      <c r="ES4" s="37"/>
      <c r="ET4" s="37"/>
      <c r="EU4" s="37"/>
      <c r="EV4" s="37"/>
      <c r="EW4" s="37"/>
      <c r="EX4" s="38" t="s">
        <v>29</v>
      </c>
      <c r="EY4" s="38"/>
      <c r="EZ4" s="38"/>
      <c r="FA4" s="38"/>
      <c r="FB4" s="38"/>
      <c r="FC4" s="38"/>
      <c r="FD4" s="38"/>
      <c r="FE4" s="38"/>
      <c r="FF4" s="37" t="s">
        <v>28</v>
      </c>
      <c r="FG4" s="37"/>
      <c r="FH4" s="37"/>
      <c r="FI4" s="37"/>
      <c r="FJ4" s="37"/>
      <c r="FK4" s="37"/>
      <c r="FL4" s="37"/>
      <c r="FM4" s="37"/>
      <c r="FN4" s="38" t="s">
        <v>29</v>
      </c>
      <c r="FO4" s="38"/>
      <c r="FP4" s="38"/>
      <c r="FQ4" s="38"/>
      <c r="FR4" s="38"/>
      <c r="FS4" s="38"/>
      <c r="FT4" s="38"/>
      <c r="FU4" s="38"/>
      <c r="FV4" s="37" t="s">
        <v>28</v>
      </c>
      <c r="FW4" s="37"/>
      <c r="FX4" s="37"/>
      <c r="FY4" s="37"/>
      <c r="FZ4" s="37"/>
      <c r="GA4" s="37"/>
      <c r="GB4" s="37"/>
      <c r="GC4" s="37"/>
      <c r="GD4" s="38" t="s">
        <v>29</v>
      </c>
      <c r="GE4" s="38"/>
      <c r="GF4" s="38"/>
      <c r="GG4" s="38"/>
      <c r="GH4" s="38"/>
      <c r="GI4" s="38"/>
      <c r="GJ4" s="38"/>
      <c r="GK4" s="38"/>
      <c r="GL4" s="37" t="s">
        <v>28</v>
      </c>
      <c r="GM4" s="37"/>
      <c r="GN4" s="37"/>
      <c r="GO4" s="37"/>
      <c r="GP4" s="37"/>
      <c r="GQ4" s="37"/>
      <c r="GR4" s="37"/>
      <c r="GS4" s="37"/>
      <c r="GT4" s="38" t="s">
        <v>29</v>
      </c>
      <c r="GU4" s="38"/>
      <c r="GV4" s="38"/>
      <c r="GW4" s="38"/>
      <c r="GX4" s="38"/>
      <c r="GY4" s="38"/>
      <c r="GZ4" s="38"/>
      <c r="HA4" s="38"/>
      <c r="HB4" s="37" t="s">
        <v>28</v>
      </c>
      <c r="HC4" s="37"/>
      <c r="HD4" s="37"/>
      <c r="HE4" s="37"/>
      <c r="HF4" s="37"/>
      <c r="HG4" s="37"/>
      <c r="HH4" s="37"/>
      <c r="HI4" s="37"/>
      <c r="HJ4" s="38" t="s">
        <v>29</v>
      </c>
      <c r="HK4" s="38"/>
      <c r="HL4" s="38"/>
      <c r="HM4" s="38"/>
      <c r="HN4" s="38"/>
      <c r="HO4" s="38"/>
      <c r="HP4" s="38"/>
      <c r="HQ4" s="38"/>
      <c r="HR4" s="37" t="s">
        <v>28</v>
      </c>
      <c r="HS4" s="37"/>
      <c r="HT4" s="37"/>
      <c r="HU4" s="37"/>
      <c r="HV4" s="37"/>
      <c r="HW4" s="37"/>
      <c r="HX4" s="37"/>
      <c r="HY4" s="37"/>
      <c r="HZ4" s="38" t="s">
        <v>29</v>
      </c>
      <c r="IA4" s="38"/>
      <c r="IB4" s="38"/>
      <c r="IC4" s="38"/>
      <c r="ID4" s="38"/>
      <c r="IE4" s="38"/>
      <c r="IF4" s="38"/>
      <c r="IG4" s="38"/>
      <c r="IH4" s="37" t="s">
        <v>28</v>
      </c>
      <c r="II4" s="37"/>
      <c r="IJ4" s="37"/>
      <c r="IK4" s="37"/>
      <c r="IL4" s="37"/>
      <c r="IM4" s="37"/>
      <c r="IN4" s="37"/>
      <c r="IO4" s="37"/>
      <c r="IP4" s="38" t="s">
        <v>29</v>
      </c>
      <c r="IQ4" s="38"/>
      <c r="IR4" s="38"/>
      <c r="IS4" s="38"/>
      <c r="IT4" s="38"/>
      <c r="IU4" s="38"/>
      <c r="IV4" s="38"/>
      <c r="IW4" s="38"/>
    </row>
    <row r="5" spans="1:257" x14ac:dyDescent="0.2">
      <c r="A5" s="4" t="s">
        <v>18</v>
      </c>
      <c r="B5" s="5" t="str">
        <f>'Demand Stage 2'!B4</f>
        <v>ST.FERGUS</v>
      </c>
      <c r="C5" s="5" t="str">
        <f>'Demand Stage 2'!C4</f>
        <v>EASINGTON</v>
      </c>
      <c r="D5" s="5" t="str">
        <f>'Demand Stage 2'!D4</f>
        <v>TEESSIDE</v>
      </c>
      <c r="E5" s="5" t="str">
        <f>'Demand Stage 2'!E4</f>
        <v>EMDEN</v>
      </c>
      <c r="F5" s="5" t="str">
        <f>'Demand Stage 2'!F4</f>
        <v>EMDEN 2</v>
      </c>
      <c r="G5" s="5" t="str">
        <f>'Demand Stage 2'!G4</f>
        <v>ZEEBRUGGE</v>
      </c>
      <c r="H5" s="5" t="str">
        <f>'Demand Stage 2'!H4</f>
        <v>DUNKERQUE</v>
      </c>
      <c r="I5" s="5" t="str">
        <f>'Demand Stage 2'!I4</f>
        <v>POLAND</v>
      </c>
      <c r="J5" s="6" t="str">
        <f>'Demand Stage 2'!J4</f>
        <v>ST.FERGUS</v>
      </c>
      <c r="K5" s="6" t="str">
        <f>'Demand Stage 2'!K4</f>
        <v>EASINGTON</v>
      </c>
      <c r="L5" s="6" t="str">
        <f>'Demand Stage 2'!L4</f>
        <v>TEESSIDE</v>
      </c>
      <c r="M5" s="6" t="str">
        <f>'Demand Stage 2'!M4</f>
        <v>EMDEN</v>
      </c>
      <c r="N5" s="6" t="str">
        <f>'Demand Stage 2'!N4</f>
        <v>EMDEN 2</v>
      </c>
      <c r="O5" s="6" t="str">
        <f>'Demand Stage 2'!O4</f>
        <v>ZEEBRUGGE</v>
      </c>
      <c r="P5" s="6" t="str">
        <f>'Demand Stage 2'!P4</f>
        <v>DUNKERQUE</v>
      </c>
      <c r="Q5" s="6" t="str">
        <f>'Demand Stage 2'!Q4</f>
        <v>POLAND</v>
      </c>
      <c r="R5" s="5" t="str">
        <f>'Demand Stage 2'!B4</f>
        <v>ST.FERGUS</v>
      </c>
      <c r="S5" s="5" t="str">
        <f>'Demand Stage 2'!C4</f>
        <v>EASINGTON</v>
      </c>
      <c r="T5" s="5" t="str">
        <f>'Demand Stage 2'!D4</f>
        <v>TEESSIDE</v>
      </c>
      <c r="U5" s="5" t="str">
        <f>'Demand Stage 2'!E4</f>
        <v>EMDEN</v>
      </c>
      <c r="V5" s="5" t="str">
        <f>'Demand Stage 2'!F4</f>
        <v>EMDEN 2</v>
      </c>
      <c r="W5" s="5" t="str">
        <f>'Demand Stage 2'!G4</f>
        <v>ZEEBRUGGE</v>
      </c>
      <c r="X5" s="5" t="str">
        <f>'Demand Stage 2'!H4</f>
        <v>DUNKERQUE</v>
      </c>
      <c r="Y5" s="5" t="str">
        <f>'Demand Stage 2'!I4</f>
        <v>POLAND</v>
      </c>
      <c r="Z5" s="6" t="str">
        <f>'Demand Stage 2'!J4</f>
        <v>ST.FERGUS</v>
      </c>
      <c r="AA5" s="6" t="str">
        <f>'Demand Stage 2'!K4</f>
        <v>EASINGTON</v>
      </c>
      <c r="AB5" s="6" t="str">
        <f>'Demand Stage 2'!L4</f>
        <v>TEESSIDE</v>
      </c>
      <c r="AC5" s="6" t="str">
        <f>'Demand Stage 2'!M4</f>
        <v>EMDEN</v>
      </c>
      <c r="AD5" s="6" t="str">
        <f>'Demand Stage 2'!N4</f>
        <v>EMDEN 2</v>
      </c>
      <c r="AE5" s="6" t="str">
        <f>'Demand Stage 2'!O4</f>
        <v>ZEEBRUGGE</v>
      </c>
      <c r="AF5" s="6" t="str">
        <f>'Demand Stage 2'!P4</f>
        <v>DUNKERQUE</v>
      </c>
      <c r="AG5" s="6" t="str">
        <f>'Demand Stage 2'!Q4</f>
        <v>POLAND</v>
      </c>
      <c r="AH5" s="5" t="str">
        <f>'Demand Stage 2'!B4</f>
        <v>ST.FERGUS</v>
      </c>
      <c r="AI5" s="5" t="str">
        <f>'Demand Stage 2'!C4</f>
        <v>EASINGTON</v>
      </c>
      <c r="AJ5" s="5" t="str">
        <f>'Demand Stage 2'!D4</f>
        <v>TEESSIDE</v>
      </c>
      <c r="AK5" s="5" t="str">
        <f>'Demand Stage 2'!E4</f>
        <v>EMDEN</v>
      </c>
      <c r="AL5" s="5" t="str">
        <f>'Demand Stage 2'!F4</f>
        <v>EMDEN 2</v>
      </c>
      <c r="AM5" s="5" t="str">
        <f>'Demand Stage 2'!G4</f>
        <v>ZEEBRUGGE</v>
      </c>
      <c r="AN5" s="5" t="str">
        <f>'Demand Stage 2'!H4</f>
        <v>DUNKERQUE</v>
      </c>
      <c r="AO5" s="5" t="str">
        <f>'Demand Stage 2'!I4</f>
        <v>POLAND</v>
      </c>
      <c r="AP5" s="6" t="str">
        <f>'Demand Stage 2'!J4</f>
        <v>ST.FERGUS</v>
      </c>
      <c r="AQ5" s="6" t="str">
        <f>'Demand Stage 2'!K4</f>
        <v>EASINGTON</v>
      </c>
      <c r="AR5" s="6" t="str">
        <f>'Demand Stage 2'!L4</f>
        <v>TEESSIDE</v>
      </c>
      <c r="AS5" s="6" t="str">
        <f>'Demand Stage 2'!M4</f>
        <v>EMDEN</v>
      </c>
      <c r="AT5" s="6" t="str">
        <f>'Demand Stage 2'!N4</f>
        <v>EMDEN 2</v>
      </c>
      <c r="AU5" s="6" t="str">
        <f>'Demand Stage 2'!O4</f>
        <v>ZEEBRUGGE</v>
      </c>
      <c r="AV5" s="6" t="str">
        <f>'Demand Stage 2'!P4</f>
        <v>DUNKERQUE</v>
      </c>
      <c r="AW5" s="6" t="str">
        <f>'Demand Stage 2'!Q4</f>
        <v>POLAND</v>
      </c>
      <c r="AX5" s="5" t="str">
        <f>'Demand Stage 2'!B4</f>
        <v>ST.FERGUS</v>
      </c>
      <c r="AY5" s="5" t="str">
        <f>'Demand Stage 2'!C4</f>
        <v>EASINGTON</v>
      </c>
      <c r="AZ5" s="5" t="str">
        <f>'Demand Stage 2'!D4</f>
        <v>TEESSIDE</v>
      </c>
      <c r="BA5" s="5" t="str">
        <f>'Demand Stage 2'!E4</f>
        <v>EMDEN</v>
      </c>
      <c r="BB5" s="5" t="str">
        <f>'Demand Stage 2'!F4</f>
        <v>EMDEN 2</v>
      </c>
      <c r="BC5" s="5" t="str">
        <f>'Demand Stage 2'!G4</f>
        <v>ZEEBRUGGE</v>
      </c>
      <c r="BD5" s="5" t="str">
        <f>'Demand Stage 2'!H4</f>
        <v>DUNKERQUE</v>
      </c>
      <c r="BE5" s="5" t="str">
        <f>'Demand Stage 2'!I4</f>
        <v>POLAND</v>
      </c>
      <c r="BF5" s="6" t="str">
        <f>'Demand Stage 2'!J4</f>
        <v>ST.FERGUS</v>
      </c>
      <c r="BG5" s="6" t="str">
        <f>'Demand Stage 2'!K4</f>
        <v>EASINGTON</v>
      </c>
      <c r="BH5" s="6" t="str">
        <f>'Demand Stage 2'!L4</f>
        <v>TEESSIDE</v>
      </c>
      <c r="BI5" s="6" t="str">
        <f>'Demand Stage 2'!M4</f>
        <v>EMDEN</v>
      </c>
      <c r="BJ5" s="6" t="str">
        <f>'Demand Stage 2'!N4</f>
        <v>EMDEN 2</v>
      </c>
      <c r="BK5" s="6" t="str">
        <f>'Demand Stage 2'!O4</f>
        <v>ZEEBRUGGE</v>
      </c>
      <c r="BL5" s="6" t="str">
        <f>'Demand Stage 2'!P4</f>
        <v>DUNKERQUE</v>
      </c>
      <c r="BM5" s="6" t="str">
        <f>'Demand Stage 2'!Q4</f>
        <v>POLAND</v>
      </c>
      <c r="BN5" s="5" t="str">
        <f>'Demand Stage 2'!R4</f>
        <v>ST.FERGUS</v>
      </c>
      <c r="BO5" s="5" t="str">
        <f>'Demand Stage 2'!S4</f>
        <v>EASINGTON</v>
      </c>
      <c r="BP5" s="5" t="str">
        <f>'Demand Stage 2'!T4</f>
        <v>TEESSIDE</v>
      </c>
      <c r="BQ5" s="5" t="str">
        <f>'Demand Stage 2'!U4</f>
        <v>EMDEN</v>
      </c>
      <c r="BR5" s="5" t="str">
        <f>'Demand Stage 2'!V4</f>
        <v>EMDEN 2</v>
      </c>
      <c r="BS5" s="5" t="str">
        <f>'Demand Stage 2'!W4</f>
        <v>ZEEBRUGGE</v>
      </c>
      <c r="BT5" s="5" t="str">
        <f>'Demand Stage 2'!X4</f>
        <v>DUNKERQUE</v>
      </c>
      <c r="BU5" s="5" t="str">
        <f>'Demand Stage 2'!Y4</f>
        <v>POLAND</v>
      </c>
      <c r="BV5" s="6" t="str">
        <f>'Demand Stage 2'!Z4</f>
        <v>ST.FERGUS</v>
      </c>
      <c r="BW5" s="6" t="str">
        <f>'Demand Stage 2'!AA4</f>
        <v>EASINGTON</v>
      </c>
      <c r="BX5" s="6" t="str">
        <f>'Demand Stage 2'!AB4</f>
        <v>TEESSIDE</v>
      </c>
      <c r="BY5" s="6" t="str">
        <f>'Demand Stage 2'!AC4</f>
        <v>EMDEN</v>
      </c>
      <c r="BZ5" s="6" t="str">
        <f>'Demand Stage 2'!AD4</f>
        <v>EMDEN 2</v>
      </c>
      <c r="CA5" s="6" t="str">
        <f>'Demand Stage 2'!AE4</f>
        <v>ZEEBRUGGE</v>
      </c>
      <c r="CB5" s="6" t="str">
        <f>'Demand Stage 2'!AF4</f>
        <v>DUNKERQUE</v>
      </c>
      <c r="CC5" s="6" t="str">
        <f>'Demand Stage 2'!AG4</f>
        <v>POLAND</v>
      </c>
      <c r="CD5" s="5" t="str">
        <f>BN5</f>
        <v>ST.FERGUS</v>
      </c>
      <c r="CE5" s="5" t="str">
        <f t="shared" ref="CE5:CK9" si="14">BO5</f>
        <v>EASINGTON</v>
      </c>
      <c r="CF5" s="5" t="str">
        <f t="shared" si="14"/>
        <v>TEESSIDE</v>
      </c>
      <c r="CG5" s="5" t="str">
        <f t="shared" si="14"/>
        <v>EMDEN</v>
      </c>
      <c r="CH5" s="5" t="str">
        <f t="shared" si="14"/>
        <v>EMDEN 2</v>
      </c>
      <c r="CI5" s="5" t="str">
        <f t="shared" si="14"/>
        <v>ZEEBRUGGE</v>
      </c>
      <c r="CJ5" s="5" t="str">
        <f t="shared" si="14"/>
        <v>DUNKERQUE</v>
      </c>
      <c r="CK5" s="5" t="str">
        <f t="shared" si="14"/>
        <v>POLAND</v>
      </c>
      <c r="CL5" s="6" t="str">
        <f>BV5</f>
        <v>ST.FERGUS</v>
      </c>
      <c r="CM5" s="6" t="str">
        <f t="shared" ref="CM5:CS9" si="15">BW5</f>
        <v>EASINGTON</v>
      </c>
      <c r="CN5" s="6" t="str">
        <f t="shared" si="15"/>
        <v>TEESSIDE</v>
      </c>
      <c r="CO5" s="6" t="str">
        <f t="shared" si="15"/>
        <v>EMDEN</v>
      </c>
      <c r="CP5" s="6" t="str">
        <f t="shared" si="15"/>
        <v>EMDEN 2</v>
      </c>
      <c r="CQ5" s="6" t="str">
        <f t="shared" si="15"/>
        <v>ZEEBRUGGE</v>
      </c>
      <c r="CR5" s="6" t="str">
        <f t="shared" si="15"/>
        <v>DUNKERQUE</v>
      </c>
      <c r="CS5" s="6" t="str">
        <f t="shared" si="15"/>
        <v>POLAND</v>
      </c>
      <c r="CT5" s="5" t="str">
        <f>CD5</f>
        <v>ST.FERGUS</v>
      </c>
      <c r="CU5" s="5" t="str">
        <f t="shared" ref="CU5:DB8" si="16">CE5</f>
        <v>EASINGTON</v>
      </c>
      <c r="CV5" s="5" t="str">
        <f t="shared" si="16"/>
        <v>TEESSIDE</v>
      </c>
      <c r="CW5" s="5" t="str">
        <f t="shared" si="16"/>
        <v>EMDEN</v>
      </c>
      <c r="CX5" s="5" t="str">
        <f t="shared" si="16"/>
        <v>EMDEN 2</v>
      </c>
      <c r="CY5" s="5" t="str">
        <f t="shared" si="16"/>
        <v>ZEEBRUGGE</v>
      </c>
      <c r="CZ5" s="5" t="str">
        <f t="shared" si="16"/>
        <v>DUNKERQUE</v>
      </c>
      <c r="DA5" s="5" t="str">
        <f t="shared" si="16"/>
        <v>POLAND</v>
      </c>
      <c r="DB5" s="6" t="str">
        <f t="shared" si="16"/>
        <v>ST.FERGUS</v>
      </c>
      <c r="DC5" s="6" t="str">
        <f t="shared" ref="DC5:DC9" si="17">CM5</f>
        <v>EASINGTON</v>
      </c>
      <c r="DD5" s="6" t="str">
        <f t="shared" ref="DD5:DD9" si="18">CN5</f>
        <v>TEESSIDE</v>
      </c>
      <c r="DE5" s="6" t="str">
        <f t="shared" ref="DE5:DE9" si="19">CO5</f>
        <v>EMDEN</v>
      </c>
      <c r="DF5" s="6" t="str">
        <f t="shared" ref="DF5:DF9" si="20">CP5</f>
        <v>EMDEN 2</v>
      </c>
      <c r="DG5" s="6" t="str">
        <f t="shared" ref="DG5:DG9" si="21">CQ5</f>
        <v>ZEEBRUGGE</v>
      </c>
      <c r="DH5" s="6" t="str">
        <f t="shared" ref="DH5:DH9" si="22">CR5</f>
        <v>DUNKERQUE</v>
      </c>
      <c r="DI5" s="6" t="str">
        <f t="shared" ref="DI5:DI9" si="23">CS5</f>
        <v>POLAND</v>
      </c>
      <c r="DJ5" s="5" t="str">
        <f>CT5</f>
        <v>ST.FERGUS</v>
      </c>
      <c r="DK5" s="5" t="str">
        <f t="shared" ref="DK5:DQ5" si="24">CU5</f>
        <v>EASINGTON</v>
      </c>
      <c r="DL5" s="5" t="str">
        <f t="shared" si="24"/>
        <v>TEESSIDE</v>
      </c>
      <c r="DM5" s="5" t="str">
        <f t="shared" si="24"/>
        <v>EMDEN</v>
      </c>
      <c r="DN5" s="5" t="str">
        <f t="shared" si="24"/>
        <v>EMDEN 2</v>
      </c>
      <c r="DO5" s="5" t="str">
        <f t="shared" si="24"/>
        <v>ZEEBRUGGE</v>
      </c>
      <c r="DP5" s="5" t="str">
        <f t="shared" si="24"/>
        <v>DUNKERQUE</v>
      </c>
      <c r="DQ5" s="5" t="str">
        <f t="shared" si="24"/>
        <v>POLAND</v>
      </c>
      <c r="DR5" s="6" t="str">
        <f>DB5</f>
        <v>ST.FERGUS</v>
      </c>
      <c r="DS5" s="6" t="str">
        <f t="shared" ref="DS5:DY5" si="25">DC5</f>
        <v>EASINGTON</v>
      </c>
      <c r="DT5" s="6" t="str">
        <f t="shared" si="25"/>
        <v>TEESSIDE</v>
      </c>
      <c r="DU5" s="6" t="str">
        <f t="shared" si="25"/>
        <v>EMDEN</v>
      </c>
      <c r="DV5" s="6" t="str">
        <f t="shared" si="25"/>
        <v>EMDEN 2</v>
      </c>
      <c r="DW5" s="6" t="str">
        <f t="shared" si="25"/>
        <v>ZEEBRUGGE</v>
      </c>
      <c r="DX5" s="6" t="str">
        <f t="shared" si="25"/>
        <v>DUNKERQUE</v>
      </c>
      <c r="DY5" s="6" t="str">
        <f t="shared" si="25"/>
        <v>POLAND</v>
      </c>
      <c r="DZ5" s="5" t="str">
        <f>'Demand Stage 2'!AH4</f>
        <v>ST.FERGUS</v>
      </c>
      <c r="EA5" s="5" t="str">
        <f>'Demand Stage 2'!AI4</f>
        <v>EASINGTON</v>
      </c>
      <c r="EB5" s="5" t="str">
        <f>'Demand Stage 2'!AJ4</f>
        <v>TEESSIDE</v>
      </c>
      <c r="EC5" s="5" t="str">
        <f>'Demand Stage 2'!AK4</f>
        <v>EMDEN</v>
      </c>
      <c r="ED5" s="5" t="str">
        <f>'Demand Stage 2'!AL4</f>
        <v>EMDEN 2</v>
      </c>
      <c r="EE5" s="5" t="str">
        <f>'Demand Stage 2'!AM4</f>
        <v>ZEEBRUGGE</v>
      </c>
      <c r="EF5" s="5" t="str">
        <f>'Demand Stage 2'!AN4</f>
        <v>DUNKERQUE</v>
      </c>
      <c r="EG5" s="5" t="str">
        <f>'Demand Stage 2'!AO4</f>
        <v>POLAND</v>
      </c>
      <c r="EH5" s="6" t="str">
        <f>'Demand Stage 2'!AP4</f>
        <v>ST.FERGUS</v>
      </c>
      <c r="EI5" s="6" t="str">
        <f>'Demand Stage 2'!AQ4</f>
        <v>EASINGTON</v>
      </c>
      <c r="EJ5" s="6" t="str">
        <f>'Demand Stage 2'!AR4</f>
        <v>TEESSIDE</v>
      </c>
      <c r="EK5" s="6" t="str">
        <f>'Demand Stage 2'!AS4</f>
        <v>EMDEN</v>
      </c>
      <c r="EL5" s="6" t="str">
        <f>'Demand Stage 2'!AT4</f>
        <v>EMDEN 2</v>
      </c>
      <c r="EM5" s="6" t="str">
        <f>'Demand Stage 2'!AU4</f>
        <v>ZEEBRUGGE</v>
      </c>
      <c r="EN5" s="6" t="str">
        <f>'Demand Stage 2'!AV4</f>
        <v>DUNKERQUE</v>
      </c>
      <c r="EO5" s="6" t="str">
        <f>'Demand Stage 2'!AW4</f>
        <v>POLAND</v>
      </c>
      <c r="EP5" s="5" t="str">
        <f>DZ5</f>
        <v>ST.FERGUS</v>
      </c>
      <c r="EQ5" s="5" t="str">
        <f t="shared" ref="EQ5:EW9" si="26">EA5</f>
        <v>EASINGTON</v>
      </c>
      <c r="ER5" s="5" t="str">
        <f t="shared" si="26"/>
        <v>TEESSIDE</v>
      </c>
      <c r="ES5" s="5" t="str">
        <f t="shared" si="26"/>
        <v>EMDEN</v>
      </c>
      <c r="ET5" s="5" t="str">
        <f t="shared" si="26"/>
        <v>EMDEN 2</v>
      </c>
      <c r="EU5" s="5" t="str">
        <f t="shared" si="26"/>
        <v>ZEEBRUGGE</v>
      </c>
      <c r="EV5" s="5" t="str">
        <f t="shared" si="26"/>
        <v>DUNKERQUE</v>
      </c>
      <c r="EW5" s="5" t="str">
        <f t="shared" si="26"/>
        <v>POLAND</v>
      </c>
      <c r="EX5" s="6" t="str">
        <f>EH5</f>
        <v>ST.FERGUS</v>
      </c>
      <c r="EY5" s="6" t="str">
        <f t="shared" ref="EY5:FE9" si="27">EI5</f>
        <v>EASINGTON</v>
      </c>
      <c r="EZ5" s="6" t="str">
        <f t="shared" si="27"/>
        <v>TEESSIDE</v>
      </c>
      <c r="FA5" s="6" t="str">
        <f t="shared" si="27"/>
        <v>EMDEN</v>
      </c>
      <c r="FB5" s="6" t="str">
        <f t="shared" si="27"/>
        <v>EMDEN 2</v>
      </c>
      <c r="FC5" s="6" t="str">
        <f t="shared" si="27"/>
        <v>ZEEBRUGGE</v>
      </c>
      <c r="FD5" s="6" t="str">
        <f t="shared" si="27"/>
        <v>DUNKERQUE</v>
      </c>
      <c r="FE5" s="6" t="str">
        <f t="shared" si="27"/>
        <v>POLAND</v>
      </c>
      <c r="FF5" s="5" t="str">
        <f>EP5</f>
        <v>ST.FERGUS</v>
      </c>
      <c r="FG5" s="5" t="str">
        <f t="shared" ref="FG5:FM5" si="28">EQ5</f>
        <v>EASINGTON</v>
      </c>
      <c r="FH5" s="5" t="str">
        <f t="shared" si="28"/>
        <v>TEESSIDE</v>
      </c>
      <c r="FI5" s="5" t="str">
        <f t="shared" si="28"/>
        <v>EMDEN</v>
      </c>
      <c r="FJ5" s="5" t="str">
        <f t="shared" si="28"/>
        <v>EMDEN 2</v>
      </c>
      <c r="FK5" s="5" t="str">
        <f t="shared" si="28"/>
        <v>ZEEBRUGGE</v>
      </c>
      <c r="FL5" s="5" t="str">
        <f t="shared" si="28"/>
        <v>DUNKERQUE</v>
      </c>
      <c r="FM5" s="5" t="str">
        <f t="shared" si="28"/>
        <v>POLAND</v>
      </c>
      <c r="FN5" s="6" t="str">
        <f>EX5</f>
        <v>ST.FERGUS</v>
      </c>
      <c r="FO5" s="6" t="str">
        <f t="shared" ref="FO5:FU5" si="29">EY5</f>
        <v>EASINGTON</v>
      </c>
      <c r="FP5" s="6" t="str">
        <f t="shared" si="29"/>
        <v>TEESSIDE</v>
      </c>
      <c r="FQ5" s="6" t="str">
        <f t="shared" si="29"/>
        <v>EMDEN</v>
      </c>
      <c r="FR5" s="6" t="str">
        <f t="shared" si="29"/>
        <v>EMDEN 2</v>
      </c>
      <c r="FS5" s="6" t="str">
        <f t="shared" si="29"/>
        <v>ZEEBRUGGE</v>
      </c>
      <c r="FT5" s="6" t="str">
        <f t="shared" si="29"/>
        <v>DUNKERQUE</v>
      </c>
      <c r="FU5" s="6" t="str">
        <f t="shared" si="29"/>
        <v>POLAND</v>
      </c>
      <c r="FV5" s="5" t="str">
        <f>FF5</f>
        <v>ST.FERGUS</v>
      </c>
      <c r="FW5" s="5" t="str">
        <f t="shared" ref="FW5:GC9" si="30">FG5</f>
        <v>EASINGTON</v>
      </c>
      <c r="FX5" s="5" t="str">
        <f t="shared" si="30"/>
        <v>TEESSIDE</v>
      </c>
      <c r="FY5" s="5" t="str">
        <f t="shared" si="30"/>
        <v>EMDEN</v>
      </c>
      <c r="FZ5" s="5" t="str">
        <f t="shared" si="30"/>
        <v>EMDEN 2</v>
      </c>
      <c r="GA5" s="5" t="str">
        <f t="shared" si="30"/>
        <v>ZEEBRUGGE</v>
      </c>
      <c r="GB5" s="5" t="str">
        <f t="shared" si="30"/>
        <v>DUNKERQUE</v>
      </c>
      <c r="GC5" s="5" t="str">
        <f t="shared" si="30"/>
        <v>POLAND</v>
      </c>
      <c r="GD5" s="6" t="str">
        <f>FN5</f>
        <v>ST.FERGUS</v>
      </c>
      <c r="GE5" s="6" t="str">
        <f t="shared" ref="GE5:GK9" si="31">FO5</f>
        <v>EASINGTON</v>
      </c>
      <c r="GF5" s="6" t="str">
        <f t="shared" si="31"/>
        <v>TEESSIDE</v>
      </c>
      <c r="GG5" s="6" t="str">
        <f t="shared" si="31"/>
        <v>EMDEN</v>
      </c>
      <c r="GH5" s="6" t="str">
        <f t="shared" si="31"/>
        <v>EMDEN 2</v>
      </c>
      <c r="GI5" s="6" t="str">
        <f t="shared" si="31"/>
        <v>ZEEBRUGGE</v>
      </c>
      <c r="GJ5" s="6" t="str">
        <f t="shared" si="31"/>
        <v>DUNKERQUE</v>
      </c>
      <c r="GK5" s="6" t="str">
        <f t="shared" si="31"/>
        <v>POLAND</v>
      </c>
      <c r="GL5" s="5" t="str">
        <f>'Demand Stage 2'!AX4</f>
        <v>ST.FERGUS</v>
      </c>
      <c r="GM5" s="5" t="str">
        <f>'Demand Stage 2'!AY4</f>
        <v>EASINGTON</v>
      </c>
      <c r="GN5" s="5" t="str">
        <f>'Demand Stage 2'!AZ4</f>
        <v>TEESSIDE</v>
      </c>
      <c r="GO5" s="5" t="str">
        <f>'Demand Stage 2'!BA4</f>
        <v>EMDEN</v>
      </c>
      <c r="GP5" s="5" t="str">
        <f>'Demand Stage 2'!BB4</f>
        <v>EMDEN 2</v>
      </c>
      <c r="GQ5" s="5" t="str">
        <f>'Demand Stage 2'!BC4</f>
        <v>ZEEBRUGGE</v>
      </c>
      <c r="GR5" s="5" t="str">
        <f>'Demand Stage 2'!BD4</f>
        <v>DUNKERQUE</v>
      </c>
      <c r="GS5" s="5" t="str">
        <f>'Demand Stage 2'!BE4</f>
        <v>POLAND</v>
      </c>
      <c r="GT5" s="6" t="str">
        <f>'Demand Stage 2'!BF4</f>
        <v>EASINGTON</v>
      </c>
      <c r="GU5" s="6" t="str">
        <f>'Demand Stage 2'!BG4</f>
        <v>TEESSIDE</v>
      </c>
      <c r="GV5" s="6" t="str">
        <f>'Demand Stage 2'!BH4</f>
        <v>EMDEN</v>
      </c>
      <c r="GW5" s="6" t="str">
        <f>'Demand Stage 2'!BI4</f>
        <v>EMDEN 2</v>
      </c>
      <c r="GX5" s="6" t="str">
        <f>'Demand Stage 2'!BJ4</f>
        <v>ZEEBRUGGE</v>
      </c>
      <c r="GY5" s="6" t="str">
        <f>'Demand Stage 2'!BK4</f>
        <v>DUNKERQUE</v>
      </c>
      <c r="GZ5" s="6" t="str">
        <f>'Demand Stage 2'!BL4</f>
        <v>POLAND</v>
      </c>
      <c r="HA5" s="6" t="str">
        <f>'Demand Stage 2'!BM4</f>
        <v>ST.FERGUS</v>
      </c>
      <c r="HB5" s="5" t="str">
        <f>GL5</f>
        <v>ST.FERGUS</v>
      </c>
      <c r="HC5" s="5" t="str">
        <f t="shared" ref="HC5:HI5" si="32">GM5</f>
        <v>EASINGTON</v>
      </c>
      <c r="HD5" s="5" t="str">
        <f t="shared" si="32"/>
        <v>TEESSIDE</v>
      </c>
      <c r="HE5" s="5" t="str">
        <f t="shared" si="32"/>
        <v>EMDEN</v>
      </c>
      <c r="HF5" s="5" t="str">
        <f t="shared" si="32"/>
        <v>EMDEN 2</v>
      </c>
      <c r="HG5" s="5" t="str">
        <f t="shared" si="32"/>
        <v>ZEEBRUGGE</v>
      </c>
      <c r="HH5" s="5" t="str">
        <f t="shared" si="32"/>
        <v>DUNKERQUE</v>
      </c>
      <c r="HI5" s="5" t="str">
        <f t="shared" si="32"/>
        <v>POLAND</v>
      </c>
      <c r="HJ5" s="6" t="str">
        <f>GT5</f>
        <v>EASINGTON</v>
      </c>
      <c r="HK5" s="6" t="str">
        <f t="shared" ref="HK5:HQ5" si="33">GU5</f>
        <v>TEESSIDE</v>
      </c>
      <c r="HL5" s="6" t="str">
        <f t="shared" si="33"/>
        <v>EMDEN</v>
      </c>
      <c r="HM5" s="6" t="str">
        <f t="shared" si="33"/>
        <v>EMDEN 2</v>
      </c>
      <c r="HN5" s="6" t="str">
        <f t="shared" si="33"/>
        <v>ZEEBRUGGE</v>
      </c>
      <c r="HO5" s="6" t="str">
        <f t="shared" si="33"/>
        <v>DUNKERQUE</v>
      </c>
      <c r="HP5" s="6" t="str">
        <f t="shared" si="33"/>
        <v>POLAND</v>
      </c>
      <c r="HQ5" s="6" t="str">
        <f t="shared" si="33"/>
        <v>ST.FERGUS</v>
      </c>
      <c r="HR5" s="5" t="str">
        <f>HB5</f>
        <v>ST.FERGUS</v>
      </c>
      <c r="HS5" s="5" t="str">
        <f t="shared" ref="HS5:HY9" si="34">HC5</f>
        <v>EASINGTON</v>
      </c>
      <c r="HT5" s="5" t="str">
        <f t="shared" si="34"/>
        <v>TEESSIDE</v>
      </c>
      <c r="HU5" s="5" t="str">
        <f t="shared" si="34"/>
        <v>EMDEN</v>
      </c>
      <c r="HV5" s="5" t="str">
        <f t="shared" si="34"/>
        <v>EMDEN 2</v>
      </c>
      <c r="HW5" s="5" t="str">
        <f t="shared" si="34"/>
        <v>ZEEBRUGGE</v>
      </c>
      <c r="HX5" s="5" t="str">
        <f t="shared" si="34"/>
        <v>DUNKERQUE</v>
      </c>
      <c r="HY5" s="5" t="str">
        <f t="shared" si="34"/>
        <v>POLAND</v>
      </c>
      <c r="HZ5" s="6" t="str">
        <f>HJ5</f>
        <v>EASINGTON</v>
      </c>
      <c r="IA5" s="6" t="str">
        <f t="shared" ref="IA5:IG9" si="35">HK5</f>
        <v>TEESSIDE</v>
      </c>
      <c r="IB5" s="6" t="str">
        <f t="shared" si="35"/>
        <v>EMDEN</v>
      </c>
      <c r="IC5" s="6" t="str">
        <f t="shared" si="35"/>
        <v>EMDEN 2</v>
      </c>
      <c r="ID5" s="6" t="str">
        <f t="shared" si="35"/>
        <v>ZEEBRUGGE</v>
      </c>
      <c r="IE5" s="6" t="str">
        <f t="shared" si="35"/>
        <v>DUNKERQUE</v>
      </c>
      <c r="IF5" s="6" t="str">
        <f t="shared" si="35"/>
        <v>POLAND</v>
      </c>
      <c r="IG5" s="6" t="str">
        <f t="shared" si="35"/>
        <v>ST.FERGUS</v>
      </c>
      <c r="IH5" s="5" t="str">
        <f>HR5</f>
        <v>ST.FERGUS</v>
      </c>
      <c r="II5" s="5" t="str">
        <f t="shared" ref="II5:IO9" si="36">HS5</f>
        <v>EASINGTON</v>
      </c>
      <c r="IJ5" s="5" t="str">
        <f t="shared" si="36"/>
        <v>TEESSIDE</v>
      </c>
      <c r="IK5" s="5" t="str">
        <f t="shared" si="36"/>
        <v>EMDEN</v>
      </c>
      <c r="IL5" s="5" t="str">
        <f t="shared" si="36"/>
        <v>EMDEN 2</v>
      </c>
      <c r="IM5" s="5" t="str">
        <f t="shared" si="36"/>
        <v>ZEEBRUGGE</v>
      </c>
      <c r="IN5" s="5" t="str">
        <f t="shared" si="36"/>
        <v>DUNKERQUE</v>
      </c>
      <c r="IO5" s="5" t="str">
        <f t="shared" si="36"/>
        <v>POLAND</v>
      </c>
      <c r="IP5" s="6" t="str">
        <f>HZ5</f>
        <v>EASINGTON</v>
      </c>
      <c r="IQ5" s="6" t="str">
        <f t="shared" ref="IQ5:IW9" si="37">IA5</f>
        <v>TEESSIDE</v>
      </c>
      <c r="IR5" s="6" t="str">
        <f t="shared" si="37"/>
        <v>EMDEN</v>
      </c>
      <c r="IS5" s="6" t="str">
        <f t="shared" si="37"/>
        <v>EMDEN 2</v>
      </c>
      <c r="IT5" s="6" t="str">
        <f t="shared" si="37"/>
        <v>ZEEBRUGGE</v>
      </c>
      <c r="IU5" s="6" t="str">
        <f t="shared" si="37"/>
        <v>DUNKERQUE</v>
      </c>
      <c r="IV5" s="6" t="str">
        <f t="shared" si="37"/>
        <v>POLAND</v>
      </c>
      <c r="IW5" s="6" t="str">
        <f t="shared" si="37"/>
        <v>ST.FERGUS</v>
      </c>
    </row>
    <row r="6" spans="1:257" x14ac:dyDescent="0.2">
      <c r="A6" s="1">
        <v>0</v>
      </c>
      <c r="B6" s="2">
        <f>'Demand Stage 2'!B5</f>
        <v>10</v>
      </c>
      <c r="C6" s="2">
        <f>'Demand Stage 2'!C5</f>
        <v>10</v>
      </c>
      <c r="D6" s="2">
        <f>'Demand Stage 2'!D5</f>
        <v>10</v>
      </c>
      <c r="E6" s="2">
        <f>'Demand Stage 2'!E5</f>
        <v>40</v>
      </c>
      <c r="F6" s="2">
        <f>'Demand Stage 2'!F5</f>
        <v>40</v>
      </c>
      <c r="G6" s="2">
        <f>'Demand Stage 2'!G5</f>
        <v>40</v>
      </c>
      <c r="H6" s="2">
        <f>'Demand Stage 2'!H5</f>
        <v>40</v>
      </c>
      <c r="I6" s="2">
        <f>'Demand Stage 2'!I5</f>
        <v>20</v>
      </c>
      <c r="J6" s="3">
        <f>'Demand Stage 2'!J5</f>
        <v>0</v>
      </c>
      <c r="K6" s="3">
        <f>'Demand Stage 2'!K5</f>
        <v>0</v>
      </c>
      <c r="L6" s="3">
        <f>'Demand Stage 2'!L5</f>
        <v>0</v>
      </c>
      <c r="M6" s="3">
        <f>'Demand Stage 2'!M5</f>
        <v>0</v>
      </c>
      <c r="N6" s="3">
        <f>'Demand Stage 2'!N5</f>
        <v>0</v>
      </c>
      <c r="O6" s="3">
        <f>'Demand Stage 2'!O5</f>
        <v>0</v>
      </c>
      <c r="P6" s="3">
        <f>'Demand Stage 2'!P5</f>
        <v>0</v>
      </c>
      <c r="Q6" s="3">
        <f>'Demand Stage 2'!Q5</f>
        <v>0</v>
      </c>
      <c r="R6" s="2">
        <f>'Demand Stage 2'!B5</f>
        <v>10</v>
      </c>
      <c r="S6" s="2">
        <f>'Demand Stage 2'!C5</f>
        <v>10</v>
      </c>
      <c r="T6" s="2">
        <f>'Demand Stage 2'!D5</f>
        <v>10</v>
      </c>
      <c r="U6" s="2">
        <f>'Demand Stage 2'!E5</f>
        <v>40</v>
      </c>
      <c r="V6" s="2">
        <f>'Demand Stage 2'!F5</f>
        <v>40</v>
      </c>
      <c r="W6" s="2">
        <f>'Demand Stage 2'!G5</f>
        <v>40</v>
      </c>
      <c r="X6" s="2">
        <f>'Demand Stage 2'!H5</f>
        <v>40</v>
      </c>
      <c r="Y6" s="2">
        <f>'Demand Stage 2'!I5</f>
        <v>20</v>
      </c>
      <c r="Z6" s="3">
        <f>'Demand Stage 2'!J5</f>
        <v>0</v>
      </c>
      <c r="AA6" s="3">
        <f>'Demand Stage 2'!K5</f>
        <v>0</v>
      </c>
      <c r="AB6" s="3">
        <f>'Demand Stage 2'!L5</f>
        <v>0</v>
      </c>
      <c r="AC6" s="3">
        <f>'Demand Stage 2'!M5</f>
        <v>0</v>
      </c>
      <c r="AD6" s="3">
        <f>'Demand Stage 2'!N5</f>
        <v>0</v>
      </c>
      <c r="AE6" s="3">
        <f>'Demand Stage 2'!O5</f>
        <v>0</v>
      </c>
      <c r="AF6" s="3">
        <f>'Demand Stage 2'!P5</f>
        <v>0</v>
      </c>
      <c r="AG6" s="3">
        <f>'Demand Stage 2'!Q5</f>
        <v>0</v>
      </c>
      <c r="AH6" s="2">
        <f>'Demand Stage 2'!B5</f>
        <v>10</v>
      </c>
      <c r="AI6" s="2">
        <f>'Demand Stage 2'!C5</f>
        <v>10</v>
      </c>
      <c r="AJ6" s="2">
        <f>'Demand Stage 2'!D5</f>
        <v>10</v>
      </c>
      <c r="AK6" s="2">
        <f>'Demand Stage 2'!E5</f>
        <v>40</v>
      </c>
      <c r="AL6" s="2">
        <f>'Demand Stage 2'!F5</f>
        <v>40</v>
      </c>
      <c r="AM6" s="2">
        <f>'Demand Stage 2'!G5</f>
        <v>40</v>
      </c>
      <c r="AN6" s="2">
        <f>'Demand Stage 2'!H5</f>
        <v>40</v>
      </c>
      <c r="AO6" s="2">
        <f>'Demand Stage 2'!I5</f>
        <v>20</v>
      </c>
      <c r="AP6" s="3">
        <f>'Demand Stage 2'!J5</f>
        <v>0</v>
      </c>
      <c r="AQ6" s="3">
        <f>'Demand Stage 2'!K5</f>
        <v>0</v>
      </c>
      <c r="AR6" s="3">
        <f>'Demand Stage 2'!L5</f>
        <v>0</v>
      </c>
      <c r="AS6" s="3">
        <f>'Demand Stage 2'!M5</f>
        <v>0</v>
      </c>
      <c r="AT6" s="3">
        <f>'Demand Stage 2'!N5</f>
        <v>0</v>
      </c>
      <c r="AU6" s="3">
        <f>'Demand Stage 2'!O5</f>
        <v>0</v>
      </c>
      <c r="AV6" s="3">
        <f>'Demand Stage 2'!P5</f>
        <v>0</v>
      </c>
      <c r="AW6" s="3">
        <f>'Demand Stage 2'!Q5</f>
        <v>0</v>
      </c>
      <c r="AX6" s="2">
        <f>'Demand Stage 2'!B5</f>
        <v>10</v>
      </c>
      <c r="AY6" s="2">
        <f>'Demand Stage 2'!C5</f>
        <v>10</v>
      </c>
      <c r="AZ6" s="2">
        <f>'Demand Stage 2'!D5</f>
        <v>10</v>
      </c>
      <c r="BA6" s="2">
        <f>'Demand Stage 2'!E5</f>
        <v>40</v>
      </c>
      <c r="BB6" s="2">
        <f>'Demand Stage 2'!F5</f>
        <v>40</v>
      </c>
      <c r="BC6" s="2">
        <f>'Demand Stage 2'!G5</f>
        <v>40</v>
      </c>
      <c r="BD6" s="2">
        <f>'Demand Stage 2'!H5</f>
        <v>40</v>
      </c>
      <c r="BE6" s="2">
        <f>'Demand Stage 2'!I5</f>
        <v>20</v>
      </c>
      <c r="BF6" s="3">
        <f>'Demand Stage 2'!J5</f>
        <v>0</v>
      </c>
      <c r="BG6" s="3">
        <f>'Demand Stage 2'!K5</f>
        <v>0</v>
      </c>
      <c r="BH6" s="3">
        <f>'Demand Stage 2'!L5</f>
        <v>0</v>
      </c>
      <c r="BI6" s="3">
        <f>'Demand Stage 2'!M5</f>
        <v>0</v>
      </c>
      <c r="BJ6" s="3">
        <f>'Demand Stage 2'!N5</f>
        <v>0</v>
      </c>
      <c r="BK6" s="3">
        <f>'Demand Stage 2'!O5</f>
        <v>0</v>
      </c>
      <c r="BL6" s="3">
        <f>'Demand Stage 2'!P5</f>
        <v>0</v>
      </c>
      <c r="BM6" s="3">
        <f>'Demand Stage 2'!Q5</f>
        <v>0</v>
      </c>
      <c r="BN6" s="2">
        <f>'Demand Stage 2'!R5</f>
        <v>10</v>
      </c>
      <c r="BO6" s="2">
        <f>'Demand Stage 2'!S5</f>
        <v>10</v>
      </c>
      <c r="BP6" s="2">
        <f>'Demand Stage 2'!T5</f>
        <v>10</v>
      </c>
      <c r="BQ6" s="2">
        <f>'Demand Stage 2'!U5</f>
        <v>40</v>
      </c>
      <c r="BR6" s="2">
        <f>'Demand Stage 2'!V5</f>
        <v>40</v>
      </c>
      <c r="BS6" s="2">
        <f>'Demand Stage 2'!W5</f>
        <v>40</v>
      </c>
      <c r="BT6" s="2">
        <f>'Demand Stage 2'!X5</f>
        <v>40</v>
      </c>
      <c r="BU6" s="2">
        <f>'Demand Stage 2'!Y5</f>
        <v>20</v>
      </c>
      <c r="BV6" s="3">
        <f>'Demand Stage 2'!Z5</f>
        <v>0</v>
      </c>
      <c r="BW6" s="3">
        <f>'Demand Stage 2'!AA5</f>
        <v>0</v>
      </c>
      <c r="BX6" s="3">
        <f>'Demand Stage 2'!AB5</f>
        <v>0</v>
      </c>
      <c r="BY6" s="3">
        <f>'Demand Stage 2'!AC5</f>
        <v>0</v>
      </c>
      <c r="BZ6" s="3">
        <f>'Demand Stage 2'!AD5</f>
        <v>0</v>
      </c>
      <c r="CA6" s="3">
        <f>'Demand Stage 2'!AE5</f>
        <v>0</v>
      </c>
      <c r="CB6" s="3">
        <f>'Demand Stage 2'!AF5</f>
        <v>0</v>
      </c>
      <c r="CC6" s="3">
        <f>'Demand Stage 2'!AG5</f>
        <v>0</v>
      </c>
      <c r="CD6" s="2">
        <f t="shared" ref="CD6:CD9" si="38">BN6</f>
        <v>10</v>
      </c>
      <c r="CE6" s="2">
        <f t="shared" si="14"/>
        <v>10</v>
      </c>
      <c r="CF6" s="2">
        <f t="shared" si="14"/>
        <v>10</v>
      </c>
      <c r="CG6" s="2">
        <f t="shared" si="14"/>
        <v>40</v>
      </c>
      <c r="CH6" s="2">
        <f t="shared" si="14"/>
        <v>40</v>
      </c>
      <c r="CI6" s="2">
        <f t="shared" si="14"/>
        <v>40</v>
      </c>
      <c r="CJ6" s="2">
        <f t="shared" si="14"/>
        <v>40</v>
      </c>
      <c r="CK6" s="2">
        <f t="shared" si="14"/>
        <v>20</v>
      </c>
      <c r="CL6" s="3">
        <f t="shared" ref="CL6:CL9" si="39">BV6</f>
        <v>0</v>
      </c>
      <c r="CM6" s="3">
        <f t="shared" si="15"/>
        <v>0</v>
      </c>
      <c r="CN6" s="3">
        <f t="shared" si="15"/>
        <v>0</v>
      </c>
      <c r="CO6" s="3">
        <f t="shared" si="15"/>
        <v>0</v>
      </c>
      <c r="CP6" s="3">
        <f t="shared" si="15"/>
        <v>0</v>
      </c>
      <c r="CQ6" s="3">
        <f t="shared" si="15"/>
        <v>0</v>
      </c>
      <c r="CR6" s="3">
        <f t="shared" si="15"/>
        <v>0</v>
      </c>
      <c r="CS6" s="3">
        <f t="shared" si="15"/>
        <v>0</v>
      </c>
      <c r="CT6" s="2">
        <f>CD6</f>
        <v>10</v>
      </c>
      <c r="CU6" s="2">
        <f t="shared" ref="CU6:DA9" si="40">CE6</f>
        <v>10</v>
      </c>
      <c r="CV6" s="2">
        <f t="shared" si="40"/>
        <v>10</v>
      </c>
      <c r="CW6" s="2">
        <f t="shared" si="40"/>
        <v>40</v>
      </c>
      <c r="CX6" s="2">
        <f t="shared" si="40"/>
        <v>40</v>
      </c>
      <c r="CY6" s="2">
        <f t="shared" si="40"/>
        <v>40</v>
      </c>
      <c r="CZ6" s="2">
        <f t="shared" si="40"/>
        <v>40</v>
      </c>
      <c r="DA6" s="2">
        <f t="shared" si="40"/>
        <v>20</v>
      </c>
      <c r="DB6" s="3">
        <f t="shared" si="16"/>
        <v>0</v>
      </c>
      <c r="DC6" s="3">
        <f t="shared" si="17"/>
        <v>0</v>
      </c>
      <c r="DD6" s="3">
        <f t="shared" si="18"/>
        <v>0</v>
      </c>
      <c r="DE6" s="3">
        <f t="shared" si="19"/>
        <v>0</v>
      </c>
      <c r="DF6" s="3">
        <f t="shared" si="20"/>
        <v>0</v>
      </c>
      <c r="DG6" s="3">
        <f t="shared" si="21"/>
        <v>0</v>
      </c>
      <c r="DH6" s="3">
        <f t="shared" si="22"/>
        <v>0</v>
      </c>
      <c r="DI6" s="3">
        <f t="shared" si="23"/>
        <v>0</v>
      </c>
      <c r="DJ6" s="2">
        <f t="shared" ref="DJ6:DJ9" si="41">CT6</f>
        <v>10</v>
      </c>
      <c r="DK6" s="2">
        <f t="shared" ref="DK6:DK9" si="42">CU6</f>
        <v>10</v>
      </c>
      <c r="DL6" s="2">
        <f t="shared" ref="DL6:DL9" si="43">CV6</f>
        <v>10</v>
      </c>
      <c r="DM6" s="2">
        <f t="shared" ref="DM6:DM9" si="44">CW6</f>
        <v>40</v>
      </c>
      <c r="DN6" s="2">
        <f t="shared" ref="DN6:DN9" si="45">CX6</f>
        <v>40</v>
      </c>
      <c r="DO6" s="2">
        <f t="shared" ref="DO6:DO9" si="46">CY6</f>
        <v>40</v>
      </c>
      <c r="DP6" s="2">
        <f t="shared" ref="DP6:DP9" si="47">CZ6</f>
        <v>40</v>
      </c>
      <c r="DQ6" s="2">
        <f t="shared" ref="DQ6:DQ9" si="48">DA6</f>
        <v>20</v>
      </c>
      <c r="DR6" s="3">
        <f t="shared" ref="DR6:DR9" si="49">DB6</f>
        <v>0</v>
      </c>
      <c r="DS6" s="3">
        <f t="shared" ref="DS6:DS9" si="50">DC6</f>
        <v>0</v>
      </c>
      <c r="DT6" s="3">
        <f t="shared" ref="DT6:DT9" si="51">DD6</f>
        <v>0</v>
      </c>
      <c r="DU6" s="3">
        <f t="shared" ref="DU6:DU9" si="52">DE6</f>
        <v>0</v>
      </c>
      <c r="DV6" s="3">
        <f t="shared" ref="DV6:DV9" si="53">DF6</f>
        <v>0</v>
      </c>
      <c r="DW6" s="3">
        <f t="shared" ref="DW6:DW9" si="54">DG6</f>
        <v>0</v>
      </c>
      <c r="DX6" s="3">
        <f t="shared" ref="DX6:DX9" si="55">DH6</f>
        <v>0</v>
      </c>
      <c r="DY6" s="3">
        <f t="shared" ref="DY6:DY9" si="56">DI6</f>
        <v>0</v>
      </c>
      <c r="DZ6" s="2">
        <f>'Demand Stage 2'!AH5</f>
        <v>10</v>
      </c>
      <c r="EA6" s="2">
        <f>'Demand Stage 2'!AI5</f>
        <v>10</v>
      </c>
      <c r="EB6" s="2">
        <f>'Demand Stage 2'!AJ5</f>
        <v>10</v>
      </c>
      <c r="EC6" s="2">
        <f>'Demand Stage 2'!AK5</f>
        <v>40</v>
      </c>
      <c r="ED6" s="2">
        <f>'Demand Stage 2'!AL5</f>
        <v>40</v>
      </c>
      <c r="EE6" s="2">
        <f>'Demand Stage 2'!AM5</f>
        <v>40</v>
      </c>
      <c r="EF6" s="2">
        <f>'Demand Stage 2'!AN5</f>
        <v>40</v>
      </c>
      <c r="EG6" s="2">
        <f>'Demand Stage 2'!AO5</f>
        <v>20</v>
      </c>
      <c r="EH6" s="3">
        <f>'Demand Stage 2'!AP5</f>
        <v>0</v>
      </c>
      <c r="EI6" s="3">
        <f>'Demand Stage 2'!AQ5</f>
        <v>0</v>
      </c>
      <c r="EJ6" s="3">
        <f>'Demand Stage 2'!AR5</f>
        <v>0</v>
      </c>
      <c r="EK6" s="3">
        <f>'Demand Stage 2'!AS5</f>
        <v>0</v>
      </c>
      <c r="EL6" s="3">
        <f>'Demand Stage 2'!AT5</f>
        <v>0</v>
      </c>
      <c r="EM6" s="3">
        <f>'Demand Stage 2'!AU5</f>
        <v>0</v>
      </c>
      <c r="EN6" s="3">
        <f>'Demand Stage 2'!AV5</f>
        <v>0</v>
      </c>
      <c r="EO6" s="3">
        <f>'Demand Stage 2'!AW5</f>
        <v>0</v>
      </c>
      <c r="EP6" s="2">
        <f t="shared" ref="EP6:EP9" si="57">DZ6</f>
        <v>10</v>
      </c>
      <c r="EQ6" s="2">
        <f t="shared" si="26"/>
        <v>10</v>
      </c>
      <c r="ER6" s="2">
        <f t="shared" si="26"/>
        <v>10</v>
      </c>
      <c r="ES6" s="2">
        <f t="shared" si="26"/>
        <v>40</v>
      </c>
      <c r="ET6" s="2">
        <f t="shared" si="26"/>
        <v>40</v>
      </c>
      <c r="EU6" s="2">
        <f t="shared" si="26"/>
        <v>40</v>
      </c>
      <c r="EV6" s="2">
        <f t="shared" si="26"/>
        <v>40</v>
      </c>
      <c r="EW6" s="2">
        <f t="shared" si="26"/>
        <v>20</v>
      </c>
      <c r="EX6" s="3">
        <f t="shared" ref="EX6:EX9" si="58">EH6</f>
        <v>0</v>
      </c>
      <c r="EY6" s="3">
        <f t="shared" si="27"/>
        <v>0</v>
      </c>
      <c r="EZ6" s="3">
        <f t="shared" si="27"/>
        <v>0</v>
      </c>
      <c r="FA6" s="3">
        <f t="shared" si="27"/>
        <v>0</v>
      </c>
      <c r="FB6" s="3">
        <f t="shared" si="27"/>
        <v>0</v>
      </c>
      <c r="FC6" s="3">
        <f t="shared" si="27"/>
        <v>0</v>
      </c>
      <c r="FD6" s="3">
        <f t="shared" si="27"/>
        <v>0</v>
      </c>
      <c r="FE6" s="3">
        <f t="shared" si="27"/>
        <v>0</v>
      </c>
      <c r="FF6" s="2">
        <f t="shared" ref="FF6:FF9" si="59">EP6</f>
        <v>10</v>
      </c>
      <c r="FG6" s="2">
        <f t="shared" ref="FG6:FG9" si="60">EQ6</f>
        <v>10</v>
      </c>
      <c r="FH6" s="2">
        <f t="shared" ref="FH6:FH9" si="61">ER6</f>
        <v>10</v>
      </c>
      <c r="FI6" s="2">
        <f t="shared" ref="FI6:FI9" si="62">ES6</f>
        <v>40</v>
      </c>
      <c r="FJ6" s="2">
        <f t="shared" ref="FJ6:FJ9" si="63">ET6</f>
        <v>40</v>
      </c>
      <c r="FK6" s="2">
        <f t="shared" ref="FK6:FK9" si="64">EU6</f>
        <v>40</v>
      </c>
      <c r="FL6" s="2">
        <f t="shared" ref="FL6:FL9" si="65">EV6</f>
        <v>40</v>
      </c>
      <c r="FM6" s="2">
        <f t="shared" ref="FM6:FM9" si="66">EW6</f>
        <v>20</v>
      </c>
      <c r="FN6" s="3">
        <f t="shared" ref="FN6:FN9" si="67">EX6</f>
        <v>0</v>
      </c>
      <c r="FO6" s="3">
        <f t="shared" ref="FO6:FO9" si="68">EY6</f>
        <v>0</v>
      </c>
      <c r="FP6" s="3">
        <f t="shared" ref="FP6:FP9" si="69">EZ6</f>
        <v>0</v>
      </c>
      <c r="FQ6" s="3">
        <f t="shared" ref="FQ6:FQ9" si="70">FA6</f>
        <v>0</v>
      </c>
      <c r="FR6" s="3">
        <f t="shared" ref="FR6:FR9" si="71">FB6</f>
        <v>0</v>
      </c>
      <c r="FS6" s="3">
        <f t="shared" ref="FS6:FS9" si="72">FC6</f>
        <v>0</v>
      </c>
      <c r="FT6" s="3">
        <f t="shared" ref="FT6:FT9" si="73">FD6</f>
        <v>0</v>
      </c>
      <c r="FU6" s="3">
        <f t="shared" ref="FU6:FU9" si="74">FE6</f>
        <v>0</v>
      </c>
      <c r="FV6" s="2">
        <f t="shared" ref="FV6:FV9" si="75">FF6</f>
        <v>10</v>
      </c>
      <c r="FW6" s="2">
        <f t="shared" si="30"/>
        <v>10</v>
      </c>
      <c r="FX6" s="2">
        <f t="shared" si="30"/>
        <v>10</v>
      </c>
      <c r="FY6" s="2">
        <f t="shared" si="30"/>
        <v>40</v>
      </c>
      <c r="FZ6" s="2">
        <f t="shared" si="30"/>
        <v>40</v>
      </c>
      <c r="GA6" s="2">
        <f t="shared" si="30"/>
        <v>40</v>
      </c>
      <c r="GB6" s="2">
        <f t="shared" si="30"/>
        <v>40</v>
      </c>
      <c r="GC6" s="2">
        <f t="shared" si="30"/>
        <v>20</v>
      </c>
      <c r="GD6" s="3">
        <f t="shared" ref="GD6:GD9" si="76">FN6</f>
        <v>0</v>
      </c>
      <c r="GE6" s="3">
        <f t="shared" si="31"/>
        <v>0</v>
      </c>
      <c r="GF6" s="3">
        <f t="shared" si="31"/>
        <v>0</v>
      </c>
      <c r="GG6" s="3">
        <f t="shared" si="31"/>
        <v>0</v>
      </c>
      <c r="GH6" s="3">
        <f t="shared" si="31"/>
        <v>0</v>
      </c>
      <c r="GI6" s="3">
        <f t="shared" si="31"/>
        <v>0</v>
      </c>
      <c r="GJ6" s="3">
        <f t="shared" si="31"/>
        <v>0</v>
      </c>
      <c r="GK6" s="3">
        <f t="shared" si="31"/>
        <v>0</v>
      </c>
      <c r="GL6" s="2">
        <f>'Demand Stage 2'!AX5</f>
        <v>10</v>
      </c>
      <c r="GM6" s="2">
        <f>'Demand Stage 2'!AY5</f>
        <v>10</v>
      </c>
      <c r="GN6" s="2">
        <f>'Demand Stage 2'!AZ5</f>
        <v>10</v>
      </c>
      <c r="GO6" s="2">
        <f>'Demand Stage 2'!BA5</f>
        <v>40</v>
      </c>
      <c r="GP6" s="2">
        <f>'Demand Stage 2'!BB5</f>
        <v>40</v>
      </c>
      <c r="GQ6" s="2">
        <f>'Demand Stage 2'!BC5</f>
        <v>40</v>
      </c>
      <c r="GR6" s="2">
        <f>'Demand Stage 2'!BD5</f>
        <v>40</v>
      </c>
      <c r="GS6" s="2">
        <f>'Demand Stage 2'!BE5</f>
        <v>20</v>
      </c>
      <c r="GT6" s="3">
        <f>'Demand Stage 2'!BF5</f>
        <v>0</v>
      </c>
      <c r="GU6" s="3">
        <f>'Demand Stage 2'!BG5</f>
        <v>0</v>
      </c>
      <c r="GV6" s="3">
        <f>'Demand Stage 2'!BH5</f>
        <v>0</v>
      </c>
      <c r="GW6" s="3">
        <f>'Demand Stage 2'!BI5</f>
        <v>0</v>
      </c>
      <c r="GX6" s="3">
        <f>'Demand Stage 2'!BJ5</f>
        <v>0</v>
      </c>
      <c r="GY6" s="3">
        <f>'Demand Stage 2'!BK5</f>
        <v>0</v>
      </c>
      <c r="GZ6" s="3">
        <f>'Demand Stage 2'!BL5</f>
        <v>0</v>
      </c>
      <c r="HA6" s="3">
        <f>'Demand Stage 2'!BM5</f>
        <v>0</v>
      </c>
      <c r="HB6" s="2">
        <f>GL6</f>
        <v>10</v>
      </c>
      <c r="HC6" s="2">
        <f t="shared" ref="HC6:HI9" si="77">GM6</f>
        <v>10</v>
      </c>
      <c r="HD6" s="2">
        <f t="shared" si="77"/>
        <v>10</v>
      </c>
      <c r="HE6" s="2">
        <f t="shared" si="77"/>
        <v>40</v>
      </c>
      <c r="HF6" s="2">
        <f t="shared" si="77"/>
        <v>40</v>
      </c>
      <c r="HG6" s="2">
        <f t="shared" si="77"/>
        <v>40</v>
      </c>
      <c r="HH6" s="2">
        <f t="shared" si="77"/>
        <v>40</v>
      </c>
      <c r="HI6" s="2">
        <f t="shared" si="77"/>
        <v>20</v>
      </c>
      <c r="HJ6" s="3">
        <f t="shared" ref="HJ6:HJ9" si="78">GT6</f>
        <v>0</v>
      </c>
      <c r="HK6" s="3">
        <f t="shared" ref="HK6:HK9" si="79">GU6</f>
        <v>0</v>
      </c>
      <c r="HL6" s="3">
        <f t="shared" ref="HL6:HL9" si="80">GV6</f>
        <v>0</v>
      </c>
      <c r="HM6" s="3">
        <f t="shared" ref="HM6:HM9" si="81">GW6</f>
        <v>0</v>
      </c>
      <c r="HN6" s="3">
        <f t="shared" ref="HN6:HN9" si="82">GX6</f>
        <v>0</v>
      </c>
      <c r="HO6" s="3">
        <f t="shared" ref="HO6:HO9" si="83">GY6</f>
        <v>0</v>
      </c>
      <c r="HP6" s="3">
        <f t="shared" ref="HP6:HP9" si="84">GZ6</f>
        <v>0</v>
      </c>
      <c r="HQ6" s="3">
        <f t="shared" ref="HQ6:HQ9" si="85">HA6</f>
        <v>0</v>
      </c>
      <c r="HR6" s="2">
        <f t="shared" ref="HR6:HR9" si="86">HB6</f>
        <v>10</v>
      </c>
      <c r="HS6" s="2">
        <f t="shared" si="34"/>
        <v>10</v>
      </c>
      <c r="HT6" s="2">
        <f t="shared" si="34"/>
        <v>10</v>
      </c>
      <c r="HU6" s="2">
        <f t="shared" si="34"/>
        <v>40</v>
      </c>
      <c r="HV6" s="2">
        <f t="shared" si="34"/>
        <v>40</v>
      </c>
      <c r="HW6" s="2">
        <f t="shared" si="34"/>
        <v>40</v>
      </c>
      <c r="HX6" s="2">
        <f t="shared" si="34"/>
        <v>40</v>
      </c>
      <c r="HY6" s="2">
        <f t="shared" si="34"/>
        <v>20</v>
      </c>
      <c r="HZ6" s="3">
        <f t="shared" ref="HZ6:HZ9" si="87">HJ6</f>
        <v>0</v>
      </c>
      <c r="IA6" s="3">
        <f t="shared" si="35"/>
        <v>0</v>
      </c>
      <c r="IB6" s="3">
        <f t="shared" si="35"/>
        <v>0</v>
      </c>
      <c r="IC6" s="3">
        <f t="shared" si="35"/>
        <v>0</v>
      </c>
      <c r="ID6" s="3">
        <f t="shared" si="35"/>
        <v>0</v>
      </c>
      <c r="IE6" s="3">
        <f t="shared" si="35"/>
        <v>0</v>
      </c>
      <c r="IF6" s="3">
        <f t="shared" si="35"/>
        <v>0</v>
      </c>
      <c r="IG6" s="3">
        <f t="shared" si="35"/>
        <v>0</v>
      </c>
      <c r="IH6" s="2">
        <f t="shared" ref="IH6:IH9" si="88">HR6</f>
        <v>10</v>
      </c>
      <c r="II6" s="2">
        <f t="shared" si="36"/>
        <v>10</v>
      </c>
      <c r="IJ6" s="2">
        <f t="shared" si="36"/>
        <v>10</v>
      </c>
      <c r="IK6" s="2">
        <f t="shared" si="36"/>
        <v>40</v>
      </c>
      <c r="IL6" s="2">
        <f t="shared" si="36"/>
        <v>40</v>
      </c>
      <c r="IM6" s="2">
        <f t="shared" si="36"/>
        <v>40</v>
      </c>
      <c r="IN6" s="2">
        <f t="shared" si="36"/>
        <v>40</v>
      </c>
      <c r="IO6" s="2">
        <f t="shared" si="36"/>
        <v>20</v>
      </c>
      <c r="IP6" s="3">
        <f t="shared" ref="IP6:IP9" si="89">HZ6</f>
        <v>0</v>
      </c>
      <c r="IQ6" s="3">
        <f t="shared" si="37"/>
        <v>0</v>
      </c>
      <c r="IR6" s="3">
        <f t="shared" si="37"/>
        <v>0</v>
      </c>
      <c r="IS6" s="3">
        <f t="shared" si="37"/>
        <v>0</v>
      </c>
      <c r="IT6" s="3">
        <f t="shared" si="37"/>
        <v>0</v>
      </c>
      <c r="IU6" s="3">
        <f t="shared" si="37"/>
        <v>0</v>
      </c>
      <c r="IV6" s="3">
        <f t="shared" si="37"/>
        <v>0</v>
      </c>
      <c r="IW6" s="3">
        <f t="shared" si="37"/>
        <v>0</v>
      </c>
    </row>
    <row r="7" spans="1:257" x14ac:dyDescent="0.2">
      <c r="A7" s="1">
        <v>1</v>
      </c>
      <c r="B7" s="2">
        <f>'Demand Stage 2'!B6</f>
        <v>10</v>
      </c>
      <c r="C7" s="2">
        <f>'Demand Stage 2'!C6</f>
        <v>10</v>
      </c>
      <c r="D7" s="2">
        <f>'Demand Stage 2'!D6</f>
        <v>10</v>
      </c>
      <c r="E7" s="2">
        <f>'Demand Stage 2'!E6</f>
        <v>50</v>
      </c>
      <c r="F7" s="2">
        <f>'Demand Stage 2'!F6</f>
        <v>50</v>
      </c>
      <c r="G7" s="2">
        <f>'Demand Stage 2'!G6</f>
        <v>40</v>
      </c>
      <c r="H7" s="2">
        <f>'Demand Stage 2'!H6</f>
        <v>50</v>
      </c>
      <c r="I7" s="2">
        <f>'Demand Stage 2'!I6</f>
        <v>20</v>
      </c>
      <c r="J7" s="3">
        <f>'Demand Stage 2'!J6</f>
        <v>0</v>
      </c>
      <c r="K7" s="3">
        <f>'Demand Stage 2'!K6</f>
        <v>0</v>
      </c>
      <c r="L7" s="3">
        <f>'Demand Stage 2'!L6</f>
        <v>0</v>
      </c>
      <c r="M7" s="3">
        <f>'Demand Stage 2'!M6</f>
        <v>0</v>
      </c>
      <c r="N7" s="3">
        <f>'Demand Stage 2'!N6</f>
        <v>0</v>
      </c>
      <c r="O7" s="3">
        <f>'Demand Stage 2'!O6</f>
        <v>0</v>
      </c>
      <c r="P7" s="3">
        <f>'Demand Stage 2'!P6</f>
        <v>0</v>
      </c>
      <c r="Q7" s="3">
        <f>'Demand Stage 2'!Q6</f>
        <v>0</v>
      </c>
      <c r="R7" s="2">
        <f>'Demand Stage 2'!B6</f>
        <v>10</v>
      </c>
      <c r="S7" s="2">
        <f>'Demand Stage 2'!C6</f>
        <v>10</v>
      </c>
      <c r="T7" s="2">
        <f>'Demand Stage 2'!D6</f>
        <v>10</v>
      </c>
      <c r="U7" s="2">
        <f>'Demand Stage 2'!E6</f>
        <v>50</v>
      </c>
      <c r="V7" s="2">
        <f>'Demand Stage 2'!F6</f>
        <v>50</v>
      </c>
      <c r="W7" s="2">
        <f>'Demand Stage 2'!G6</f>
        <v>40</v>
      </c>
      <c r="X7" s="2">
        <f>'Demand Stage 2'!H6</f>
        <v>50</v>
      </c>
      <c r="Y7" s="2">
        <f>'Demand Stage 2'!I6</f>
        <v>20</v>
      </c>
      <c r="Z7" s="3">
        <f>'Demand Stage 2'!J6</f>
        <v>0</v>
      </c>
      <c r="AA7" s="3">
        <f>'Demand Stage 2'!K6</f>
        <v>0</v>
      </c>
      <c r="AB7" s="3">
        <f>'Demand Stage 2'!L6</f>
        <v>0</v>
      </c>
      <c r="AC7" s="3">
        <f>'Demand Stage 2'!M6</f>
        <v>0</v>
      </c>
      <c r="AD7" s="3">
        <f>'Demand Stage 2'!N6</f>
        <v>0</v>
      </c>
      <c r="AE7" s="3">
        <f>'Demand Stage 2'!O6</f>
        <v>0</v>
      </c>
      <c r="AF7" s="3">
        <f>'Demand Stage 2'!P6</f>
        <v>0</v>
      </c>
      <c r="AG7" s="3">
        <f>'Demand Stage 2'!Q6</f>
        <v>0</v>
      </c>
      <c r="AH7" s="2">
        <f>'Demand Stage 2'!B6</f>
        <v>10</v>
      </c>
      <c r="AI7" s="2">
        <f>'Demand Stage 2'!C6</f>
        <v>10</v>
      </c>
      <c r="AJ7" s="2">
        <f>'Demand Stage 2'!D6</f>
        <v>10</v>
      </c>
      <c r="AK7" s="2">
        <f>'Demand Stage 2'!E6</f>
        <v>50</v>
      </c>
      <c r="AL7" s="2">
        <f>'Demand Stage 2'!F6</f>
        <v>50</v>
      </c>
      <c r="AM7" s="2">
        <f>'Demand Stage 2'!G6</f>
        <v>40</v>
      </c>
      <c r="AN7" s="2">
        <f>'Demand Stage 2'!H6</f>
        <v>50</v>
      </c>
      <c r="AO7" s="2">
        <f>'Demand Stage 2'!I6</f>
        <v>20</v>
      </c>
      <c r="AP7" s="3">
        <f>'Demand Stage 2'!J6</f>
        <v>0</v>
      </c>
      <c r="AQ7" s="3">
        <f>'Demand Stage 2'!K6</f>
        <v>0</v>
      </c>
      <c r="AR7" s="3">
        <f>'Demand Stage 2'!L6</f>
        <v>0</v>
      </c>
      <c r="AS7" s="3">
        <f>'Demand Stage 2'!M6</f>
        <v>0</v>
      </c>
      <c r="AT7" s="3">
        <f>'Demand Stage 2'!N6</f>
        <v>0</v>
      </c>
      <c r="AU7" s="3">
        <f>'Demand Stage 2'!O6</f>
        <v>0</v>
      </c>
      <c r="AV7" s="3">
        <f>'Demand Stage 2'!P6</f>
        <v>0</v>
      </c>
      <c r="AW7" s="3">
        <f>'Demand Stage 2'!Q6</f>
        <v>0</v>
      </c>
      <c r="AX7" s="2">
        <f>'Demand Stage 2'!B6</f>
        <v>10</v>
      </c>
      <c r="AY7" s="2">
        <f>'Demand Stage 2'!C6</f>
        <v>10</v>
      </c>
      <c r="AZ7" s="2">
        <f>'Demand Stage 2'!D6</f>
        <v>10</v>
      </c>
      <c r="BA7" s="2">
        <f>'Demand Stage 2'!E6</f>
        <v>50</v>
      </c>
      <c r="BB7" s="2">
        <f>'Demand Stage 2'!F6</f>
        <v>50</v>
      </c>
      <c r="BC7" s="2">
        <f>'Demand Stage 2'!G6</f>
        <v>40</v>
      </c>
      <c r="BD7" s="2">
        <f>'Demand Stage 2'!H6</f>
        <v>50</v>
      </c>
      <c r="BE7" s="2">
        <f>'Demand Stage 2'!I6</f>
        <v>20</v>
      </c>
      <c r="BF7" s="3">
        <f>'Demand Stage 2'!J6</f>
        <v>0</v>
      </c>
      <c r="BG7" s="3">
        <f>'Demand Stage 2'!K6</f>
        <v>0</v>
      </c>
      <c r="BH7" s="3">
        <f>'Demand Stage 2'!L6</f>
        <v>0</v>
      </c>
      <c r="BI7" s="3">
        <f>'Demand Stage 2'!M6</f>
        <v>0</v>
      </c>
      <c r="BJ7" s="3">
        <f>'Demand Stage 2'!N6</f>
        <v>0</v>
      </c>
      <c r="BK7" s="3">
        <f>'Demand Stage 2'!O6</f>
        <v>0</v>
      </c>
      <c r="BL7" s="3">
        <f>'Demand Stage 2'!P6</f>
        <v>0</v>
      </c>
      <c r="BM7" s="3">
        <f>'Demand Stage 2'!Q6</f>
        <v>0</v>
      </c>
      <c r="BN7" s="2">
        <f>'Demand Stage 2'!R6</f>
        <v>10</v>
      </c>
      <c r="BO7" s="2">
        <f>'Demand Stage 2'!S6</f>
        <v>10</v>
      </c>
      <c r="BP7" s="2">
        <f>'Demand Stage 2'!T6</f>
        <v>10</v>
      </c>
      <c r="BQ7" s="2">
        <f>'Demand Stage 2'!U6</f>
        <v>40</v>
      </c>
      <c r="BR7" s="2">
        <f>'Demand Stage 2'!V6</f>
        <v>40</v>
      </c>
      <c r="BS7" s="2">
        <f>'Demand Stage 2'!W6</f>
        <v>40</v>
      </c>
      <c r="BT7" s="2">
        <f>'Demand Stage 2'!X6</f>
        <v>50</v>
      </c>
      <c r="BU7" s="2">
        <f>'Demand Stage 2'!Y6</f>
        <v>20</v>
      </c>
      <c r="BV7" s="3">
        <f>'Demand Stage 2'!Z6</f>
        <v>0</v>
      </c>
      <c r="BW7" s="3">
        <f>'Demand Stage 2'!AA6</f>
        <v>0</v>
      </c>
      <c r="BX7" s="3">
        <f>'Demand Stage 2'!AB6</f>
        <v>0</v>
      </c>
      <c r="BY7" s="3">
        <f>'Demand Stage 2'!AC6</f>
        <v>0</v>
      </c>
      <c r="BZ7" s="3">
        <f>'Demand Stage 2'!AD6</f>
        <v>0</v>
      </c>
      <c r="CA7" s="3">
        <f>'Demand Stage 2'!AE6</f>
        <v>0</v>
      </c>
      <c r="CB7" s="3">
        <f>'Demand Stage 2'!AF6</f>
        <v>0</v>
      </c>
      <c r="CC7" s="3">
        <f>'Demand Stage 2'!AG6</f>
        <v>0</v>
      </c>
      <c r="CD7" s="2">
        <f t="shared" si="38"/>
        <v>10</v>
      </c>
      <c r="CE7" s="2">
        <f t="shared" si="14"/>
        <v>10</v>
      </c>
      <c r="CF7" s="2">
        <f t="shared" si="14"/>
        <v>10</v>
      </c>
      <c r="CG7" s="2">
        <f t="shared" si="14"/>
        <v>40</v>
      </c>
      <c r="CH7" s="2">
        <f t="shared" si="14"/>
        <v>40</v>
      </c>
      <c r="CI7" s="2">
        <f t="shared" si="14"/>
        <v>40</v>
      </c>
      <c r="CJ7" s="2">
        <f t="shared" si="14"/>
        <v>50</v>
      </c>
      <c r="CK7" s="2">
        <f t="shared" si="14"/>
        <v>20</v>
      </c>
      <c r="CL7" s="3">
        <f t="shared" si="39"/>
        <v>0</v>
      </c>
      <c r="CM7" s="3">
        <f t="shared" si="15"/>
        <v>0</v>
      </c>
      <c r="CN7" s="3">
        <f t="shared" si="15"/>
        <v>0</v>
      </c>
      <c r="CO7" s="3">
        <f t="shared" si="15"/>
        <v>0</v>
      </c>
      <c r="CP7" s="3">
        <f t="shared" si="15"/>
        <v>0</v>
      </c>
      <c r="CQ7" s="3">
        <f t="shared" si="15"/>
        <v>0</v>
      </c>
      <c r="CR7" s="3">
        <f t="shared" si="15"/>
        <v>0</v>
      </c>
      <c r="CS7" s="3">
        <f t="shared" si="15"/>
        <v>0</v>
      </c>
      <c r="CT7" s="2">
        <f t="shared" ref="CT7:CT9" si="90">CD7</f>
        <v>10</v>
      </c>
      <c r="CU7" s="2">
        <f t="shared" si="40"/>
        <v>10</v>
      </c>
      <c r="CV7" s="2">
        <f t="shared" si="40"/>
        <v>10</v>
      </c>
      <c r="CW7" s="2">
        <f t="shared" si="40"/>
        <v>40</v>
      </c>
      <c r="CX7" s="2">
        <f t="shared" si="40"/>
        <v>40</v>
      </c>
      <c r="CY7" s="2">
        <f t="shared" si="40"/>
        <v>40</v>
      </c>
      <c r="CZ7" s="2">
        <f t="shared" si="40"/>
        <v>50</v>
      </c>
      <c r="DA7" s="2">
        <f t="shared" si="40"/>
        <v>20</v>
      </c>
      <c r="DB7" s="3">
        <f t="shared" si="16"/>
        <v>0</v>
      </c>
      <c r="DC7" s="3">
        <f t="shared" si="17"/>
        <v>0</v>
      </c>
      <c r="DD7" s="3">
        <f t="shared" si="18"/>
        <v>0</v>
      </c>
      <c r="DE7" s="3">
        <f t="shared" si="19"/>
        <v>0</v>
      </c>
      <c r="DF7" s="3">
        <f t="shared" si="20"/>
        <v>0</v>
      </c>
      <c r="DG7" s="3">
        <f t="shared" si="21"/>
        <v>0</v>
      </c>
      <c r="DH7" s="3">
        <f t="shared" si="22"/>
        <v>0</v>
      </c>
      <c r="DI7" s="3">
        <f t="shared" si="23"/>
        <v>0</v>
      </c>
      <c r="DJ7" s="2">
        <f t="shared" si="41"/>
        <v>10</v>
      </c>
      <c r="DK7" s="2">
        <f t="shared" si="42"/>
        <v>10</v>
      </c>
      <c r="DL7" s="2">
        <f t="shared" si="43"/>
        <v>10</v>
      </c>
      <c r="DM7" s="2">
        <f t="shared" si="44"/>
        <v>40</v>
      </c>
      <c r="DN7" s="2">
        <f t="shared" si="45"/>
        <v>40</v>
      </c>
      <c r="DO7" s="2">
        <f t="shared" si="46"/>
        <v>40</v>
      </c>
      <c r="DP7" s="2">
        <f t="shared" si="47"/>
        <v>50</v>
      </c>
      <c r="DQ7" s="2">
        <f t="shared" si="48"/>
        <v>20</v>
      </c>
      <c r="DR7" s="3">
        <f t="shared" si="49"/>
        <v>0</v>
      </c>
      <c r="DS7" s="3">
        <f t="shared" si="50"/>
        <v>0</v>
      </c>
      <c r="DT7" s="3">
        <f t="shared" si="51"/>
        <v>0</v>
      </c>
      <c r="DU7" s="3">
        <f t="shared" si="52"/>
        <v>0</v>
      </c>
      <c r="DV7" s="3">
        <f t="shared" si="53"/>
        <v>0</v>
      </c>
      <c r="DW7" s="3">
        <f t="shared" si="54"/>
        <v>0</v>
      </c>
      <c r="DX7" s="3">
        <f t="shared" si="55"/>
        <v>0</v>
      </c>
      <c r="DY7" s="3">
        <f t="shared" si="56"/>
        <v>0</v>
      </c>
      <c r="DZ7" s="2">
        <f>'Demand Stage 2'!AH6</f>
        <v>10</v>
      </c>
      <c r="EA7" s="2">
        <f>'Demand Stage 2'!AI6</f>
        <v>10</v>
      </c>
      <c r="EB7" s="2">
        <f>'Demand Stage 2'!AJ6</f>
        <v>10</v>
      </c>
      <c r="EC7" s="2">
        <f>'Demand Stage 2'!AK6</f>
        <v>50</v>
      </c>
      <c r="ED7" s="2">
        <f>'Demand Stage 2'!AL6</f>
        <v>50</v>
      </c>
      <c r="EE7" s="2">
        <f>'Demand Stage 2'!AM6</f>
        <v>40</v>
      </c>
      <c r="EF7" s="2">
        <f>'Demand Stage 2'!AN6</f>
        <v>40</v>
      </c>
      <c r="EG7" s="2">
        <f>'Demand Stage 2'!AO6</f>
        <v>20</v>
      </c>
      <c r="EH7" s="3">
        <f>'Demand Stage 2'!AP6</f>
        <v>0</v>
      </c>
      <c r="EI7" s="3">
        <f>'Demand Stage 2'!AQ6</f>
        <v>0</v>
      </c>
      <c r="EJ7" s="3">
        <f>'Demand Stage 2'!AR6</f>
        <v>0</v>
      </c>
      <c r="EK7" s="3">
        <f>'Demand Stage 2'!AS6</f>
        <v>0</v>
      </c>
      <c r="EL7" s="3">
        <f>'Demand Stage 2'!AT6</f>
        <v>0</v>
      </c>
      <c r="EM7" s="3">
        <f>'Demand Stage 2'!AU6</f>
        <v>0</v>
      </c>
      <c r="EN7" s="3">
        <f>'Demand Stage 2'!AV6</f>
        <v>0</v>
      </c>
      <c r="EO7" s="3">
        <f>'Demand Stage 2'!AW6</f>
        <v>0</v>
      </c>
      <c r="EP7" s="2">
        <f t="shared" si="57"/>
        <v>10</v>
      </c>
      <c r="EQ7" s="2">
        <f t="shared" si="26"/>
        <v>10</v>
      </c>
      <c r="ER7" s="2">
        <f t="shared" si="26"/>
        <v>10</v>
      </c>
      <c r="ES7" s="2">
        <f t="shared" si="26"/>
        <v>50</v>
      </c>
      <c r="ET7" s="2">
        <f t="shared" si="26"/>
        <v>50</v>
      </c>
      <c r="EU7" s="2">
        <f t="shared" si="26"/>
        <v>40</v>
      </c>
      <c r="EV7" s="2">
        <f t="shared" si="26"/>
        <v>40</v>
      </c>
      <c r="EW7" s="2">
        <f t="shared" si="26"/>
        <v>20</v>
      </c>
      <c r="EX7" s="3">
        <f t="shared" si="58"/>
        <v>0</v>
      </c>
      <c r="EY7" s="3">
        <f t="shared" si="27"/>
        <v>0</v>
      </c>
      <c r="EZ7" s="3">
        <f t="shared" si="27"/>
        <v>0</v>
      </c>
      <c r="FA7" s="3">
        <f t="shared" si="27"/>
        <v>0</v>
      </c>
      <c r="FB7" s="3">
        <f t="shared" si="27"/>
        <v>0</v>
      </c>
      <c r="FC7" s="3">
        <f t="shared" si="27"/>
        <v>0</v>
      </c>
      <c r="FD7" s="3">
        <f t="shared" si="27"/>
        <v>0</v>
      </c>
      <c r="FE7" s="3">
        <f t="shared" si="27"/>
        <v>0</v>
      </c>
      <c r="FF7" s="2">
        <f t="shared" si="59"/>
        <v>10</v>
      </c>
      <c r="FG7" s="2">
        <f t="shared" si="60"/>
        <v>10</v>
      </c>
      <c r="FH7" s="2">
        <f t="shared" si="61"/>
        <v>10</v>
      </c>
      <c r="FI7" s="2">
        <f t="shared" si="62"/>
        <v>50</v>
      </c>
      <c r="FJ7" s="2">
        <f t="shared" si="63"/>
        <v>50</v>
      </c>
      <c r="FK7" s="2">
        <f t="shared" si="64"/>
        <v>40</v>
      </c>
      <c r="FL7" s="2">
        <f t="shared" si="65"/>
        <v>40</v>
      </c>
      <c r="FM7" s="2">
        <f t="shared" si="66"/>
        <v>20</v>
      </c>
      <c r="FN7" s="3">
        <f t="shared" si="67"/>
        <v>0</v>
      </c>
      <c r="FO7" s="3">
        <f t="shared" si="68"/>
        <v>0</v>
      </c>
      <c r="FP7" s="3">
        <f t="shared" si="69"/>
        <v>0</v>
      </c>
      <c r="FQ7" s="3">
        <f t="shared" si="70"/>
        <v>0</v>
      </c>
      <c r="FR7" s="3">
        <f t="shared" si="71"/>
        <v>0</v>
      </c>
      <c r="FS7" s="3">
        <f t="shared" si="72"/>
        <v>0</v>
      </c>
      <c r="FT7" s="3">
        <f t="shared" si="73"/>
        <v>0</v>
      </c>
      <c r="FU7" s="3">
        <f t="shared" si="74"/>
        <v>0</v>
      </c>
      <c r="FV7" s="2">
        <f t="shared" si="75"/>
        <v>10</v>
      </c>
      <c r="FW7" s="2">
        <f t="shared" si="30"/>
        <v>10</v>
      </c>
      <c r="FX7" s="2">
        <f t="shared" si="30"/>
        <v>10</v>
      </c>
      <c r="FY7" s="2">
        <f t="shared" si="30"/>
        <v>50</v>
      </c>
      <c r="FZ7" s="2">
        <f t="shared" si="30"/>
        <v>50</v>
      </c>
      <c r="GA7" s="2">
        <f t="shared" si="30"/>
        <v>40</v>
      </c>
      <c r="GB7" s="2">
        <f t="shared" si="30"/>
        <v>40</v>
      </c>
      <c r="GC7" s="2">
        <f t="shared" si="30"/>
        <v>20</v>
      </c>
      <c r="GD7" s="3">
        <f t="shared" si="76"/>
        <v>0</v>
      </c>
      <c r="GE7" s="3">
        <f t="shared" si="31"/>
        <v>0</v>
      </c>
      <c r="GF7" s="3">
        <f t="shared" si="31"/>
        <v>0</v>
      </c>
      <c r="GG7" s="3">
        <f t="shared" si="31"/>
        <v>0</v>
      </c>
      <c r="GH7" s="3">
        <f t="shared" si="31"/>
        <v>0</v>
      </c>
      <c r="GI7" s="3">
        <f t="shared" si="31"/>
        <v>0</v>
      </c>
      <c r="GJ7" s="3">
        <f t="shared" si="31"/>
        <v>0</v>
      </c>
      <c r="GK7" s="3">
        <f t="shared" si="31"/>
        <v>0</v>
      </c>
      <c r="GL7" s="2">
        <f>'Demand Stage 2'!AX6</f>
        <v>10</v>
      </c>
      <c r="GM7" s="2">
        <f>'Demand Stage 2'!AY6</f>
        <v>10</v>
      </c>
      <c r="GN7" s="2">
        <f>'Demand Stage 2'!AZ6</f>
        <v>10</v>
      </c>
      <c r="GO7" s="2">
        <f>'Demand Stage 2'!BA6</f>
        <v>40</v>
      </c>
      <c r="GP7" s="2">
        <f>'Demand Stage 2'!BB6</f>
        <v>40</v>
      </c>
      <c r="GQ7" s="2">
        <f>'Demand Stage 2'!BC6</f>
        <v>40</v>
      </c>
      <c r="GR7" s="2">
        <f>'Demand Stage 2'!BD6</f>
        <v>40</v>
      </c>
      <c r="GS7" s="2">
        <f>'Demand Stage 2'!BE6</f>
        <v>20</v>
      </c>
      <c r="GT7" s="3">
        <f>'Demand Stage 2'!BF6</f>
        <v>0</v>
      </c>
      <c r="GU7" s="3">
        <f>'Demand Stage 2'!BG6</f>
        <v>0</v>
      </c>
      <c r="GV7" s="3">
        <f>'Demand Stage 2'!BH6</f>
        <v>0</v>
      </c>
      <c r="GW7" s="3">
        <f>'Demand Stage 2'!BI6</f>
        <v>0</v>
      </c>
      <c r="GX7" s="3">
        <f>'Demand Stage 2'!BJ6</f>
        <v>0</v>
      </c>
      <c r="GY7" s="3">
        <f>'Demand Stage 2'!BK6</f>
        <v>0</v>
      </c>
      <c r="GZ7" s="3">
        <f>'Demand Stage 2'!BL6</f>
        <v>0</v>
      </c>
      <c r="HA7" s="3">
        <f>'Demand Stage 2'!BM6</f>
        <v>0</v>
      </c>
      <c r="HB7" s="2">
        <f t="shared" ref="HB7:HB9" si="91">GL7</f>
        <v>10</v>
      </c>
      <c r="HC7" s="2">
        <f t="shared" si="77"/>
        <v>10</v>
      </c>
      <c r="HD7" s="2">
        <f t="shared" si="77"/>
        <v>10</v>
      </c>
      <c r="HE7" s="2">
        <f t="shared" si="77"/>
        <v>40</v>
      </c>
      <c r="HF7" s="2">
        <f t="shared" si="77"/>
        <v>40</v>
      </c>
      <c r="HG7" s="2">
        <f t="shared" si="77"/>
        <v>40</v>
      </c>
      <c r="HH7" s="2">
        <f t="shared" si="77"/>
        <v>40</v>
      </c>
      <c r="HI7" s="2">
        <f t="shared" si="77"/>
        <v>20</v>
      </c>
      <c r="HJ7" s="3">
        <f t="shared" si="78"/>
        <v>0</v>
      </c>
      <c r="HK7" s="3">
        <f t="shared" si="79"/>
        <v>0</v>
      </c>
      <c r="HL7" s="3">
        <f t="shared" si="80"/>
        <v>0</v>
      </c>
      <c r="HM7" s="3">
        <f t="shared" si="81"/>
        <v>0</v>
      </c>
      <c r="HN7" s="3">
        <f t="shared" si="82"/>
        <v>0</v>
      </c>
      <c r="HO7" s="3">
        <f t="shared" si="83"/>
        <v>0</v>
      </c>
      <c r="HP7" s="3">
        <f t="shared" si="84"/>
        <v>0</v>
      </c>
      <c r="HQ7" s="3">
        <f t="shared" si="85"/>
        <v>0</v>
      </c>
      <c r="HR7" s="2">
        <f t="shared" si="86"/>
        <v>10</v>
      </c>
      <c r="HS7" s="2">
        <f t="shared" si="34"/>
        <v>10</v>
      </c>
      <c r="HT7" s="2">
        <f t="shared" si="34"/>
        <v>10</v>
      </c>
      <c r="HU7" s="2">
        <f t="shared" si="34"/>
        <v>40</v>
      </c>
      <c r="HV7" s="2">
        <f t="shared" si="34"/>
        <v>40</v>
      </c>
      <c r="HW7" s="2">
        <f t="shared" si="34"/>
        <v>40</v>
      </c>
      <c r="HX7" s="2">
        <f t="shared" si="34"/>
        <v>40</v>
      </c>
      <c r="HY7" s="2">
        <f t="shared" si="34"/>
        <v>20</v>
      </c>
      <c r="HZ7" s="3">
        <f t="shared" si="87"/>
        <v>0</v>
      </c>
      <c r="IA7" s="3">
        <f t="shared" si="35"/>
        <v>0</v>
      </c>
      <c r="IB7" s="3">
        <f t="shared" si="35"/>
        <v>0</v>
      </c>
      <c r="IC7" s="3">
        <f t="shared" si="35"/>
        <v>0</v>
      </c>
      <c r="ID7" s="3">
        <f t="shared" si="35"/>
        <v>0</v>
      </c>
      <c r="IE7" s="3">
        <f t="shared" si="35"/>
        <v>0</v>
      </c>
      <c r="IF7" s="3">
        <f t="shared" si="35"/>
        <v>0</v>
      </c>
      <c r="IG7" s="3">
        <f t="shared" si="35"/>
        <v>0</v>
      </c>
      <c r="IH7" s="2">
        <f t="shared" si="88"/>
        <v>10</v>
      </c>
      <c r="II7" s="2">
        <f t="shared" si="36"/>
        <v>10</v>
      </c>
      <c r="IJ7" s="2">
        <f t="shared" si="36"/>
        <v>10</v>
      </c>
      <c r="IK7" s="2">
        <f t="shared" si="36"/>
        <v>40</v>
      </c>
      <c r="IL7" s="2">
        <f t="shared" si="36"/>
        <v>40</v>
      </c>
      <c r="IM7" s="2">
        <f t="shared" si="36"/>
        <v>40</v>
      </c>
      <c r="IN7" s="2">
        <f t="shared" si="36"/>
        <v>40</v>
      </c>
      <c r="IO7" s="2">
        <f t="shared" si="36"/>
        <v>20</v>
      </c>
      <c r="IP7" s="3">
        <f t="shared" si="89"/>
        <v>0</v>
      </c>
      <c r="IQ7" s="3">
        <f t="shared" si="37"/>
        <v>0</v>
      </c>
      <c r="IR7" s="3">
        <f t="shared" si="37"/>
        <v>0</v>
      </c>
      <c r="IS7" s="3">
        <f t="shared" si="37"/>
        <v>0</v>
      </c>
      <c r="IT7" s="3">
        <f t="shared" si="37"/>
        <v>0</v>
      </c>
      <c r="IU7" s="3">
        <f t="shared" si="37"/>
        <v>0</v>
      </c>
      <c r="IV7" s="3">
        <f t="shared" si="37"/>
        <v>0</v>
      </c>
      <c r="IW7" s="3">
        <f t="shared" si="37"/>
        <v>0</v>
      </c>
    </row>
    <row r="8" spans="1:257" x14ac:dyDescent="0.2">
      <c r="A8" s="1">
        <v>2</v>
      </c>
      <c r="B8" s="2">
        <f>'Demand Stage 2'!B7</f>
        <v>10</v>
      </c>
      <c r="C8" s="2">
        <f>'Demand Stage 2'!C7</f>
        <v>10</v>
      </c>
      <c r="D8" s="2">
        <f>'Demand Stage 2'!D7</f>
        <v>10</v>
      </c>
      <c r="E8" s="2">
        <f>'Demand Stage 2'!E7</f>
        <v>40</v>
      </c>
      <c r="F8" s="2">
        <f>'Demand Stage 2'!F7</f>
        <v>40</v>
      </c>
      <c r="G8" s="2">
        <f>'Demand Stage 2'!G7</f>
        <v>40</v>
      </c>
      <c r="H8" s="2">
        <f>'Demand Stage 2'!H7</f>
        <v>35</v>
      </c>
      <c r="I8" s="2">
        <f>'Demand Stage 2'!I7</f>
        <v>20</v>
      </c>
      <c r="J8" s="3">
        <f>'Demand Stage 2'!J7</f>
        <v>0</v>
      </c>
      <c r="K8" s="3">
        <f>'Demand Stage 2'!K7</f>
        <v>0</v>
      </c>
      <c r="L8" s="3">
        <f>'Demand Stage 2'!L7</f>
        <v>0</v>
      </c>
      <c r="M8" s="3">
        <f>'Demand Stage 2'!M7</f>
        <v>0</v>
      </c>
      <c r="N8" s="3">
        <f>'Demand Stage 2'!N7</f>
        <v>0</v>
      </c>
      <c r="O8" s="3">
        <f>'Demand Stage 2'!O7</f>
        <v>0</v>
      </c>
      <c r="P8" s="3">
        <f>'Demand Stage 2'!P7</f>
        <v>0</v>
      </c>
      <c r="Q8" s="3">
        <f>'Demand Stage 2'!Q7</f>
        <v>0</v>
      </c>
      <c r="R8" s="2">
        <f>'Demand Stage 2'!B7</f>
        <v>10</v>
      </c>
      <c r="S8" s="2">
        <f>'Demand Stage 2'!C7</f>
        <v>10</v>
      </c>
      <c r="T8" s="2">
        <f>'Demand Stage 2'!D7</f>
        <v>10</v>
      </c>
      <c r="U8" s="2">
        <f>'Demand Stage 2'!E7</f>
        <v>40</v>
      </c>
      <c r="V8" s="2">
        <f>'Demand Stage 2'!F7</f>
        <v>40</v>
      </c>
      <c r="W8" s="2">
        <f>'Demand Stage 2'!G7</f>
        <v>40</v>
      </c>
      <c r="X8" s="2">
        <f>'Demand Stage 2'!H7</f>
        <v>35</v>
      </c>
      <c r="Y8" s="2">
        <f>'Demand Stage 2'!I7</f>
        <v>20</v>
      </c>
      <c r="Z8" s="3">
        <f>'Demand Stage 2'!J7</f>
        <v>0</v>
      </c>
      <c r="AA8" s="3">
        <f>'Demand Stage 2'!K7</f>
        <v>0</v>
      </c>
      <c r="AB8" s="3">
        <f>'Demand Stage 2'!L7</f>
        <v>0</v>
      </c>
      <c r="AC8" s="3">
        <f>'Demand Stage 2'!M7</f>
        <v>0</v>
      </c>
      <c r="AD8" s="3">
        <f>'Demand Stage 2'!N7</f>
        <v>0</v>
      </c>
      <c r="AE8" s="3">
        <f>'Demand Stage 2'!O7</f>
        <v>0</v>
      </c>
      <c r="AF8" s="3">
        <f>'Demand Stage 2'!P7</f>
        <v>0</v>
      </c>
      <c r="AG8" s="3">
        <f>'Demand Stage 2'!Q7</f>
        <v>0</v>
      </c>
      <c r="AH8" s="2">
        <f>'Demand Stage 2'!B7</f>
        <v>10</v>
      </c>
      <c r="AI8" s="2">
        <f>'Demand Stage 2'!C7</f>
        <v>10</v>
      </c>
      <c r="AJ8" s="2">
        <f>'Demand Stage 2'!D7</f>
        <v>10</v>
      </c>
      <c r="AK8" s="2">
        <f>'Demand Stage 2'!E7</f>
        <v>40</v>
      </c>
      <c r="AL8" s="2">
        <f>'Demand Stage 2'!F7</f>
        <v>40</v>
      </c>
      <c r="AM8" s="2">
        <f>'Demand Stage 2'!G7</f>
        <v>40</v>
      </c>
      <c r="AN8" s="2">
        <f>'Demand Stage 2'!H7</f>
        <v>35</v>
      </c>
      <c r="AO8" s="2">
        <f>'Demand Stage 2'!I7</f>
        <v>20</v>
      </c>
      <c r="AP8" s="3">
        <f>'Demand Stage 2'!J7</f>
        <v>0</v>
      </c>
      <c r="AQ8" s="3">
        <f>'Demand Stage 2'!K7</f>
        <v>0</v>
      </c>
      <c r="AR8" s="3">
        <f>'Demand Stage 2'!L7</f>
        <v>0</v>
      </c>
      <c r="AS8" s="3">
        <f>'Demand Stage 2'!M7</f>
        <v>0</v>
      </c>
      <c r="AT8" s="3">
        <f>'Demand Stage 2'!N7</f>
        <v>0</v>
      </c>
      <c r="AU8" s="3">
        <f>'Demand Stage 2'!O7</f>
        <v>0</v>
      </c>
      <c r="AV8" s="3">
        <f>'Demand Stage 2'!P7</f>
        <v>0</v>
      </c>
      <c r="AW8" s="3">
        <f>'Demand Stage 2'!Q7</f>
        <v>0</v>
      </c>
      <c r="AX8" s="2">
        <f>'Demand Stage 2'!B7</f>
        <v>10</v>
      </c>
      <c r="AY8" s="2">
        <f>'Demand Stage 2'!C7</f>
        <v>10</v>
      </c>
      <c r="AZ8" s="2">
        <f>'Demand Stage 2'!D7</f>
        <v>10</v>
      </c>
      <c r="BA8" s="2">
        <f>'Demand Stage 2'!E7</f>
        <v>40</v>
      </c>
      <c r="BB8" s="2">
        <f>'Demand Stage 2'!F7</f>
        <v>40</v>
      </c>
      <c r="BC8" s="2">
        <f>'Demand Stage 2'!G7</f>
        <v>40</v>
      </c>
      <c r="BD8" s="2">
        <f>'Demand Stage 2'!H7</f>
        <v>35</v>
      </c>
      <c r="BE8" s="2">
        <f>'Demand Stage 2'!I7</f>
        <v>20</v>
      </c>
      <c r="BF8" s="3">
        <f>'Demand Stage 2'!J7</f>
        <v>0</v>
      </c>
      <c r="BG8" s="3">
        <f>'Demand Stage 2'!K7</f>
        <v>0</v>
      </c>
      <c r="BH8" s="3">
        <f>'Demand Stage 2'!L7</f>
        <v>0</v>
      </c>
      <c r="BI8" s="3">
        <f>'Demand Stage 2'!M7</f>
        <v>0</v>
      </c>
      <c r="BJ8" s="3">
        <f>'Demand Stage 2'!N7</f>
        <v>0</v>
      </c>
      <c r="BK8" s="3">
        <f>'Demand Stage 2'!O7</f>
        <v>0</v>
      </c>
      <c r="BL8" s="3">
        <f>'Demand Stage 2'!P7</f>
        <v>0</v>
      </c>
      <c r="BM8" s="3">
        <f>'Demand Stage 2'!Q7</f>
        <v>0</v>
      </c>
      <c r="BN8" s="2">
        <f>'Demand Stage 2'!R7</f>
        <v>10</v>
      </c>
      <c r="BO8" s="2">
        <f>'Demand Stage 2'!S7</f>
        <v>10</v>
      </c>
      <c r="BP8" s="2">
        <f>'Demand Stage 2'!T7</f>
        <v>10</v>
      </c>
      <c r="BQ8" s="2">
        <f>'Demand Stage 2'!U7</f>
        <v>40</v>
      </c>
      <c r="BR8" s="2">
        <f>'Demand Stage 2'!V7</f>
        <v>40</v>
      </c>
      <c r="BS8" s="2">
        <f>'Demand Stage 2'!W7</f>
        <v>40</v>
      </c>
      <c r="BT8" s="2">
        <f>'Demand Stage 2'!X7</f>
        <v>35</v>
      </c>
      <c r="BU8" s="2">
        <f>'Demand Stage 2'!Y7</f>
        <v>20</v>
      </c>
      <c r="BV8" s="3">
        <f>'Demand Stage 2'!Z7</f>
        <v>0</v>
      </c>
      <c r="BW8" s="3">
        <f>'Demand Stage 2'!AA7</f>
        <v>0</v>
      </c>
      <c r="BX8" s="3">
        <f>'Demand Stage 2'!AB7</f>
        <v>0</v>
      </c>
      <c r="BY8" s="3">
        <f>'Demand Stage 2'!AC7</f>
        <v>0</v>
      </c>
      <c r="BZ8" s="3">
        <f>'Demand Stage 2'!AD7</f>
        <v>0</v>
      </c>
      <c r="CA8" s="3">
        <f>'Demand Stage 2'!AE7</f>
        <v>0</v>
      </c>
      <c r="CB8" s="3">
        <f>'Demand Stage 2'!AF7</f>
        <v>0</v>
      </c>
      <c r="CC8" s="3">
        <f>'Demand Stage 2'!AG7</f>
        <v>0</v>
      </c>
      <c r="CD8" s="2">
        <f t="shared" si="38"/>
        <v>10</v>
      </c>
      <c r="CE8" s="2">
        <f t="shared" si="14"/>
        <v>10</v>
      </c>
      <c r="CF8" s="2">
        <f t="shared" si="14"/>
        <v>10</v>
      </c>
      <c r="CG8" s="2">
        <f t="shared" si="14"/>
        <v>40</v>
      </c>
      <c r="CH8" s="2">
        <f t="shared" si="14"/>
        <v>40</v>
      </c>
      <c r="CI8" s="2">
        <f t="shared" si="14"/>
        <v>40</v>
      </c>
      <c r="CJ8" s="2">
        <f t="shared" si="14"/>
        <v>35</v>
      </c>
      <c r="CK8" s="2">
        <f t="shared" si="14"/>
        <v>20</v>
      </c>
      <c r="CL8" s="3">
        <f t="shared" si="39"/>
        <v>0</v>
      </c>
      <c r="CM8" s="3">
        <f t="shared" si="15"/>
        <v>0</v>
      </c>
      <c r="CN8" s="3">
        <f t="shared" si="15"/>
        <v>0</v>
      </c>
      <c r="CO8" s="3">
        <f t="shared" si="15"/>
        <v>0</v>
      </c>
      <c r="CP8" s="3">
        <f t="shared" si="15"/>
        <v>0</v>
      </c>
      <c r="CQ8" s="3">
        <f t="shared" si="15"/>
        <v>0</v>
      </c>
      <c r="CR8" s="3">
        <f t="shared" si="15"/>
        <v>0</v>
      </c>
      <c r="CS8" s="3">
        <f t="shared" si="15"/>
        <v>0</v>
      </c>
      <c r="CT8" s="2">
        <f t="shared" si="90"/>
        <v>10</v>
      </c>
      <c r="CU8" s="2">
        <f t="shared" si="40"/>
        <v>10</v>
      </c>
      <c r="CV8" s="2">
        <f t="shared" si="40"/>
        <v>10</v>
      </c>
      <c r="CW8" s="2">
        <f t="shared" si="40"/>
        <v>40</v>
      </c>
      <c r="CX8" s="2">
        <f t="shared" si="40"/>
        <v>40</v>
      </c>
      <c r="CY8" s="2">
        <f t="shared" si="40"/>
        <v>40</v>
      </c>
      <c r="CZ8" s="2">
        <f t="shared" si="40"/>
        <v>35</v>
      </c>
      <c r="DA8" s="2">
        <f t="shared" si="40"/>
        <v>20</v>
      </c>
      <c r="DB8" s="3">
        <f t="shared" si="16"/>
        <v>0</v>
      </c>
      <c r="DC8" s="3">
        <f t="shared" si="17"/>
        <v>0</v>
      </c>
      <c r="DD8" s="3">
        <f t="shared" si="18"/>
        <v>0</v>
      </c>
      <c r="DE8" s="3">
        <f t="shared" si="19"/>
        <v>0</v>
      </c>
      <c r="DF8" s="3">
        <f t="shared" si="20"/>
        <v>0</v>
      </c>
      <c r="DG8" s="3">
        <f t="shared" si="21"/>
        <v>0</v>
      </c>
      <c r="DH8" s="3">
        <f t="shared" si="22"/>
        <v>0</v>
      </c>
      <c r="DI8" s="3">
        <f t="shared" si="23"/>
        <v>0</v>
      </c>
      <c r="DJ8" s="2">
        <f t="shared" si="41"/>
        <v>10</v>
      </c>
      <c r="DK8" s="2">
        <f t="shared" si="42"/>
        <v>10</v>
      </c>
      <c r="DL8" s="2">
        <f t="shared" si="43"/>
        <v>10</v>
      </c>
      <c r="DM8" s="2">
        <f t="shared" si="44"/>
        <v>40</v>
      </c>
      <c r="DN8" s="2">
        <f t="shared" si="45"/>
        <v>40</v>
      </c>
      <c r="DO8" s="2">
        <f t="shared" si="46"/>
        <v>40</v>
      </c>
      <c r="DP8" s="2">
        <f t="shared" si="47"/>
        <v>35</v>
      </c>
      <c r="DQ8" s="2">
        <f t="shared" si="48"/>
        <v>20</v>
      </c>
      <c r="DR8" s="3">
        <f t="shared" si="49"/>
        <v>0</v>
      </c>
      <c r="DS8" s="3">
        <f t="shared" si="50"/>
        <v>0</v>
      </c>
      <c r="DT8" s="3">
        <f t="shared" si="51"/>
        <v>0</v>
      </c>
      <c r="DU8" s="3">
        <f t="shared" si="52"/>
        <v>0</v>
      </c>
      <c r="DV8" s="3">
        <f t="shared" si="53"/>
        <v>0</v>
      </c>
      <c r="DW8" s="3">
        <f t="shared" si="54"/>
        <v>0</v>
      </c>
      <c r="DX8" s="3">
        <f t="shared" si="55"/>
        <v>0</v>
      </c>
      <c r="DY8" s="3">
        <f t="shared" si="56"/>
        <v>0</v>
      </c>
      <c r="DZ8" s="2">
        <f>'Demand Stage 2'!AH7</f>
        <v>10</v>
      </c>
      <c r="EA8" s="2">
        <f>'Demand Stage 2'!AI7</f>
        <v>10</v>
      </c>
      <c r="EB8" s="2">
        <f>'Demand Stage 2'!AJ7</f>
        <v>10</v>
      </c>
      <c r="EC8" s="2">
        <f>'Demand Stage 2'!AK7</f>
        <v>40</v>
      </c>
      <c r="ED8" s="2">
        <f>'Demand Stage 2'!AL7</f>
        <v>40</v>
      </c>
      <c r="EE8" s="2">
        <f>'Demand Stage 2'!AM7</f>
        <v>40</v>
      </c>
      <c r="EF8" s="2">
        <f>'Demand Stage 2'!AN7</f>
        <v>35</v>
      </c>
      <c r="EG8" s="2">
        <f>'Demand Stage 2'!AO7</f>
        <v>20</v>
      </c>
      <c r="EH8" s="3">
        <f>'Demand Stage 2'!AP7</f>
        <v>0</v>
      </c>
      <c r="EI8" s="3">
        <f>'Demand Stage 2'!AQ7</f>
        <v>0</v>
      </c>
      <c r="EJ8" s="3">
        <f>'Demand Stage 2'!AR7</f>
        <v>0</v>
      </c>
      <c r="EK8" s="3">
        <f>'Demand Stage 2'!AS7</f>
        <v>0</v>
      </c>
      <c r="EL8" s="3">
        <f>'Demand Stage 2'!AT7</f>
        <v>0</v>
      </c>
      <c r="EM8" s="3">
        <f>'Demand Stage 2'!AU7</f>
        <v>0</v>
      </c>
      <c r="EN8" s="3">
        <f>'Demand Stage 2'!AV7</f>
        <v>0</v>
      </c>
      <c r="EO8" s="3">
        <f>'Demand Stage 2'!AW7</f>
        <v>0</v>
      </c>
      <c r="EP8" s="2">
        <f t="shared" si="57"/>
        <v>10</v>
      </c>
      <c r="EQ8" s="2">
        <f t="shared" si="26"/>
        <v>10</v>
      </c>
      <c r="ER8" s="2">
        <f t="shared" si="26"/>
        <v>10</v>
      </c>
      <c r="ES8" s="2">
        <f t="shared" si="26"/>
        <v>40</v>
      </c>
      <c r="ET8" s="2">
        <f t="shared" si="26"/>
        <v>40</v>
      </c>
      <c r="EU8" s="2">
        <f t="shared" si="26"/>
        <v>40</v>
      </c>
      <c r="EV8" s="2">
        <f t="shared" si="26"/>
        <v>35</v>
      </c>
      <c r="EW8" s="2">
        <f t="shared" si="26"/>
        <v>20</v>
      </c>
      <c r="EX8" s="3">
        <f t="shared" si="58"/>
        <v>0</v>
      </c>
      <c r="EY8" s="3">
        <f t="shared" si="27"/>
        <v>0</v>
      </c>
      <c r="EZ8" s="3">
        <f t="shared" si="27"/>
        <v>0</v>
      </c>
      <c r="FA8" s="3">
        <f t="shared" si="27"/>
        <v>0</v>
      </c>
      <c r="FB8" s="3">
        <f t="shared" si="27"/>
        <v>0</v>
      </c>
      <c r="FC8" s="3">
        <f t="shared" si="27"/>
        <v>0</v>
      </c>
      <c r="FD8" s="3">
        <f t="shared" si="27"/>
        <v>0</v>
      </c>
      <c r="FE8" s="3">
        <f t="shared" si="27"/>
        <v>0</v>
      </c>
      <c r="FF8" s="2">
        <f t="shared" si="59"/>
        <v>10</v>
      </c>
      <c r="FG8" s="2">
        <f t="shared" si="60"/>
        <v>10</v>
      </c>
      <c r="FH8" s="2">
        <f t="shared" si="61"/>
        <v>10</v>
      </c>
      <c r="FI8" s="2">
        <f t="shared" si="62"/>
        <v>40</v>
      </c>
      <c r="FJ8" s="2">
        <f t="shared" si="63"/>
        <v>40</v>
      </c>
      <c r="FK8" s="2">
        <f t="shared" si="64"/>
        <v>40</v>
      </c>
      <c r="FL8" s="2">
        <f t="shared" si="65"/>
        <v>35</v>
      </c>
      <c r="FM8" s="2">
        <f t="shared" si="66"/>
        <v>20</v>
      </c>
      <c r="FN8" s="3">
        <f t="shared" si="67"/>
        <v>0</v>
      </c>
      <c r="FO8" s="3">
        <f t="shared" si="68"/>
        <v>0</v>
      </c>
      <c r="FP8" s="3">
        <f t="shared" si="69"/>
        <v>0</v>
      </c>
      <c r="FQ8" s="3">
        <f t="shared" si="70"/>
        <v>0</v>
      </c>
      <c r="FR8" s="3">
        <f t="shared" si="71"/>
        <v>0</v>
      </c>
      <c r="FS8" s="3">
        <f t="shared" si="72"/>
        <v>0</v>
      </c>
      <c r="FT8" s="3">
        <f t="shared" si="73"/>
        <v>0</v>
      </c>
      <c r="FU8" s="3">
        <f t="shared" si="74"/>
        <v>0</v>
      </c>
      <c r="FV8" s="2">
        <f t="shared" si="75"/>
        <v>10</v>
      </c>
      <c r="FW8" s="2">
        <f t="shared" si="30"/>
        <v>10</v>
      </c>
      <c r="FX8" s="2">
        <f t="shared" si="30"/>
        <v>10</v>
      </c>
      <c r="FY8" s="2">
        <f t="shared" si="30"/>
        <v>40</v>
      </c>
      <c r="FZ8" s="2">
        <f t="shared" si="30"/>
        <v>40</v>
      </c>
      <c r="GA8" s="2">
        <f t="shared" si="30"/>
        <v>40</v>
      </c>
      <c r="GB8" s="2">
        <f t="shared" si="30"/>
        <v>35</v>
      </c>
      <c r="GC8" s="2">
        <f t="shared" si="30"/>
        <v>20</v>
      </c>
      <c r="GD8" s="3">
        <f t="shared" si="76"/>
        <v>0</v>
      </c>
      <c r="GE8" s="3">
        <f t="shared" si="31"/>
        <v>0</v>
      </c>
      <c r="GF8" s="3">
        <f t="shared" si="31"/>
        <v>0</v>
      </c>
      <c r="GG8" s="3">
        <f t="shared" si="31"/>
        <v>0</v>
      </c>
      <c r="GH8" s="3">
        <f t="shared" si="31"/>
        <v>0</v>
      </c>
      <c r="GI8" s="3">
        <f t="shared" si="31"/>
        <v>0</v>
      </c>
      <c r="GJ8" s="3">
        <f t="shared" si="31"/>
        <v>0</v>
      </c>
      <c r="GK8" s="3">
        <f t="shared" si="31"/>
        <v>0</v>
      </c>
      <c r="GL8" s="2">
        <f>'Demand Stage 2'!AX7</f>
        <v>10</v>
      </c>
      <c r="GM8" s="2">
        <f>'Demand Stage 2'!AY7</f>
        <v>10</v>
      </c>
      <c r="GN8" s="2">
        <f>'Demand Stage 2'!AZ7</f>
        <v>10</v>
      </c>
      <c r="GO8" s="2">
        <f>'Demand Stage 2'!BA7</f>
        <v>40</v>
      </c>
      <c r="GP8" s="2">
        <f>'Demand Stage 2'!BB7</f>
        <v>40</v>
      </c>
      <c r="GQ8" s="2">
        <f>'Demand Stage 2'!BC7</f>
        <v>40</v>
      </c>
      <c r="GR8" s="2">
        <f>'Demand Stage 2'!BD7</f>
        <v>35</v>
      </c>
      <c r="GS8" s="2">
        <f>'Demand Stage 2'!BE7</f>
        <v>20</v>
      </c>
      <c r="GT8" s="3">
        <f>'Demand Stage 2'!BF7</f>
        <v>0</v>
      </c>
      <c r="GU8" s="3">
        <f>'Demand Stage 2'!BG7</f>
        <v>0</v>
      </c>
      <c r="GV8" s="3">
        <f>'Demand Stage 2'!BH7</f>
        <v>0</v>
      </c>
      <c r="GW8" s="3">
        <f>'Demand Stage 2'!BI7</f>
        <v>0</v>
      </c>
      <c r="GX8" s="3">
        <f>'Demand Stage 2'!BJ7</f>
        <v>0</v>
      </c>
      <c r="GY8" s="3">
        <f>'Demand Stage 2'!BK7</f>
        <v>0</v>
      </c>
      <c r="GZ8" s="3">
        <f>'Demand Stage 2'!BL7</f>
        <v>0</v>
      </c>
      <c r="HA8" s="3">
        <f>'Demand Stage 2'!BM7</f>
        <v>0</v>
      </c>
      <c r="HB8" s="2">
        <f t="shared" si="91"/>
        <v>10</v>
      </c>
      <c r="HC8" s="2">
        <f t="shared" si="77"/>
        <v>10</v>
      </c>
      <c r="HD8" s="2">
        <f t="shared" si="77"/>
        <v>10</v>
      </c>
      <c r="HE8" s="2">
        <f t="shared" si="77"/>
        <v>40</v>
      </c>
      <c r="HF8" s="2">
        <f t="shared" si="77"/>
        <v>40</v>
      </c>
      <c r="HG8" s="2">
        <f t="shared" si="77"/>
        <v>40</v>
      </c>
      <c r="HH8" s="2">
        <f t="shared" si="77"/>
        <v>35</v>
      </c>
      <c r="HI8" s="2">
        <f t="shared" si="77"/>
        <v>20</v>
      </c>
      <c r="HJ8" s="3">
        <f t="shared" si="78"/>
        <v>0</v>
      </c>
      <c r="HK8" s="3">
        <f t="shared" si="79"/>
        <v>0</v>
      </c>
      <c r="HL8" s="3">
        <f t="shared" si="80"/>
        <v>0</v>
      </c>
      <c r="HM8" s="3">
        <f t="shared" si="81"/>
        <v>0</v>
      </c>
      <c r="HN8" s="3">
        <f t="shared" si="82"/>
        <v>0</v>
      </c>
      <c r="HO8" s="3">
        <f t="shared" si="83"/>
        <v>0</v>
      </c>
      <c r="HP8" s="3">
        <f t="shared" si="84"/>
        <v>0</v>
      </c>
      <c r="HQ8" s="3">
        <f t="shared" si="85"/>
        <v>0</v>
      </c>
      <c r="HR8" s="2">
        <f t="shared" si="86"/>
        <v>10</v>
      </c>
      <c r="HS8" s="2">
        <f t="shared" si="34"/>
        <v>10</v>
      </c>
      <c r="HT8" s="2">
        <f t="shared" si="34"/>
        <v>10</v>
      </c>
      <c r="HU8" s="2">
        <f t="shared" si="34"/>
        <v>40</v>
      </c>
      <c r="HV8" s="2">
        <f t="shared" si="34"/>
        <v>40</v>
      </c>
      <c r="HW8" s="2">
        <f t="shared" si="34"/>
        <v>40</v>
      </c>
      <c r="HX8" s="2">
        <f t="shared" si="34"/>
        <v>35</v>
      </c>
      <c r="HY8" s="2">
        <f t="shared" si="34"/>
        <v>20</v>
      </c>
      <c r="HZ8" s="3">
        <f t="shared" si="87"/>
        <v>0</v>
      </c>
      <c r="IA8" s="3">
        <f t="shared" si="35"/>
        <v>0</v>
      </c>
      <c r="IB8" s="3">
        <f t="shared" si="35"/>
        <v>0</v>
      </c>
      <c r="IC8" s="3">
        <f t="shared" si="35"/>
        <v>0</v>
      </c>
      <c r="ID8" s="3">
        <f t="shared" si="35"/>
        <v>0</v>
      </c>
      <c r="IE8" s="3">
        <f t="shared" si="35"/>
        <v>0</v>
      </c>
      <c r="IF8" s="3">
        <f t="shared" si="35"/>
        <v>0</v>
      </c>
      <c r="IG8" s="3">
        <f t="shared" si="35"/>
        <v>0</v>
      </c>
      <c r="IH8" s="2">
        <f t="shared" si="88"/>
        <v>10</v>
      </c>
      <c r="II8" s="2">
        <f t="shared" si="36"/>
        <v>10</v>
      </c>
      <c r="IJ8" s="2">
        <f t="shared" si="36"/>
        <v>10</v>
      </c>
      <c r="IK8" s="2">
        <f t="shared" si="36"/>
        <v>40</v>
      </c>
      <c r="IL8" s="2">
        <f t="shared" si="36"/>
        <v>40</v>
      </c>
      <c r="IM8" s="2">
        <f t="shared" si="36"/>
        <v>40</v>
      </c>
      <c r="IN8" s="2">
        <f t="shared" si="36"/>
        <v>35</v>
      </c>
      <c r="IO8" s="2">
        <f t="shared" si="36"/>
        <v>20</v>
      </c>
      <c r="IP8" s="3">
        <f t="shared" si="89"/>
        <v>0</v>
      </c>
      <c r="IQ8" s="3">
        <f t="shared" si="37"/>
        <v>0</v>
      </c>
      <c r="IR8" s="3">
        <f t="shared" si="37"/>
        <v>0</v>
      </c>
      <c r="IS8" s="3">
        <f t="shared" si="37"/>
        <v>0</v>
      </c>
      <c r="IT8" s="3">
        <f t="shared" si="37"/>
        <v>0</v>
      </c>
      <c r="IU8" s="3">
        <f t="shared" si="37"/>
        <v>0</v>
      </c>
      <c r="IV8" s="3">
        <f t="shared" si="37"/>
        <v>0</v>
      </c>
      <c r="IW8" s="3">
        <f t="shared" si="37"/>
        <v>0</v>
      </c>
    </row>
    <row r="9" spans="1:257" x14ac:dyDescent="0.2">
      <c r="A9" s="1">
        <v>3</v>
      </c>
      <c r="B9" s="2">
        <f>'Demand Stage 2'!B8</f>
        <v>10</v>
      </c>
      <c r="C9" s="2">
        <f>'Demand Stage 2'!C8</f>
        <v>10</v>
      </c>
      <c r="D9" s="2">
        <f>'Demand Stage 2'!D8</f>
        <v>10</v>
      </c>
      <c r="E9" s="2">
        <f>'Demand Stage 2'!E8</f>
        <v>50</v>
      </c>
      <c r="F9" s="2">
        <f>'Demand Stage 2'!F8</f>
        <v>50</v>
      </c>
      <c r="G9" s="2">
        <f>'Demand Stage 2'!G8</f>
        <v>40</v>
      </c>
      <c r="H9" s="2">
        <f>'Demand Stage 2'!H8</f>
        <v>45</v>
      </c>
      <c r="I9" s="2">
        <f>'Demand Stage 2'!I8</f>
        <v>20</v>
      </c>
      <c r="J9" s="3">
        <f>'Demand Stage 2'!J8</f>
        <v>0</v>
      </c>
      <c r="K9" s="3">
        <f>'Demand Stage 2'!K8</f>
        <v>0</v>
      </c>
      <c r="L9" s="3">
        <f>'Demand Stage 2'!L8</f>
        <v>0</v>
      </c>
      <c r="M9" s="3">
        <f>'Demand Stage 2'!M8</f>
        <v>0</v>
      </c>
      <c r="N9" s="3">
        <f>'Demand Stage 2'!N8</f>
        <v>0</v>
      </c>
      <c r="O9" s="3">
        <f>'Demand Stage 2'!O8</f>
        <v>0</v>
      </c>
      <c r="P9" s="3">
        <f>'Demand Stage 2'!P8</f>
        <v>0</v>
      </c>
      <c r="Q9" s="3">
        <f>'Demand Stage 2'!Q8</f>
        <v>0</v>
      </c>
      <c r="R9" s="2">
        <f>'Demand Stage 2'!B8</f>
        <v>10</v>
      </c>
      <c r="S9" s="2">
        <f>'Demand Stage 2'!C8</f>
        <v>10</v>
      </c>
      <c r="T9" s="2">
        <f>'Demand Stage 2'!D8</f>
        <v>10</v>
      </c>
      <c r="U9" s="2">
        <f>'Demand Stage 2'!E8</f>
        <v>50</v>
      </c>
      <c r="V9" s="2">
        <f>'Demand Stage 2'!F8</f>
        <v>50</v>
      </c>
      <c r="W9" s="2">
        <f>'Demand Stage 2'!G8</f>
        <v>40</v>
      </c>
      <c r="X9" s="2">
        <f>'Demand Stage 2'!H8</f>
        <v>45</v>
      </c>
      <c r="Y9" s="2">
        <f>'Demand Stage 2'!I8</f>
        <v>20</v>
      </c>
      <c r="Z9" s="3">
        <f>'Demand Stage 2'!J8</f>
        <v>0</v>
      </c>
      <c r="AA9" s="3">
        <f>'Demand Stage 2'!K8</f>
        <v>0</v>
      </c>
      <c r="AB9" s="3">
        <f>'Demand Stage 2'!L8</f>
        <v>0</v>
      </c>
      <c r="AC9" s="3">
        <f>'Demand Stage 2'!M8</f>
        <v>0</v>
      </c>
      <c r="AD9" s="3">
        <f>'Demand Stage 2'!N8</f>
        <v>0</v>
      </c>
      <c r="AE9" s="3">
        <f>'Demand Stage 2'!O8</f>
        <v>0</v>
      </c>
      <c r="AF9" s="3">
        <f>'Demand Stage 2'!P8</f>
        <v>0</v>
      </c>
      <c r="AG9" s="3">
        <f>'Demand Stage 2'!Q8</f>
        <v>0</v>
      </c>
      <c r="AH9" s="2">
        <f>'Demand Stage 2'!B8</f>
        <v>10</v>
      </c>
      <c r="AI9" s="2">
        <f>'Demand Stage 2'!C8</f>
        <v>10</v>
      </c>
      <c r="AJ9" s="2">
        <f>'Demand Stage 2'!D8</f>
        <v>10</v>
      </c>
      <c r="AK9" s="2">
        <f>'Demand Stage 2'!E8</f>
        <v>50</v>
      </c>
      <c r="AL9" s="2">
        <f>'Demand Stage 2'!F8</f>
        <v>50</v>
      </c>
      <c r="AM9" s="2">
        <f>'Demand Stage 2'!G8</f>
        <v>40</v>
      </c>
      <c r="AN9" s="2">
        <f>'Demand Stage 2'!H8</f>
        <v>45</v>
      </c>
      <c r="AO9" s="2">
        <f>'Demand Stage 2'!I8</f>
        <v>20</v>
      </c>
      <c r="AP9" s="3">
        <f>'Demand Stage 2'!J8</f>
        <v>0</v>
      </c>
      <c r="AQ9" s="3">
        <f>'Demand Stage 2'!K8</f>
        <v>0</v>
      </c>
      <c r="AR9" s="3">
        <f>'Demand Stage 2'!L8</f>
        <v>0</v>
      </c>
      <c r="AS9" s="3">
        <f>'Demand Stage 2'!M8</f>
        <v>0</v>
      </c>
      <c r="AT9" s="3">
        <f>'Demand Stage 2'!N8</f>
        <v>0</v>
      </c>
      <c r="AU9" s="3">
        <f>'Demand Stage 2'!O8</f>
        <v>0</v>
      </c>
      <c r="AV9" s="3">
        <f>'Demand Stage 2'!P8</f>
        <v>0</v>
      </c>
      <c r="AW9" s="3">
        <f>'Demand Stage 2'!Q8</f>
        <v>0</v>
      </c>
      <c r="AX9" s="2">
        <f>'Demand Stage 2'!B8</f>
        <v>10</v>
      </c>
      <c r="AY9" s="2">
        <f>'Demand Stage 2'!C8</f>
        <v>10</v>
      </c>
      <c r="AZ9" s="2">
        <f>'Demand Stage 2'!D8</f>
        <v>10</v>
      </c>
      <c r="BA9" s="2">
        <f>'Demand Stage 2'!E8</f>
        <v>50</v>
      </c>
      <c r="BB9" s="2">
        <f>'Demand Stage 2'!F8</f>
        <v>50</v>
      </c>
      <c r="BC9" s="2">
        <f>'Demand Stage 2'!G8</f>
        <v>40</v>
      </c>
      <c r="BD9" s="2">
        <f>'Demand Stage 2'!H8</f>
        <v>45</v>
      </c>
      <c r="BE9" s="2">
        <f>'Demand Stage 2'!I8</f>
        <v>20</v>
      </c>
      <c r="BF9" s="3">
        <f>'Demand Stage 2'!J8</f>
        <v>0</v>
      </c>
      <c r="BG9" s="3">
        <f>'Demand Stage 2'!K8</f>
        <v>0</v>
      </c>
      <c r="BH9" s="3">
        <f>'Demand Stage 2'!L8</f>
        <v>0</v>
      </c>
      <c r="BI9" s="3">
        <f>'Demand Stage 2'!M8</f>
        <v>0</v>
      </c>
      <c r="BJ9" s="3">
        <f>'Demand Stage 2'!N8</f>
        <v>0</v>
      </c>
      <c r="BK9" s="3">
        <f>'Demand Stage 2'!O8</f>
        <v>0</v>
      </c>
      <c r="BL9" s="3">
        <f>'Demand Stage 2'!P8</f>
        <v>0</v>
      </c>
      <c r="BM9" s="3">
        <f>'Demand Stage 2'!Q8</f>
        <v>0</v>
      </c>
      <c r="BN9" s="2">
        <f>'Demand Stage 2'!R8</f>
        <v>10</v>
      </c>
      <c r="BO9" s="2">
        <f>'Demand Stage 2'!S8</f>
        <v>10</v>
      </c>
      <c r="BP9" s="2">
        <f>'Demand Stage 2'!T8</f>
        <v>10</v>
      </c>
      <c r="BQ9" s="2">
        <f>'Demand Stage 2'!U8</f>
        <v>40</v>
      </c>
      <c r="BR9" s="2">
        <f>'Demand Stage 2'!V8</f>
        <v>40</v>
      </c>
      <c r="BS9" s="2">
        <f>'Demand Stage 2'!W8</f>
        <v>40</v>
      </c>
      <c r="BT9" s="2">
        <f>'Demand Stage 2'!X8</f>
        <v>45</v>
      </c>
      <c r="BU9" s="2">
        <f>'Demand Stage 2'!Y8</f>
        <v>20</v>
      </c>
      <c r="BV9" s="3">
        <f>'Demand Stage 2'!Z8</f>
        <v>0</v>
      </c>
      <c r="BW9" s="3">
        <f>'Demand Stage 2'!AA8</f>
        <v>0</v>
      </c>
      <c r="BX9" s="3">
        <f>'Demand Stage 2'!AB8</f>
        <v>0</v>
      </c>
      <c r="BY9" s="3">
        <f>'Demand Stage 2'!AC8</f>
        <v>0</v>
      </c>
      <c r="BZ9" s="3">
        <f>'Demand Stage 2'!AD8</f>
        <v>0</v>
      </c>
      <c r="CA9" s="3">
        <f>'Demand Stage 2'!AE8</f>
        <v>0</v>
      </c>
      <c r="CB9" s="3">
        <f>'Demand Stage 2'!AF8</f>
        <v>0</v>
      </c>
      <c r="CC9" s="3">
        <f>'Demand Stage 2'!AG8</f>
        <v>0</v>
      </c>
      <c r="CD9" s="2">
        <f t="shared" si="38"/>
        <v>10</v>
      </c>
      <c r="CE9" s="2">
        <f t="shared" si="14"/>
        <v>10</v>
      </c>
      <c r="CF9" s="2">
        <f t="shared" si="14"/>
        <v>10</v>
      </c>
      <c r="CG9" s="2">
        <f t="shared" si="14"/>
        <v>40</v>
      </c>
      <c r="CH9" s="2">
        <f t="shared" si="14"/>
        <v>40</v>
      </c>
      <c r="CI9" s="2">
        <f t="shared" si="14"/>
        <v>40</v>
      </c>
      <c r="CJ9" s="2">
        <f t="shared" si="14"/>
        <v>45</v>
      </c>
      <c r="CK9" s="2">
        <f t="shared" si="14"/>
        <v>20</v>
      </c>
      <c r="CL9" s="3">
        <f t="shared" si="39"/>
        <v>0</v>
      </c>
      <c r="CM9" s="3">
        <f t="shared" si="15"/>
        <v>0</v>
      </c>
      <c r="CN9" s="3">
        <f t="shared" si="15"/>
        <v>0</v>
      </c>
      <c r="CO9" s="3">
        <f t="shared" si="15"/>
        <v>0</v>
      </c>
      <c r="CP9" s="3">
        <f t="shared" si="15"/>
        <v>0</v>
      </c>
      <c r="CQ9" s="3">
        <f t="shared" si="15"/>
        <v>0</v>
      </c>
      <c r="CR9" s="3">
        <f t="shared" si="15"/>
        <v>0</v>
      </c>
      <c r="CS9" s="3">
        <f t="shared" si="15"/>
        <v>0</v>
      </c>
      <c r="CT9" s="2">
        <f t="shared" si="90"/>
        <v>10</v>
      </c>
      <c r="CU9" s="2">
        <f t="shared" si="40"/>
        <v>10</v>
      </c>
      <c r="CV9" s="2">
        <f t="shared" si="40"/>
        <v>10</v>
      </c>
      <c r="CW9" s="2">
        <f t="shared" si="40"/>
        <v>40</v>
      </c>
      <c r="CX9" s="2">
        <f t="shared" si="40"/>
        <v>40</v>
      </c>
      <c r="CY9" s="2">
        <f t="shared" si="40"/>
        <v>40</v>
      </c>
      <c r="CZ9" s="2">
        <f t="shared" si="40"/>
        <v>45</v>
      </c>
      <c r="DA9" s="2">
        <f t="shared" si="40"/>
        <v>20</v>
      </c>
      <c r="DB9" s="3">
        <f>CL9</f>
        <v>0</v>
      </c>
      <c r="DC9" s="3">
        <f t="shared" si="17"/>
        <v>0</v>
      </c>
      <c r="DD9" s="3">
        <f t="shared" si="18"/>
        <v>0</v>
      </c>
      <c r="DE9" s="3">
        <f t="shared" si="19"/>
        <v>0</v>
      </c>
      <c r="DF9" s="3">
        <f t="shared" si="20"/>
        <v>0</v>
      </c>
      <c r="DG9" s="3">
        <f t="shared" si="21"/>
        <v>0</v>
      </c>
      <c r="DH9" s="3">
        <f t="shared" si="22"/>
        <v>0</v>
      </c>
      <c r="DI9" s="3">
        <f t="shared" si="23"/>
        <v>0</v>
      </c>
      <c r="DJ9" s="2">
        <f t="shared" si="41"/>
        <v>10</v>
      </c>
      <c r="DK9" s="2">
        <f t="shared" si="42"/>
        <v>10</v>
      </c>
      <c r="DL9" s="2">
        <f t="shared" si="43"/>
        <v>10</v>
      </c>
      <c r="DM9" s="2">
        <f t="shared" si="44"/>
        <v>40</v>
      </c>
      <c r="DN9" s="2">
        <f t="shared" si="45"/>
        <v>40</v>
      </c>
      <c r="DO9" s="2">
        <f t="shared" si="46"/>
        <v>40</v>
      </c>
      <c r="DP9" s="2">
        <f t="shared" si="47"/>
        <v>45</v>
      </c>
      <c r="DQ9" s="2">
        <f t="shared" si="48"/>
        <v>20</v>
      </c>
      <c r="DR9" s="3">
        <f t="shared" si="49"/>
        <v>0</v>
      </c>
      <c r="DS9" s="3">
        <f t="shared" si="50"/>
        <v>0</v>
      </c>
      <c r="DT9" s="3">
        <f t="shared" si="51"/>
        <v>0</v>
      </c>
      <c r="DU9" s="3">
        <f t="shared" si="52"/>
        <v>0</v>
      </c>
      <c r="DV9" s="3">
        <f t="shared" si="53"/>
        <v>0</v>
      </c>
      <c r="DW9" s="3">
        <f t="shared" si="54"/>
        <v>0</v>
      </c>
      <c r="DX9" s="3">
        <f t="shared" si="55"/>
        <v>0</v>
      </c>
      <c r="DY9" s="3">
        <f t="shared" si="56"/>
        <v>0</v>
      </c>
      <c r="DZ9" s="2">
        <f>'Demand Stage 2'!AH8</f>
        <v>10</v>
      </c>
      <c r="EA9" s="2">
        <f>'Demand Stage 2'!AI8</f>
        <v>10</v>
      </c>
      <c r="EB9" s="2">
        <f>'Demand Stage 2'!AJ8</f>
        <v>10</v>
      </c>
      <c r="EC9" s="2">
        <f>'Demand Stage 2'!AK8</f>
        <v>50</v>
      </c>
      <c r="ED9" s="2">
        <f>'Demand Stage 2'!AL8</f>
        <v>50</v>
      </c>
      <c r="EE9" s="2">
        <f>'Demand Stage 2'!AM8</f>
        <v>40</v>
      </c>
      <c r="EF9" s="2">
        <f>'Demand Stage 2'!AN8</f>
        <v>35</v>
      </c>
      <c r="EG9" s="2">
        <f>'Demand Stage 2'!AO8</f>
        <v>20</v>
      </c>
      <c r="EH9" s="3">
        <f>'Demand Stage 2'!AP8</f>
        <v>0</v>
      </c>
      <c r="EI9" s="3">
        <f>'Demand Stage 2'!AQ8</f>
        <v>0</v>
      </c>
      <c r="EJ9" s="3">
        <f>'Demand Stage 2'!AR8</f>
        <v>0</v>
      </c>
      <c r="EK9" s="3">
        <f>'Demand Stage 2'!AS8</f>
        <v>0</v>
      </c>
      <c r="EL9" s="3">
        <f>'Demand Stage 2'!AT8</f>
        <v>0</v>
      </c>
      <c r="EM9" s="3">
        <f>'Demand Stage 2'!AU8</f>
        <v>0</v>
      </c>
      <c r="EN9" s="3">
        <f>'Demand Stage 2'!AV8</f>
        <v>0</v>
      </c>
      <c r="EO9" s="3">
        <f>'Demand Stage 2'!AW8</f>
        <v>0</v>
      </c>
      <c r="EP9" s="2">
        <f t="shared" si="57"/>
        <v>10</v>
      </c>
      <c r="EQ9" s="2">
        <f t="shared" si="26"/>
        <v>10</v>
      </c>
      <c r="ER9" s="2">
        <f t="shared" si="26"/>
        <v>10</v>
      </c>
      <c r="ES9" s="2">
        <f t="shared" si="26"/>
        <v>50</v>
      </c>
      <c r="ET9" s="2">
        <f t="shared" si="26"/>
        <v>50</v>
      </c>
      <c r="EU9" s="2">
        <f t="shared" si="26"/>
        <v>40</v>
      </c>
      <c r="EV9" s="2">
        <f t="shared" si="26"/>
        <v>35</v>
      </c>
      <c r="EW9" s="2">
        <f t="shared" si="26"/>
        <v>20</v>
      </c>
      <c r="EX9" s="3">
        <f t="shared" si="58"/>
        <v>0</v>
      </c>
      <c r="EY9" s="3">
        <f t="shared" si="27"/>
        <v>0</v>
      </c>
      <c r="EZ9" s="3">
        <f t="shared" si="27"/>
        <v>0</v>
      </c>
      <c r="FA9" s="3">
        <f t="shared" si="27"/>
        <v>0</v>
      </c>
      <c r="FB9" s="3">
        <f t="shared" si="27"/>
        <v>0</v>
      </c>
      <c r="FC9" s="3">
        <f t="shared" si="27"/>
        <v>0</v>
      </c>
      <c r="FD9" s="3">
        <f t="shared" si="27"/>
        <v>0</v>
      </c>
      <c r="FE9" s="3">
        <f t="shared" si="27"/>
        <v>0</v>
      </c>
      <c r="FF9" s="2">
        <f t="shared" si="59"/>
        <v>10</v>
      </c>
      <c r="FG9" s="2">
        <f t="shared" si="60"/>
        <v>10</v>
      </c>
      <c r="FH9" s="2">
        <f t="shared" si="61"/>
        <v>10</v>
      </c>
      <c r="FI9" s="2">
        <f t="shared" si="62"/>
        <v>50</v>
      </c>
      <c r="FJ9" s="2">
        <f t="shared" si="63"/>
        <v>50</v>
      </c>
      <c r="FK9" s="2">
        <f t="shared" si="64"/>
        <v>40</v>
      </c>
      <c r="FL9" s="2">
        <f t="shared" si="65"/>
        <v>35</v>
      </c>
      <c r="FM9" s="2">
        <f t="shared" si="66"/>
        <v>20</v>
      </c>
      <c r="FN9" s="3">
        <f t="shared" si="67"/>
        <v>0</v>
      </c>
      <c r="FO9" s="3">
        <f t="shared" si="68"/>
        <v>0</v>
      </c>
      <c r="FP9" s="3">
        <f t="shared" si="69"/>
        <v>0</v>
      </c>
      <c r="FQ9" s="3">
        <f t="shared" si="70"/>
        <v>0</v>
      </c>
      <c r="FR9" s="3">
        <f t="shared" si="71"/>
        <v>0</v>
      </c>
      <c r="FS9" s="3">
        <f t="shared" si="72"/>
        <v>0</v>
      </c>
      <c r="FT9" s="3">
        <f t="shared" si="73"/>
        <v>0</v>
      </c>
      <c r="FU9" s="3">
        <f t="shared" si="74"/>
        <v>0</v>
      </c>
      <c r="FV9" s="2">
        <f t="shared" si="75"/>
        <v>10</v>
      </c>
      <c r="FW9" s="2">
        <f t="shared" si="30"/>
        <v>10</v>
      </c>
      <c r="FX9" s="2">
        <f t="shared" si="30"/>
        <v>10</v>
      </c>
      <c r="FY9" s="2">
        <f t="shared" si="30"/>
        <v>50</v>
      </c>
      <c r="FZ9" s="2">
        <f t="shared" si="30"/>
        <v>50</v>
      </c>
      <c r="GA9" s="2">
        <f t="shared" si="30"/>
        <v>40</v>
      </c>
      <c r="GB9" s="2">
        <f t="shared" si="30"/>
        <v>35</v>
      </c>
      <c r="GC9" s="2">
        <f t="shared" si="30"/>
        <v>20</v>
      </c>
      <c r="GD9" s="3">
        <f t="shared" si="76"/>
        <v>0</v>
      </c>
      <c r="GE9" s="3">
        <f t="shared" si="31"/>
        <v>0</v>
      </c>
      <c r="GF9" s="3">
        <f t="shared" si="31"/>
        <v>0</v>
      </c>
      <c r="GG9" s="3">
        <f t="shared" si="31"/>
        <v>0</v>
      </c>
      <c r="GH9" s="3">
        <f t="shared" si="31"/>
        <v>0</v>
      </c>
      <c r="GI9" s="3">
        <f t="shared" si="31"/>
        <v>0</v>
      </c>
      <c r="GJ9" s="3">
        <f t="shared" si="31"/>
        <v>0</v>
      </c>
      <c r="GK9" s="3">
        <f t="shared" si="31"/>
        <v>0</v>
      </c>
      <c r="GL9" s="2">
        <f>'Demand Stage 2'!AX8</f>
        <v>10</v>
      </c>
      <c r="GM9" s="2">
        <f>'Demand Stage 2'!AY8</f>
        <v>10</v>
      </c>
      <c r="GN9" s="2">
        <f>'Demand Stage 2'!AZ8</f>
        <v>10</v>
      </c>
      <c r="GO9" s="2">
        <f>'Demand Stage 2'!BA8</f>
        <v>40</v>
      </c>
      <c r="GP9" s="2">
        <f>'Demand Stage 2'!BB8</f>
        <v>40</v>
      </c>
      <c r="GQ9" s="2">
        <f>'Demand Stage 2'!BC8</f>
        <v>40</v>
      </c>
      <c r="GR9" s="2">
        <f>'Demand Stage 2'!BD8</f>
        <v>35</v>
      </c>
      <c r="GS9" s="2">
        <f>'Demand Stage 2'!BE8</f>
        <v>20</v>
      </c>
      <c r="GT9" s="3">
        <f>'Demand Stage 2'!BF8</f>
        <v>0</v>
      </c>
      <c r="GU9" s="3">
        <f>'Demand Stage 2'!BG8</f>
        <v>0</v>
      </c>
      <c r="GV9" s="3">
        <f>'Demand Stage 2'!BH8</f>
        <v>0</v>
      </c>
      <c r="GW9" s="3">
        <f>'Demand Stage 2'!BI8</f>
        <v>0</v>
      </c>
      <c r="GX9" s="3">
        <f>'Demand Stage 2'!BJ8</f>
        <v>0</v>
      </c>
      <c r="GY9" s="3">
        <f>'Demand Stage 2'!BK8</f>
        <v>0</v>
      </c>
      <c r="GZ9" s="3">
        <f>'Demand Stage 2'!BL8</f>
        <v>0</v>
      </c>
      <c r="HA9" s="3">
        <f>'Demand Stage 2'!BM8</f>
        <v>0</v>
      </c>
      <c r="HB9" s="2">
        <f t="shared" si="91"/>
        <v>10</v>
      </c>
      <c r="HC9" s="2">
        <f t="shared" si="77"/>
        <v>10</v>
      </c>
      <c r="HD9" s="2">
        <f t="shared" si="77"/>
        <v>10</v>
      </c>
      <c r="HE9" s="2">
        <f t="shared" si="77"/>
        <v>40</v>
      </c>
      <c r="HF9" s="2">
        <f t="shared" si="77"/>
        <v>40</v>
      </c>
      <c r="HG9" s="2">
        <f t="shared" si="77"/>
        <v>40</v>
      </c>
      <c r="HH9" s="2">
        <f t="shared" si="77"/>
        <v>35</v>
      </c>
      <c r="HI9" s="2">
        <f t="shared" si="77"/>
        <v>20</v>
      </c>
      <c r="HJ9" s="3">
        <f t="shared" si="78"/>
        <v>0</v>
      </c>
      <c r="HK9" s="3">
        <f t="shared" si="79"/>
        <v>0</v>
      </c>
      <c r="HL9" s="3">
        <f t="shared" si="80"/>
        <v>0</v>
      </c>
      <c r="HM9" s="3">
        <f t="shared" si="81"/>
        <v>0</v>
      </c>
      <c r="HN9" s="3">
        <f t="shared" si="82"/>
        <v>0</v>
      </c>
      <c r="HO9" s="3">
        <f t="shared" si="83"/>
        <v>0</v>
      </c>
      <c r="HP9" s="3">
        <f t="shared" si="84"/>
        <v>0</v>
      </c>
      <c r="HQ9" s="3">
        <f t="shared" si="85"/>
        <v>0</v>
      </c>
      <c r="HR9" s="2">
        <f t="shared" si="86"/>
        <v>10</v>
      </c>
      <c r="HS9" s="2">
        <f t="shared" si="34"/>
        <v>10</v>
      </c>
      <c r="HT9" s="2">
        <f t="shared" si="34"/>
        <v>10</v>
      </c>
      <c r="HU9" s="2">
        <f t="shared" si="34"/>
        <v>40</v>
      </c>
      <c r="HV9" s="2">
        <f t="shared" si="34"/>
        <v>40</v>
      </c>
      <c r="HW9" s="2">
        <f t="shared" si="34"/>
        <v>40</v>
      </c>
      <c r="HX9" s="2">
        <f t="shared" si="34"/>
        <v>35</v>
      </c>
      <c r="HY9" s="2">
        <f t="shared" si="34"/>
        <v>20</v>
      </c>
      <c r="HZ9" s="3">
        <f t="shared" si="87"/>
        <v>0</v>
      </c>
      <c r="IA9" s="3">
        <f t="shared" si="35"/>
        <v>0</v>
      </c>
      <c r="IB9" s="3">
        <f t="shared" si="35"/>
        <v>0</v>
      </c>
      <c r="IC9" s="3">
        <f t="shared" si="35"/>
        <v>0</v>
      </c>
      <c r="ID9" s="3">
        <f t="shared" si="35"/>
        <v>0</v>
      </c>
      <c r="IE9" s="3">
        <f t="shared" si="35"/>
        <v>0</v>
      </c>
      <c r="IF9" s="3">
        <f t="shared" si="35"/>
        <v>0</v>
      </c>
      <c r="IG9" s="3">
        <f t="shared" si="35"/>
        <v>0</v>
      </c>
      <c r="IH9" s="2">
        <f t="shared" si="88"/>
        <v>10</v>
      </c>
      <c r="II9" s="2">
        <f t="shared" si="36"/>
        <v>10</v>
      </c>
      <c r="IJ9" s="2">
        <f t="shared" si="36"/>
        <v>10</v>
      </c>
      <c r="IK9" s="2">
        <f t="shared" si="36"/>
        <v>40</v>
      </c>
      <c r="IL9" s="2">
        <f t="shared" si="36"/>
        <v>40</v>
      </c>
      <c r="IM9" s="2">
        <f t="shared" si="36"/>
        <v>40</v>
      </c>
      <c r="IN9" s="2">
        <f t="shared" si="36"/>
        <v>35</v>
      </c>
      <c r="IO9" s="2">
        <f t="shared" si="36"/>
        <v>20</v>
      </c>
      <c r="IP9" s="3">
        <f t="shared" si="89"/>
        <v>0</v>
      </c>
      <c r="IQ9" s="3">
        <f t="shared" si="37"/>
        <v>0</v>
      </c>
      <c r="IR9" s="3">
        <f t="shared" si="37"/>
        <v>0</v>
      </c>
      <c r="IS9" s="3">
        <f t="shared" si="37"/>
        <v>0</v>
      </c>
      <c r="IT9" s="3">
        <f t="shared" si="37"/>
        <v>0</v>
      </c>
      <c r="IU9" s="3">
        <f t="shared" si="37"/>
        <v>0</v>
      </c>
      <c r="IV9" s="3">
        <f t="shared" si="37"/>
        <v>0</v>
      </c>
      <c r="IW9" s="3">
        <f t="shared" si="37"/>
        <v>0</v>
      </c>
    </row>
    <row r="10" spans="1:257" x14ac:dyDescent="0.2">
      <c r="A10" s="1">
        <v>4</v>
      </c>
      <c r="B10" s="2"/>
      <c r="C10" s="2"/>
      <c r="D10" s="2"/>
      <c r="E10" s="2"/>
      <c r="F10" s="2"/>
      <c r="G10" s="2"/>
      <c r="H10" s="2"/>
      <c r="I10" s="2"/>
      <c r="J10" s="3"/>
      <c r="K10" s="3"/>
      <c r="L10" s="3"/>
      <c r="M10" s="3"/>
      <c r="N10" s="3"/>
      <c r="O10" s="3"/>
      <c r="P10" s="3"/>
      <c r="Q10" s="3"/>
      <c r="R10" s="2"/>
      <c r="S10" s="2"/>
      <c r="T10" s="2"/>
      <c r="U10" s="2"/>
      <c r="V10" s="2"/>
      <c r="W10" s="2"/>
      <c r="X10" s="2"/>
      <c r="Y10" s="2"/>
      <c r="Z10" s="3"/>
      <c r="AA10" s="3"/>
      <c r="AB10" s="3"/>
      <c r="AC10" s="3"/>
      <c r="AD10" s="3"/>
      <c r="AE10" s="3"/>
      <c r="AF10" s="3"/>
      <c r="AG10" s="3"/>
      <c r="AH10" s="2"/>
      <c r="AI10" s="2"/>
      <c r="AJ10" s="2"/>
      <c r="AK10" s="2"/>
      <c r="AL10" s="2"/>
      <c r="AM10" s="2"/>
      <c r="AN10" s="2"/>
      <c r="AO10" s="2"/>
      <c r="AP10" s="3"/>
      <c r="AQ10" s="3"/>
      <c r="AR10" s="3"/>
      <c r="AS10" s="3"/>
      <c r="AT10" s="3"/>
      <c r="AU10" s="3"/>
      <c r="AV10" s="3"/>
      <c r="AW10" s="3"/>
      <c r="AX10" s="2"/>
      <c r="AY10" s="2"/>
      <c r="AZ10" s="2"/>
      <c r="BA10" s="2"/>
      <c r="BB10" s="2"/>
      <c r="BC10" s="2"/>
      <c r="BD10" s="2"/>
      <c r="BE10" s="2"/>
      <c r="BF10" s="3"/>
      <c r="BG10" s="3"/>
      <c r="BH10" s="3"/>
      <c r="BI10" s="3"/>
      <c r="BJ10" s="3"/>
      <c r="BK10" s="3"/>
      <c r="BL10" s="3"/>
      <c r="BM10" s="3"/>
      <c r="BN10" s="2"/>
      <c r="BO10" s="2"/>
      <c r="BP10" s="2"/>
      <c r="BQ10" s="2"/>
      <c r="BR10" s="2"/>
      <c r="BS10" s="2"/>
      <c r="BT10" s="2"/>
      <c r="BU10" s="2"/>
      <c r="BV10" s="3"/>
      <c r="BW10" s="3"/>
      <c r="BX10" s="3"/>
      <c r="BY10" s="3"/>
      <c r="BZ10" s="3"/>
      <c r="CA10" s="3"/>
      <c r="CB10" s="3"/>
      <c r="CC10" s="3"/>
      <c r="CD10" s="2"/>
      <c r="CE10" s="2"/>
      <c r="CF10" s="2"/>
      <c r="CG10" s="2"/>
      <c r="CH10" s="2"/>
      <c r="CI10" s="2"/>
      <c r="CJ10" s="2"/>
      <c r="CK10" s="2"/>
      <c r="CL10" s="3"/>
      <c r="CM10" s="3"/>
      <c r="CN10" s="3"/>
      <c r="CO10" s="3"/>
      <c r="CP10" s="3"/>
      <c r="CQ10" s="3"/>
      <c r="CR10" s="3"/>
      <c r="CS10" s="3"/>
      <c r="CT10" s="2"/>
      <c r="CU10" s="2"/>
      <c r="CV10" s="2"/>
      <c r="CW10" s="2"/>
      <c r="CX10" s="2"/>
      <c r="CY10" s="2"/>
      <c r="CZ10" s="2"/>
      <c r="DA10" s="2"/>
      <c r="DB10" s="3"/>
      <c r="DC10" s="3"/>
      <c r="DD10" s="3"/>
      <c r="DE10" s="3"/>
      <c r="DF10" s="3"/>
      <c r="DG10" s="3"/>
      <c r="DH10" s="3"/>
      <c r="DI10" s="3"/>
      <c r="DJ10" s="2"/>
      <c r="DK10" s="2"/>
      <c r="DL10" s="2"/>
      <c r="DM10" s="2"/>
      <c r="DN10" s="2"/>
      <c r="DO10" s="2"/>
      <c r="DP10" s="2"/>
      <c r="DQ10" s="2"/>
      <c r="DR10" s="3"/>
      <c r="DS10" s="3"/>
      <c r="DT10" s="3"/>
      <c r="DU10" s="3"/>
      <c r="DV10" s="3"/>
      <c r="DW10" s="3"/>
      <c r="DX10" s="3"/>
      <c r="DY10" s="3"/>
      <c r="DZ10" s="2"/>
      <c r="EA10" s="2"/>
      <c r="EB10" s="2"/>
      <c r="EC10" s="2"/>
      <c r="ED10" s="2"/>
      <c r="EE10" s="2"/>
      <c r="EF10" s="2"/>
      <c r="EG10" s="2"/>
      <c r="EH10" s="3"/>
      <c r="EI10" s="3"/>
      <c r="EJ10" s="3"/>
      <c r="EK10" s="3"/>
      <c r="EL10" s="3"/>
      <c r="EM10" s="3"/>
      <c r="EN10" s="3"/>
      <c r="EO10" s="3"/>
      <c r="EP10" s="2"/>
      <c r="EQ10" s="2"/>
      <c r="ER10" s="2"/>
      <c r="ES10" s="2"/>
      <c r="ET10" s="2"/>
      <c r="EU10" s="2"/>
      <c r="EV10" s="2"/>
      <c r="EW10" s="2"/>
      <c r="EX10" s="3"/>
      <c r="EY10" s="3"/>
      <c r="EZ10" s="3"/>
      <c r="FA10" s="3"/>
      <c r="FB10" s="3"/>
      <c r="FC10" s="3"/>
      <c r="FD10" s="3"/>
      <c r="FE10" s="3"/>
      <c r="FF10" s="2"/>
      <c r="FG10" s="2"/>
      <c r="FH10" s="2"/>
      <c r="FI10" s="2"/>
      <c r="FJ10" s="2"/>
      <c r="FK10" s="2"/>
      <c r="FL10" s="2"/>
      <c r="FM10" s="2"/>
      <c r="FN10" s="3"/>
      <c r="FO10" s="3"/>
      <c r="FP10" s="3"/>
      <c r="FQ10" s="3"/>
      <c r="FR10" s="3"/>
      <c r="FS10" s="3"/>
      <c r="FT10" s="3"/>
      <c r="FU10" s="3"/>
      <c r="FV10" s="2"/>
      <c r="FW10" s="2"/>
      <c r="FX10" s="2"/>
      <c r="FY10" s="2"/>
      <c r="FZ10" s="2"/>
      <c r="GA10" s="2"/>
      <c r="GB10" s="2"/>
      <c r="GC10" s="2"/>
      <c r="GD10" s="3"/>
      <c r="GE10" s="3"/>
      <c r="GF10" s="3"/>
      <c r="GG10" s="3"/>
      <c r="GH10" s="3"/>
      <c r="GI10" s="3"/>
      <c r="GJ10" s="3"/>
      <c r="GK10" s="3"/>
      <c r="GL10" s="2"/>
      <c r="GM10" s="2"/>
      <c r="GN10" s="2"/>
      <c r="GO10" s="2"/>
      <c r="GP10" s="2"/>
      <c r="GQ10" s="2"/>
      <c r="GR10" s="2"/>
      <c r="GS10" s="2"/>
      <c r="GT10" s="3"/>
      <c r="GU10" s="3"/>
      <c r="GV10" s="3"/>
      <c r="GW10" s="3"/>
      <c r="GX10" s="3"/>
      <c r="GY10" s="3"/>
      <c r="GZ10" s="3"/>
      <c r="HA10" s="3"/>
      <c r="HB10" s="2"/>
      <c r="HC10" s="2"/>
      <c r="HD10" s="2"/>
      <c r="HE10" s="2"/>
      <c r="HF10" s="2"/>
      <c r="HG10" s="2"/>
      <c r="HH10" s="2"/>
      <c r="HI10" s="2"/>
      <c r="HJ10" s="3"/>
      <c r="HK10" s="3"/>
      <c r="HL10" s="3"/>
      <c r="HM10" s="3"/>
      <c r="HN10" s="3"/>
      <c r="HO10" s="3"/>
      <c r="HP10" s="3"/>
      <c r="HQ10" s="3"/>
      <c r="HR10" s="2"/>
      <c r="HS10" s="2"/>
      <c r="HT10" s="2"/>
      <c r="HU10" s="2"/>
      <c r="HV10" s="2"/>
      <c r="HW10" s="2"/>
      <c r="HX10" s="2"/>
      <c r="HY10" s="2"/>
      <c r="HZ10" s="3"/>
      <c r="IA10" s="3"/>
      <c r="IB10" s="3"/>
      <c r="IC10" s="3"/>
      <c r="ID10" s="3"/>
      <c r="IE10" s="3"/>
      <c r="IF10" s="3"/>
      <c r="IG10" s="3"/>
      <c r="IH10" s="2"/>
      <c r="II10" s="2"/>
      <c r="IJ10" s="2"/>
      <c r="IK10" s="2"/>
      <c r="IL10" s="2"/>
      <c r="IM10" s="2"/>
      <c r="IN10" s="2"/>
      <c r="IO10" s="2"/>
      <c r="IP10" s="3"/>
      <c r="IQ10" s="3"/>
      <c r="IR10" s="3"/>
      <c r="IS10" s="3"/>
      <c r="IT10" s="3"/>
      <c r="IU10" s="3"/>
      <c r="IV10" s="3"/>
      <c r="IW10" s="3"/>
    </row>
    <row r="11" spans="1:257" x14ac:dyDescent="0.2">
      <c r="A11" s="1">
        <v>5</v>
      </c>
      <c r="B11" s="2"/>
      <c r="C11" s="2"/>
      <c r="D11" s="2"/>
      <c r="E11" s="2"/>
      <c r="F11" s="2"/>
      <c r="G11" s="2"/>
      <c r="H11" s="2"/>
      <c r="I11" s="2"/>
      <c r="J11" s="3"/>
      <c r="K11" s="3"/>
      <c r="L11" s="3"/>
      <c r="M11" s="3"/>
      <c r="N11" s="3"/>
      <c r="O11" s="3"/>
      <c r="P11" s="3"/>
      <c r="Q11" s="3"/>
      <c r="R11" s="2"/>
      <c r="S11" s="2"/>
      <c r="T11" s="2"/>
      <c r="U11" s="2"/>
      <c r="V11" s="2"/>
      <c r="W11" s="2"/>
      <c r="X11" s="2"/>
      <c r="Y11" s="2"/>
      <c r="Z11" s="3"/>
      <c r="AA11" s="3"/>
      <c r="AB11" s="3"/>
      <c r="AC11" s="3"/>
      <c r="AD11" s="3"/>
      <c r="AE11" s="3"/>
      <c r="AF11" s="3"/>
      <c r="AG11" s="3"/>
      <c r="AH11" s="2"/>
      <c r="AI11" s="2"/>
      <c r="AJ11" s="2"/>
      <c r="AK11" s="2"/>
      <c r="AL11" s="2"/>
      <c r="AM11" s="2"/>
      <c r="AN11" s="2"/>
      <c r="AO11" s="2"/>
      <c r="AP11" s="3"/>
      <c r="AQ11" s="3"/>
      <c r="AR11" s="3"/>
      <c r="AS11" s="3"/>
      <c r="AT11" s="3"/>
      <c r="AU11" s="3"/>
      <c r="AV11" s="3"/>
      <c r="AW11" s="3"/>
      <c r="AX11" s="2"/>
      <c r="AY11" s="2"/>
      <c r="AZ11" s="2"/>
      <c r="BA11" s="2"/>
      <c r="BB11" s="2"/>
      <c r="BC11" s="2"/>
      <c r="BD11" s="2"/>
      <c r="BE11" s="2"/>
      <c r="BF11" s="3"/>
      <c r="BG11" s="3"/>
      <c r="BH11" s="3"/>
      <c r="BI11" s="3"/>
      <c r="BJ11" s="3"/>
      <c r="BK11" s="3"/>
      <c r="BL11" s="3"/>
      <c r="BM11" s="3"/>
      <c r="BN11" s="2"/>
      <c r="BO11" s="2"/>
      <c r="BP11" s="2"/>
      <c r="BQ11" s="2"/>
      <c r="BR11" s="2"/>
      <c r="BS11" s="2"/>
      <c r="BT11" s="2"/>
      <c r="BU11" s="2"/>
      <c r="BV11" s="3"/>
      <c r="BW11" s="3"/>
      <c r="BX11" s="3"/>
      <c r="BY11" s="3"/>
      <c r="BZ11" s="3"/>
      <c r="CA11" s="3"/>
      <c r="CB11" s="3"/>
      <c r="CC11" s="3"/>
      <c r="CD11" s="2"/>
      <c r="CE11" s="2"/>
      <c r="CF11" s="2"/>
      <c r="CG11" s="2"/>
      <c r="CH11" s="2"/>
      <c r="CI11" s="2"/>
      <c r="CJ11" s="2"/>
      <c r="CK11" s="2"/>
      <c r="CL11" s="3"/>
      <c r="CM11" s="3"/>
      <c r="CN11" s="3"/>
      <c r="CO11" s="3"/>
      <c r="CP11" s="3"/>
      <c r="CQ11" s="3"/>
      <c r="CR11" s="3"/>
      <c r="CS11" s="3"/>
      <c r="CT11" s="2"/>
      <c r="CU11" s="2"/>
      <c r="CV11" s="2"/>
      <c r="CW11" s="2"/>
      <c r="CX11" s="2"/>
      <c r="CY11" s="2"/>
      <c r="CZ11" s="2"/>
      <c r="DA11" s="2"/>
      <c r="DB11" s="3"/>
      <c r="DC11" s="3"/>
      <c r="DD11" s="3"/>
      <c r="DE11" s="3"/>
      <c r="DF11" s="3"/>
      <c r="DG11" s="3"/>
      <c r="DH11" s="3"/>
      <c r="DI11" s="3"/>
      <c r="DJ11" s="2"/>
      <c r="DK11" s="2"/>
      <c r="DL11" s="2"/>
      <c r="DM11" s="2"/>
      <c r="DN11" s="2"/>
      <c r="DO11" s="2"/>
      <c r="DP11" s="2"/>
      <c r="DQ11" s="2"/>
      <c r="DR11" s="3"/>
      <c r="DS11" s="3"/>
      <c r="DT11" s="3"/>
      <c r="DU11" s="3"/>
      <c r="DV11" s="3"/>
      <c r="DW11" s="3"/>
      <c r="DX11" s="3"/>
      <c r="DY11" s="3"/>
      <c r="DZ11" s="2"/>
      <c r="EA11" s="2"/>
      <c r="EB11" s="2"/>
      <c r="EC11" s="2"/>
      <c r="ED11" s="2"/>
      <c r="EE11" s="2"/>
      <c r="EF11" s="2"/>
      <c r="EG11" s="2"/>
      <c r="EH11" s="3"/>
      <c r="EI11" s="3"/>
      <c r="EJ11" s="3"/>
      <c r="EK11" s="3"/>
      <c r="EL11" s="3"/>
      <c r="EM11" s="3"/>
      <c r="EN11" s="3"/>
      <c r="EO11" s="3"/>
      <c r="EP11" s="2"/>
      <c r="EQ11" s="2"/>
      <c r="ER11" s="2"/>
      <c r="ES11" s="2"/>
      <c r="ET11" s="2"/>
      <c r="EU11" s="2"/>
      <c r="EV11" s="2"/>
      <c r="EW11" s="2"/>
      <c r="EX11" s="3"/>
      <c r="EY11" s="3"/>
      <c r="EZ11" s="3"/>
      <c r="FA11" s="3"/>
      <c r="FB11" s="3"/>
      <c r="FC11" s="3"/>
      <c r="FD11" s="3"/>
      <c r="FE11" s="3"/>
      <c r="FF11" s="2"/>
      <c r="FG11" s="2"/>
      <c r="FH11" s="2"/>
      <c r="FI11" s="2"/>
      <c r="FJ11" s="2"/>
      <c r="FK11" s="2"/>
      <c r="FL11" s="2"/>
      <c r="FM11" s="2"/>
      <c r="FN11" s="3"/>
      <c r="FO11" s="3"/>
      <c r="FP11" s="3"/>
      <c r="FQ11" s="3"/>
      <c r="FR11" s="3"/>
      <c r="FS11" s="3"/>
      <c r="FT11" s="3"/>
      <c r="FU11" s="3"/>
      <c r="FV11" s="2"/>
      <c r="FW11" s="2"/>
      <c r="FX11" s="2"/>
      <c r="FY11" s="2"/>
      <c r="FZ11" s="2"/>
      <c r="GA11" s="2"/>
      <c r="GB11" s="2"/>
      <c r="GC11" s="2"/>
      <c r="GD11" s="3"/>
      <c r="GE11" s="3"/>
      <c r="GF11" s="3"/>
      <c r="GG11" s="3"/>
      <c r="GH11" s="3"/>
      <c r="GI11" s="3"/>
      <c r="GJ11" s="3"/>
      <c r="GK11" s="3"/>
      <c r="GL11" s="2"/>
      <c r="GM11" s="2"/>
      <c r="GN11" s="2"/>
      <c r="GO11" s="2"/>
      <c r="GP11" s="2"/>
      <c r="GQ11" s="2"/>
      <c r="GR11" s="2"/>
      <c r="GS11" s="2"/>
      <c r="GT11" s="3"/>
      <c r="GU11" s="3"/>
      <c r="GV11" s="3"/>
      <c r="GW11" s="3"/>
      <c r="GX11" s="3"/>
      <c r="GY11" s="3"/>
      <c r="GZ11" s="3"/>
      <c r="HA11" s="3"/>
      <c r="HB11" s="2"/>
      <c r="HC11" s="2"/>
      <c r="HD11" s="2"/>
      <c r="HE11" s="2"/>
      <c r="HF11" s="2"/>
      <c r="HG11" s="2"/>
      <c r="HH11" s="2"/>
      <c r="HI11" s="2"/>
      <c r="HJ11" s="3"/>
      <c r="HK11" s="3"/>
      <c r="HL11" s="3"/>
      <c r="HM11" s="3"/>
      <c r="HN11" s="3"/>
      <c r="HO11" s="3"/>
      <c r="HP11" s="3"/>
      <c r="HQ11" s="3"/>
      <c r="HR11" s="2"/>
      <c r="HS11" s="2"/>
      <c r="HT11" s="2"/>
      <c r="HU11" s="2"/>
      <c r="HV11" s="2"/>
      <c r="HW11" s="2"/>
      <c r="HX11" s="2"/>
      <c r="HY11" s="2"/>
      <c r="HZ11" s="3"/>
      <c r="IA11" s="3"/>
      <c r="IB11" s="3"/>
      <c r="IC11" s="3"/>
      <c r="ID11" s="3"/>
      <c r="IE11" s="3"/>
      <c r="IF11" s="3"/>
      <c r="IG11" s="3"/>
      <c r="IH11" s="2"/>
      <c r="II11" s="2"/>
      <c r="IJ11" s="2"/>
      <c r="IK11" s="2"/>
      <c r="IL11" s="2"/>
      <c r="IM11" s="2"/>
      <c r="IN11" s="2"/>
      <c r="IO11" s="2"/>
      <c r="IP11" s="3"/>
      <c r="IQ11" s="3"/>
      <c r="IR11" s="3"/>
      <c r="IS11" s="3"/>
      <c r="IT11" s="3"/>
      <c r="IU11" s="3"/>
      <c r="IV11" s="3"/>
      <c r="IW11" s="3"/>
    </row>
    <row r="12" spans="1:257" x14ac:dyDescent="0.2">
      <c r="A12" s="1">
        <v>6</v>
      </c>
      <c r="B12" s="2"/>
      <c r="C12" s="2"/>
      <c r="D12" s="2"/>
      <c r="E12" s="2"/>
      <c r="F12" s="2"/>
      <c r="G12" s="2"/>
      <c r="H12" s="2"/>
      <c r="I12" s="2"/>
      <c r="J12" s="3"/>
      <c r="K12" s="3"/>
      <c r="L12" s="3"/>
      <c r="M12" s="3"/>
      <c r="N12" s="3"/>
      <c r="O12" s="3"/>
      <c r="P12" s="3"/>
      <c r="Q12" s="3"/>
      <c r="R12" s="2"/>
      <c r="S12" s="2"/>
      <c r="T12" s="2"/>
      <c r="U12" s="2"/>
      <c r="V12" s="2"/>
      <c r="W12" s="2"/>
      <c r="X12" s="2"/>
      <c r="Y12" s="2"/>
      <c r="Z12" s="3"/>
      <c r="AA12" s="3"/>
      <c r="AB12" s="3"/>
      <c r="AC12" s="3"/>
      <c r="AD12" s="3"/>
      <c r="AE12" s="3"/>
      <c r="AF12" s="3"/>
      <c r="AG12" s="3"/>
      <c r="AH12" s="2"/>
      <c r="AI12" s="2"/>
      <c r="AJ12" s="2"/>
      <c r="AK12" s="2"/>
      <c r="AL12" s="2"/>
      <c r="AM12" s="2"/>
      <c r="AN12" s="2"/>
      <c r="AO12" s="2"/>
      <c r="AP12" s="3"/>
      <c r="AQ12" s="3"/>
      <c r="AR12" s="3"/>
      <c r="AS12" s="3"/>
      <c r="AT12" s="3"/>
      <c r="AU12" s="3"/>
      <c r="AV12" s="3"/>
      <c r="AW12" s="3"/>
      <c r="AX12" s="2"/>
      <c r="AY12" s="2"/>
      <c r="AZ12" s="2"/>
      <c r="BA12" s="2"/>
      <c r="BB12" s="2"/>
      <c r="BC12" s="2"/>
      <c r="BD12" s="2"/>
      <c r="BE12" s="2"/>
      <c r="BF12" s="3"/>
      <c r="BG12" s="3"/>
      <c r="BH12" s="3"/>
      <c r="BI12" s="3"/>
      <c r="BJ12" s="3"/>
      <c r="BK12" s="3"/>
      <c r="BL12" s="3"/>
      <c r="BM12" s="3"/>
      <c r="BN12" s="2"/>
      <c r="BO12" s="2"/>
      <c r="BP12" s="2"/>
      <c r="BQ12" s="2"/>
      <c r="BR12" s="2"/>
      <c r="BS12" s="2"/>
      <c r="BT12" s="2"/>
      <c r="BU12" s="2"/>
      <c r="BV12" s="3"/>
      <c r="BW12" s="3"/>
      <c r="BX12" s="3"/>
      <c r="BY12" s="3"/>
      <c r="BZ12" s="3"/>
      <c r="CA12" s="3"/>
      <c r="CB12" s="3"/>
      <c r="CC12" s="3"/>
      <c r="CD12" s="2"/>
      <c r="CE12" s="2"/>
      <c r="CF12" s="2"/>
      <c r="CG12" s="2"/>
      <c r="CH12" s="2"/>
      <c r="CI12" s="2"/>
      <c r="CJ12" s="2"/>
      <c r="CK12" s="2"/>
      <c r="CL12" s="3"/>
      <c r="CM12" s="3"/>
      <c r="CN12" s="3"/>
      <c r="CO12" s="3"/>
      <c r="CP12" s="3"/>
      <c r="CQ12" s="3"/>
      <c r="CR12" s="3"/>
      <c r="CS12" s="3"/>
      <c r="CT12" s="2"/>
      <c r="CU12" s="2"/>
      <c r="CV12" s="2"/>
      <c r="CW12" s="2"/>
      <c r="CX12" s="2"/>
      <c r="CY12" s="2"/>
      <c r="CZ12" s="2"/>
      <c r="DA12" s="2"/>
      <c r="DB12" s="3"/>
      <c r="DC12" s="3"/>
      <c r="DD12" s="3"/>
      <c r="DE12" s="3"/>
      <c r="DF12" s="3"/>
      <c r="DG12" s="3"/>
      <c r="DH12" s="3"/>
      <c r="DI12" s="3"/>
      <c r="DJ12" s="2"/>
      <c r="DK12" s="2"/>
      <c r="DL12" s="2"/>
      <c r="DM12" s="2"/>
      <c r="DN12" s="2"/>
      <c r="DO12" s="2"/>
      <c r="DP12" s="2"/>
      <c r="DQ12" s="2"/>
      <c r="DR12" s="3"/>
      <c r="DS12" s="3"/>
      <c r="DT12" s="3"/>
      <c r="DU12" s="3"/>
      <c r="DV12" s="3"/>
      <c r="DW12" s="3"/>
      <c r="DX12" s="3"/>
      <c r="DY12" s="3"/>
      <c r="DZ12" s="2"/>
      <c r="EA12" s="2"/>
      <c r="EB12" s="2"/>
      <c r="EC12" s="2"/>
      <c r="ED12" s="2"/>
      <c r="EE12" s="2"/>
      <c r="EF12" s="2"/>
      <c r="EG12" s="2"/>
      <c r="EH12" s="3"/>
      <c r="EI12" s="3"/>
      <c r="EJ12" s="3"/>
      <c r="EK12" s="3"/>
      <c r="EL12" s="3"/>
      <c r="EM12" s="3"/>
      <c r="EN12" s="3"/>
      <c r="EO12" s="3"/>
      <c r="EP12" s="2"/>
      <c r="EQ12" s="2"/>
      <c r="ER12" s="2"/>
      <c r="ES12" s="2"/>
      <c r="ET12" s="2"/>
      <c r="EU12" s="2"/>
      <c r="EV12" s="2"/>
      <c r="EW12" s="2"/>
      <c r="EX12" s="3"/>
      <c r="EY12" s="3"/>
      <c r="EZ12" s="3"/>
      <c r="FA12" s="3"/>
      <c r="FB12" s="3"/>
      <c r="FC12" s="3"/>
      <c r="FD12" s="3"/>
      <c r="FE12" s="3"/>
      <c r="FF12" s="2"/>
      <c r="FG12" s="2"/>
      <c r="FH12" s="2"/>
      <c r="FI12" s="2"/>
      <c r="FJ12" s="2"/>
      <c r="FK12" s="2"/>
      <c r="FL12" s="2"/>
      <c r="FM12" s="2"/>
      <c r="FN12" s="3"/>
      <c r="FO12" s="3"/>
      <c r="FP12" s="3"/>
      <c r="FQ12" s="3"/>
      <c r="FR12" s="3"/>
      <c r="FS12" s="3"/>
      <c r="FT12" s="3"/>
      <c r="FU12" s="3"/>
      <c r="FV12" s="2"/>
      <c r="FW12" s="2"/>
      <c r="FX12" s="2"/>
      <c r="FY12" s="2"/>
      <c r="FZ12" s="2"/>
      <c r="GA12" s="2"/>
      <c r="GB12" s="2"/>
      <c r="GC12" s="2"/>
      <c r="GD12" s="3"/>
      <c r="GE12" s="3"/>
      <c r="GF12" s="3"/>
      <c r="GG12" s="3"/>
      <c r="GH12" s="3"/>
      <c r="GI12" s="3"/>
      <c r="GJ12" s="3"/>
      <c r="GK12" s="3"/>
      <c r="GL12" s="2"/>
      <c r="GM12" s="2"/>
      <c r="GN12" s="2"/>
      <c r="GO12" s="2"/>
      <c r="GP12" s="2"/>
      <c r="GQ12" s="2"/>
      <c r="GR12" s="2"/>
      <c r="GS12" s="2"/>
      <c r="GT12" s="3"/>
      <c r="GU12" s="3"/>
      <c r="GV12" s="3"/>
      <c r="GW12" s="3"/>
      <c r="GX12" s="3"/>
      <c r="GY12" s="3"/>
      <c r="GZ12" s="3"/>
      <c r="HA12" s="3"/>
      <c r="HB12" s="2"/>
      <c r="HC12" s="2"/>
      <c r="HD12" s="2"/>
      <c r="HE12" s="2"/>
      <c r="HF12" s="2"/>
      <c r="HG12" s="2"/>
      <c r="HH12" s="2"/>
      <c r="HI12" s="2"/>
      <c r="HJ12" s="3"/>
      <c r="HK12" s="3"/>
      <c r="HL12" s="3"/>
      <c r="HM12" s="3"/>
      <c r="HN12" s="3"/>
      <c r="HO12" s="3"/>
      <c r="HP12" s="3"/>
      <c r="HQ12" s="3"/>
      <c r="HR12" s="2"/>
      <c r="HS12" s="2"/>
      <c r="HT12" s="2"/>
      <c r="HU12" s="2"/>
      <c r="HV12" s="2"/>
      <c r="HW12" s="2"/>
      <c r="HX12" s="2"/>
      <c r="HY12" s="2"/>
      <c r="HZ12" s="3"/>
      <c r="IA12" s="3"/>
      <c r="IB12" s="3"/>
      <c r="IC12" s="3"/>
      <c r="ID12" s="3"/>
      <c r="IE12" s="3"/>
      <c r="IF12" s="3"/>
      <c r="IG12" s="3"/>
      <c r="IH12" s="2"/>
      <c r="II12" s="2"/>
      <c r="IJ12" s="2"/>
      <c r="IK12" s="2"/>
      <c r="IL12" s="2"/>
      <c r="IM12" s="2"/>
      <c r="IN12" s="2"/>
      <c r="IO12" s="2"/>
      <c r="IP12" s="3"/>
      <c r="IQ12" s="3"/>
      <c r="IR12" s="3"/>
      <c r="IS12" s="3"/>
      <c r="IT12" s="3"/>
      <c r="IU12" s="3"/>
      <c r="IV12" s="3"/>
      <c r="IW12" s="3"/>
    </row>
    <row r="13" spans="1:257" x14ac:dyDescent="0.2">
      <c r="A13" s="1">
        <v>7</v>
      </c>
      <c r="B13" s="2"/>
      <c r="C13" s="2"/>
      <c r="D13" s="2"/>
      <c r="E13" s="2"/>
      <c r="F13" s="2"/>
      <c r="G13" s="2"/>
      <c r="H13" s="2"/>
      <c r="I13" s="2"/>
      <c r="J13" s="3"/>
      <c r="K13" s="3"/>
      <c r="L13" s="3"/>
      <c r="M13" s="3"/>
      <c r="N13" s="3"/>
      <c r="O13" s="3"/>
      <c r="P13" s="3"/>
      <c r="Q13" s="3"/>
      <c r="R13" s="2"/>
      <c r="S13" s="2"/>
      <c r="T13" s="2"/>
      <c r="U13" s="2"/>
      <c r="V13" s="2"/>
      <c r="W13" s="2"/>
      <c r="X13" s="2"/>
      <c r="Y13" s="2"/>
      <c r="Z13" s="3"/>
      <c r="AA13" s="3"/>
      <c r="AB13" s="3"/>
      <c r="AC13" s="3"/>
      <c r="AD13" s="3"/>
      <c r="AE13" s="3"/>
      <c r="AF13" s="3"/>
      <c r="AG13" s="3"/>
      <c r="AH13" s="2"/>
      <c r="AI13" s="2"/>
      <c r="AJ13" s="2"/>
      <c r="AK13" s="2"/>
      <c r="AL13" s="2"/>
      <c r="AM13" s="2"/>
      <c r="AN13" s="2"/>
      <c r="AO13" s="2"/>
      <c r="AP13" s="3"/>
      <c r="AQ13" s="3"/>
      <c r="AR13" s="3"/>
      <c r="AS13" s="3"/>
      <c r="AT13" s="3"/>
      <c r="AU13" s="3"/>
      <c r="AV13" s="3"/>
      <c r="AW13" s="3"/>
      <c r="AX13" s="2"/>
      <c r="AY13" s="2"/>
      <c r="AZ13" s="2"/>
      <c r="BA13" s="2"/>
      <c r="BB13" s="2"/>
      <c r="BC13" s="2"/>
      <c r="BD13" s="2"/>
      <c r="BE13" s="2"/>
      <c r="BF13" s="3"/>
      <c r="BG13" s="3"/>
      <c r="BH13" s="3"/>
      <c r="BI13" s="3"/>
      <c r="BJ13" s="3"/>
      <c r="BK13" s="3"/>
      <c r="BL13" s="3"/>
      <c r="BM13" s="3"/>
      <c r="BN13" s="2"/>
      <c r="BO13" s="2"/>
      <c r="BP13" s="2"/>
      <c r="BQ13" s="2"/>
      <c r="BR13" s="2"/>
      <c r="BS13" s="2"/>
      <c r="BT13" s="2"/>
      <c r="BU13" s="2"/>
      <c r="BV13" s="3"/>
      <c r="BW13" s="3"/>
      <c r="BX13" s="3"/>
      <c r="BY13" s="3"/>
      <c r="BZ13" s="3"/>
      <c r="CA13" s="3"/>
      <c r="CB13" s="3"/>
      <c r="CC13" s="3"/>
      <c r="CD13" s="2"/>
      <c r="CE13" s="2"/>
      <c r="CF13" s="2"/>
      <c r="CG13" s="2"/>
      <c r="CH13" s="2"/>
      <c r="CI13" s="2"/>
      <c r="CJ13" s="2"/>
      <c r="CK13" s="2"/>
      <c r="CL13" s="3"/>
      <c r="CM13" s="3"/>
      <c r="CN13" s="3"/>
      <c r="CO13" s="3"/>
      <c r="CP13" s="3"/>
      <c r="CQ13" s="3"/>
      <c r="CR13" s="3"/>
      <c r="CS13" s="3"/>
      <c r="CT13" s="2"/>
      <c r="CU13" s="2"/>
      <c r="CV13" s="2"/>
      <c r="CW13" s="2"/>
      <c r="CX13" s="2"/>
      <c r="CY13" s="2"/>
      <c r="CZ13" s="2"/>
      <c r="DA13" s="2"/>
      <c r="DB13" s="3"/>
      <c r="DC13" s="3"/>
      <c r="DD13" s="3"/>
      <c r="DE13" s="3"/>
      <c r="DF13" s="3"/>
      <c r="DG13" s="3"/>
      <c r="DH13" s="3"/>
      <c r="DI13" s="3"/>
      <c r="DJ13" s="2"/>
      <c r="DK13" s="2"/>
      <c r="DL13" s="2"/>
      <c r="DM13" s="2"/>
      <c r="DN13" s="2"/>
      <c r="DO13" s="2"/>
      <c r="DP13" s="2"/>
      <c r="DQ13" s="2"/>
      <c r="DR13" s="3"/>
      <c r="DS13" s="3"/>
      <c r="DT13" s="3"/>
      <c r="DU13" s="3"/>
      <c r="DV13" s="3"/>
      <c r="DW13" s="3"/>
      <c r="DX13" s="3"/>
      <c r="DY13" s="3"/>
      <c r="DZ13" s="2"/>
      <c r="EA13" s="2"/>
      <c r="EB13" s="2"/>
      <c r="EC13" s="2"/>
      <c r="ED13" s="2"/>
      <c r="EE13" s="2"/>
      <c r="EF13" s="2"/>
      <c r="EG13" s="2"/>
      <c r="EH13" s="3"/>
      <c r="EI13" s="3"/>
      <c r="EJ13" s="3"/>
      <c r="EK13" s="3"/>
      <c r="EL13" s="3"/>
      <c r="EM13" s="3"/>
      <c r="EN13" s="3"/>
      <c r="EO13" s="3"/>
      <c r="EP13" s="2"/>
      <c r="EQ13" s="2"/>
      <c r="ER13" s="2"/>
      <c r="ES13" s="2"/>
      <c r="ET13" s="2"/>
      <c r="EU13" s="2"/>
      <c r="EV13" s="2"/>
      <c r="EW13" s="2"/>
      <c r="EX13" s="3"/>
      <c r="EY13" s="3"/>
      <c r="EZ13" s="3"/>
      <c r="FA13" s="3"/>
      <c r="FB13" s="3"/>
      <c r="FC13" s="3"/>
      <c r="FD13" s="3"/>
      <c r="FE13" s="3"/>
      <c r="FF13" s="2"/>
      <c r="FG13" s="2"/>
      <c r="FH13" s="2"/>
      <c r="FI13" s="2"/>
      <c r="FJ13" s="2"/>
      <c r="FK13" s="2"/>
      <c r="FL13" s="2"/>
      <c r="FM13" s="2"/>
      <c r="FN13" s="3"/>
      <c r="FO13" s="3"/>
      <c r="FP13" s="3"/>
      <c r="FQ13" s="3"/>
      <c r="FR13" s="3"/>
      <c r="FS13" s="3"/>
      <c r="FT13" s="3"/>
      <c r="FU13" s="3"/>
      <c r="FV13" s="2"/>
      <c r="FW13" s="2"/>
      <c r="FX13" s="2"/>
      <c r="FY13" s="2"/>
      <c r="FZ13" s="2"/>
      <c r="GA13" s="2"/>
      <c r="GB13" s="2"/>
      <c r="GC13" s="2"/>
      <c r="GD13" s="3"/>
      <c r="GE13" s="3"/>
      <c r="GF13" s="3"/>
      <c r="GG13" s="3"/>
      <c r="GH13" s="3"/>
      <c r="GI13" s="3"/>
      <c r="GJ13" s="3"/>
      <c r="GK13" s="3"/>
      <c r="GL13" s="2"/>
      <c r="GM13" s="2"/>
      <c r="GN13" s="2"/>
      <c r="GO13" s="2"/>
      <c r="GP13" s="2"/>
      <c r="GQ13" s="2"/>
      <c r="GR13" s="2"/>
      <c r="GS13" s="2"/>
      <c r="GT13" s="3"/>
      <c r="GU13" s="3"/>
      <c r="GV13" s="3"/>
      <c r="GW13" s="3"/>
      <c r="GX13" s="3"/>
      <c r="GY13" s="3"/>
      <c r="GZ13" s="3"/>
      <c r="HA13" s="3"/>
      <c r="HB13" s="2"/>
      <c r="HC13" s="2"/>
      <c r="HD13" s="2"/>
      <c r="HE13" s="2"/>
      <c r="HF13" s="2"/>
      <c r="HG13" s="2"/>
      <c r="HH13" s="2"/>
      <c r="HI13" s="2"/>
      <c r="HJ13" s="3"/>
      <c r="HK13" s="3"/>
      <c r="HL13" s="3"/>
      <c r="HM13" s="3"/>
      <c r="HN13" s="3"/>
      <c r="HO13" s="3"/>
      <c r="HP13" s="3"/>
      <c r="HQ13" s="3"/>
      <c r="HR13" s="2"/>
      <c r="HS13" s="2"/>
      <c r="HT13" s="2"/>
      <c r="HU13" s="2"/>
      <c r="HV13" s="2"/>
      <c r="HW13" s="2"/>
      <c r="HX13" s="2"/>
      <c r="HY13" s="2"/>
      <c r="HZ13" s="3"/>
      <c r="IA13" s="3"/>
      <c r="IB13" s="3"/>
      <c r="IC13" s="3"/>
      <c r="ID13" s="3"/>
      <c r="IE13" s="3"/>
      <c r="IF13" s="3"/>
      <c r="IG13" s="3"/>
      <c r="IH13" s="2"/>
      <c r="II13" s="2"/>
      <c r="IJ13" s="2"/>
      <c r="IK13" s="2"/>
      <c r="IL13" s="2"/>
      <c r="IM13" s="2"/>
      <c r="IN13" s="2"/>
      <c r="IO13" s="2"/>
      <c r="IP13" s="3"/>
      <c r="IQ13" s="3"/>
      <c r="IR13" s="3"/>
      <c r="IS13" s="3"/>
      <c r="IT13" s="3"/>
      <c r="IU13" s="3"/>
      <c r="IV13" s="3"/>
      <c r="IW13" s="3"/>
    </row>
    <row r="14" spans="1:257" x14ac:dyDescent="0.2">
      <c r="A14" s="1">
        <v>8</v>
      </c>
      <c r="B14" s="2"/>
      <c r="C14" s="2"/>
      <c r="D14" s="2"/>
      <c r="E14" s="2"/>
      <c r="F14" s="2"/>
      <c r="G14" s="2"/>
      <c r="H14" s="2"/>
      <c r="I14" s="2"/>
      <c r="J14" s="3"/>
      <c r="K14" s="3"/>
      <c r="L14" s="3"/>
      <c r="M14" s="3"/>
      <c r="N14" s="3"/>
      <c r="O14" s="3"/>
      <c r="P14" s="3"/>
      <c r="Q14" s="3"/>
      <c r="R14" s="2"/>
      <c r="S14" s="2"/>
      <c r="T14" s="2"/>
      <c r="U14" s="2"/>
      <c r="V14" s="2"/>
      <c r="W14" s="2"/>
      <c r="X14" s="2"/>
      <c r="Y14" s="2"/>
      <c r="Z14" s="3"/>
      <c r="AA14" s="3"/>
      <c r="AB14" s="3"/>
      <c r="AC14" s="3"/>
      <c r="AD14" s="3"/>
      <c r="AE14" s="3"/>
      <c r="AF14" s="3"/>
      <c r="AG14" s="3"/>
      <c r="AH14" s="2"/>
      <c r="AI14" s="2"/>
      <c r="AJ14" s="2"/>
      <c r="AK14" s="2"/>
      <c r="AL14" s="2"/>
      <c r="AM14" s="2"/>
      <c r="AN14" s="2"/>
      <c r="AO14" s="2"/>
      <c r="AP14" s="3"/>
      <c r="AQ14" s="3"/>
      <c r="AR14" s="3"/>
      <c r="AS14" s="3"/>
      <c r="AT14" s="3"/>
      <c r="AU14" s="3"/>
      <c r="AV14" s="3"/>
      <c r="AW14" s="3"/>
      <c r="AX14" s="2"/>
      <c r="AY14" s="2"/>
      <c r="AZ14" s="2"/>
      <c r="BA14" s="2"/>
      <c r="BB14" s="2"/>
      <c r="BC14" s="2"/>
      <c r="BD14" s="2"/>
      <c r="BE14" s="2"/>
      <c r="BF14" s="3"/>
      <c r="BG14" s="3"/>
      <c r="BH14" s="3"/>
      <c r="BI14" s="3"/>
      <c r="BJ14" s="3"/>
      <c r="BK14" s="3"/>
      <c r="BL14" s="3"/>
      <c r="BM14" s="3"/>
      <c r="BN14" s="2"/>
      <c r="BO14" s="2"/>
      <c r="BP14" s="2"/>
      <c r="BQ14" s="2"/>
      <c r="BR14" s="2"/>
      <c r="BS14" s="2"/>
      <c r="BT14" s="2"/>
      <c r="BU14" s="2"/>
      <c r="BV14" s="3"/>
      <c r="BW14" s="3"/>
      <c r="BX14" s="3"/>
      <c r="BY14" s="3"/>
      <c r="BZ14" s="3"/>
      <c r="CA14" s="3"/>
      <c r="CB14" s="3"/>
      <c r="CC14" s="3"/>
      <c r="CD14" s="2"/>
      <c r="CE14" s="2"/>
      <c r="CF14" s="2"/>
      <c r="CG14" s="2"/>
      <c r="CH14" s="2"/>
      <c r="CI14" s="2"/>
      <c r="CJ14" s="2"/>
      <c r="CK14" s="2"/>
      <c r="CL14" s="3"/>
      <c r="CM14" s="3"/>
      <c r="CN14" s="3"/>
      <c r="CO14" s="3"/>
      <c r="CP14" s="3"/>
      <c r="CQ14" s="3"/>
      <c r="CR14" s="3"/>
      <c r="CS14" s="3"/>
      <c r="CT14" s="2"/>
      <c r="CU14" s="2"/>
      <c r="CV14" s="2"/>
      <c r="CW14" s="2"/>
      <c r="CX14" s="2"/>
      <c r="CY14" s="2"/>
      <c r="CZ14" s="2"/>
      <c r="DA14" s="2"/>
      <c r="DB14" s="3"/>
      <c r="DC14" s="3"/>
      <c r="DD14" s="3"/>
      <c r="DE14" s="3"/>
      <c r="DF14" s="3"/>
      <c r="DG14" s="3"/>
      <c r="DH14" s="3"/>
      <c r="DI14" s="3"/>
      <c r="DJ14" s="2"/>
      <c r="DK14" s="2"/>
      <c r="DL14" s="2"/>
      <c r="DM14" s="2"/>
      <c r="DN14" s="2"/>
      <c r="DO14" s="2"/>
      <c r="DP14" s="2"/>
      <c r="DQ14" s="2"/>
      <c r="DR14" s="3"/>
      <c r="DS14" s="3"/>
      <c r="DT14" s="3"/>
      <c r="DU14" s="3"/>
      <c r="DV14" s="3"/>
      <c r="DW14" s="3"/>
      <c r="DX14" s="3"/>
      <c r="DY14" s="3"/>
      <c r="DZ14" s="2"/>
      <c r="EA14" s="2"/>
      <c r="EB14" s="2"/>
      <c r="EC14" s="2"/>
      <c r="ED14" s="2"/>
      <c r="EE14" s="2"/>
      <c r="EF14" s="2"/>
      <c r="EG14" s="2"/>
      <c r="EH14" s="3"/>
      <c r="EI14" s="3"/>
      <c r="EJ14" s="3"/>
      <c r="EK14" s="3"/>
      <c r="EL14" s="3"/>
      <c r="EM14" s="3"/>
      <c r="EN14" s="3"/>
      <c r="EO14" s="3"/>
      <c r="EP14" s="2"/>
      <c r="EQ14" s="2"/>
      <c r="ER14" s="2"/>
      <c r="ES14" s="2"/>
      <c r="ET14" s="2"/>
      <c r="EU14" s="2"/>
      <c r="EV14" s="2"/>
      <c r="EW14" s="2"/>
      <c r="EX14" s="3"/>
      <c r="EY14" s="3"/>
      <c r="EZ14" s="3"/>
      <c r="FA14" s="3"/>
      <c r="FB14" s="3"/>
      <c r="FC14" s="3"/>
      <c r="FD14" s="3"/>
      <c r="FE14" s="3"/>
      <c r="FF14" s="2"/>
      <c r="FG14" s="2"/>
      <c r="FH14" s="2"/>
      <c r="FI14" s="2"/>
      <c r="FJ14" s="2"/>
      <c r="FK14" s="2"/>
      <c r="FL14" s="2"/>
      <c r="FM14" s="2"/>
      <c r="FN14" s="3"/>
      <c r="FO14" s="3"/>
      <c r="FP14" s="3"/>
      <c r="FQ14" s="3"/>
      <c r="FR14" s="3"/>
      <c r="FS14" s="3"/>
      <c r="FT14" s="3"/>
      <c r="FU14" s="3"/>
      <c r="FV14" s="2"/>
      <c r="FW14" s="2"/>
      <c r="FX14" s="2"/>
      <c r="FY14" s="2"/>
      <c r="FZ14" s="2"/>
      <c r="GA14" s="2"/>
      <c r="GB14" s="2"/>
      <c r="GC14" s="2"/>
      <c r="GD14" s="3"/>
      <c r="GE14" s="3"/>
      <c r="GF14" s="3"/>
      <c r="GG14" s="3"/>
      <c r="GH14" s="3"/>
      <c r="GI14" s="3"/>
      <c r="GJ14" s="3"/>
      <c r="GK14" s="3"/>
      <c r="GL14" s="2"/>
      <c r="GM14" s="2"/>
      <c r="GN14" s="2"/>
      <c r="GO14" s="2"/>
      <c r="GP14" s="2"/>
      <c r="GQ14" s="2"/>
      <c r="GR14" s="2"/>
      <c r="GS14" s="2"/>
      <c r="GT14" s="3"/>
      <c r="GU14" s="3"/>
      <c r="GV14" s="3"/>
      <c r="GW14" s="3"/>
      <c r="GX14" s="3"/>
      <c r="GY14" s="3"/>
      <c r="GZ14" s="3"/>
      <c r="HA14" s="3"/>
      <c r="HB14" s="2"/>
      <c r="HC14" s="2"/>
      <c r="HD14" s="2"/>
      <c r="HE14" s="2"/>
      <c r="HF14" s="2"/>
      <c r="HG14" s="2"/>
      <c r="HH14" s="2"/>
      <c r="HI14" s="2"/>
      <c r="HJ14" s="3"/>
      <c r="HK14" s="3"/>
      <c r="HL14" s="3"/>
      <c r="HM14" s="3"/>
      <c r="HN14" s="3"/>
      <c r="HO14" s="3"/>
      <c r="HP14" s="3"/>
      <c r="HQ14" s="3"/>
      <c r="HR14" s="2"/>
      <c r="HS14" s="2"/>
      <c r="HT14" s="2"/>
      <c r="HU14" s="2"/>
      <c r="HV14" s="2"/>
      <c r="HW14" s="2"/>
      <c r="HX14" s="2"/>
      <c r="HY14" s="2"/>
      <c r="HZ14" s="3"/>
      <c r="IA14" s="3"/>
      <c r="IB14" s="3"/>
      <c r="IC14" s="3"/>
      <c r="ID14" s="3"/>
      <c r="IE14" s="3"/>
      <c r="IF14" s="3"/>
      <c r="IG14" s="3"/>
      <c r="IH14" s="2"/>
      <c r="II14" s="2"/>
      <c r="IJ14" s="2"/>
      <c r="IK14" s="2"/>
      <c r="IL14" s="2"/>
      <c r="IM14" s="2"/>
      <c r="IN14" s="2"/>
      <c r="IO14" s="2"/>
      <c r="IP14" s="3"/>
      <c r="IQ14" s="3"/>
      <c r="IR14" s="3"/>
      <c r="IS14" s="3"/>
      <c r="IT14" s="3"/>
      <c r="IU14" s="3"/>
      <c r="IV14" s="3"/>
      <c r="IW14" s="3"/>
    </row>
    <row r="15" spans="1:257" x14ac:dyDescent="0.2">
      <c r="A15" s="1">
        <v>9</v>
      </c>
      <c r="B15" s="2"/>
      <c r="C15" s="2"/>
      <c r="D15" s="2"/>
      <c r="E15" s="2"/>
      <c r="F15" s="2"/>
      <c r="G15" s="2"/>
      <c r="H15" s="2"/>
      <c r="I15" s="2"/>
      <c r="J15" s="3"/>
      <c r="K15" s="3"/>
      <c r="L15" s="3"/>
      <c r="M15" s="3"/>
      <c r="N15" s="3"/>
      <c r="O15" s="3"/>
      <c r="P15" s="3"/>
      <c r="Q15" s="3"/>
      <c r="R15" s="2"/>
      <c r="S15" s="2"/>
      <c r="T15" s="2"/>
      <c r="U15" s="2"/>
      <c r="V15" s="2"/>
      <c r="W15" s="2"/>
      <c r="X15" s="2"/>
      <c r="Y15" s="2"/>
      <c r="Z15" s="3"/>
      <c r="AA15" s="3"/>
      <c r="AB15" s="3"/>
      <c r="AC15" s="3"/>
      <c r="AD15" s="3"/>
      <c r="AE15" s="3"/>
      <c r="AF15" s="3"/>
      <c r="AG15" s="3"/>
      <c r="AH15" s="2"/>
      <c r="AI15" s="2"/>
      <c r="AJ15" s="2"/>
      <c r="AK15" s="2"/>
      <c r="AL15" s="2"/>
      <c r="AM15" s="2"/>
      <c r="AN15" s="2"/>
      <c r="AO15" s="2"/>
      <c r="AP15" s="3"/>
      <c r="AQ15" s="3"/>
      <c r="AR15" s="3"/>
      <c r="AS15" s="3"/>
      <c r="AT15" s="3"/>
      <c r="AU15" s="3"/>
      <c r="AV15" s="3"/>
      <c r="AW15" s="3"/>
      <c r="AX15" s="2"/>
      <c r="AY15" s="2"/>
      <c r="AZ15" s="2"/>
      <c r="BA15" s="2"/>
      <c r="BB15" s="2"/>
      <c r="BC15" s="2"/>
      <c r="BD15" s="2"/>
      <c r="BE15" s="2"/>
      <c r="BF15" s="3"/>
      <c r="BG15" s="3"/>
      <c r="BH15" s="3"/>
      <c r="BI15" s="3"/>
      <c r="BJ15" s="3"/>
      <c r="BK15" s="3"/>
      <c r="BL15" s="3"/>
      <c r="BM15" s="3"/>
      <c r="BN15" s="2"/>
      <c r="BO15" s="2"/>
      <c r="BP15" s="2"/>
      <c r="BQ15" s="2"/>
      <c r="BR15" s="2"/>
      <c r="BS15" s="2"/>
      <c r="BT15" s="2"/>
      <c r="BU15" s="2"/>
      <c r="BV15" s="3"/>
      <c r="BW15" s="3"/>
      <c r="BX15" s="3"/>
      <c r="BY15" s="3"/>
      <c r="BZ15" s="3"/>
      <c r="CA15" s="3"/>
      <c r="CB15" s="3"/>
      <c r="CC15" s="3"/>
      <c r="CD15" s="2"/>
      <c r="CE15" s="2"/>
      <c r="CF15" s="2"/>
      <c r="CG15" s="2"/>
      <c r="CH15" s="2"/>
      <c r="CI15" s="2"/>
      <c r="CJ15" s="2"/>
      <c r="CK15" s="2"/>
      <c r="CL15" s="3"/>
      <c r="CM15" s="3"/>
      <c r="CN15" s="3"/>
      <c r="CO15" s="3"/>
      <c r="CP15" s="3"/>
      <c r="CQ15" s="3"/>
      <c r="CR15" s="3"/>
      <c r="CS15" s="3"/>
      <c r="CT15" s="2"/>
      <c r="CU15" s="2"/>
      <c r="CV15" s="2"/>
      <c r="CW15" s="2"/>
      <c r="CX15" s="2"/>
      <c r="CY15" s="2"/>
      <c r="CZ15" s="2"/>
      <c r="DA15" s="2"/>
      <c r="DB15" s="3"/>
      <c r="DC15" s="3"/>
      <c r="DD15" s="3"/>
      <c r="DE15" s="3"/>
      <c r="DF15" s="3"/>
      <c r="DG15" s="3"/>
      <c r="DH15" s="3"/>
      <c r="DI15" s="3"/>
      <c r="DJ15" s="2"/>
      <c r="DK15" s="2"/>
      <c r="DL15" s="2"/>
      <c r="DM15" s="2"/>
      <c r="DN15" s="2"/>
      <c r="DO15" s="2"/>
      <c r="DP15" s="2"/>
      <c r="DQ15" s="2"/>
      <c r="DR15" s="3"/>
      <c r="DS15" s="3"/>
      <c r="DT15" s="3"/>
      <c r="DU15" s="3"/>
      <c r="DV15" s="3"/>
      <c r="DW15" s="3"/>
      <c r="DX15" s="3"/>
      <c r="DY15" s="3"/>
      <c r="DZ15" s="2"/>
      <c r="EA15" s="2"/>
      <c r="EB15" s="2"/>
      <c r="EC15" s="2"/>
      <c r="ED15" s="2"/>
      <c r="EE15" s="2"/>
      <c r="EF15" s="2"/>
      <c r="EG15" s="2"/>
      <c r="EH15" s="3"/>
      <c r="EI15" s="3"/>
      <c r="EJ15" s="3"/>
      <c r="EK15" s="3"/>
      <c r="EL15" s="3"/>
      <c r="EM15" s="3"/>
      <c r="EN15" s="3"/>
      <c r="EO15" s="3"/>
      <c r="EP15" s="2"/>
      <c r="EQ15" s="2"/>
      <c r="ER15" s="2"/>
      <c r="ES15" s="2"/>
      <c r="ET15" s="2"/>
      <c r="EU15" s="2"/>
      <c r="EV15" s="2"/>
      <c r="EW15" s="2"/>
      <c r="EX15" s="3"/>
      <c r="EY15" s="3"/>
      <c r="EZ15" s="3"/>
      <c r="FA15" s="3"/>
      <c r="FB15" s="3"/>
      <c r="FC15" s="3"/>
      <c r="FD15" s="3"/>
      <c r="FE15" s="3"/>
      <c r="FF15" s="2"/>
      <c r="FG15" s="2"/>
      <c r="FH15" s="2"/>
      <c r="FI15" s="2"/>
      <c r="FJ15" s="2"/>
      <c r="FK15" s="2"/>
      <c r="FL15" s="2"/>
      <c r="FM15" s="2"/>
      <c r="FN15" s="3"/>
      <c r="FO15" s="3"/>
      <c r="FP15" s="3"/>
      <c r="FQ15" s="3"/>
      <c r="FR15" s="3"/>
      <c r="FS15" s="3"/>
      <c r="FT15" s="3"/>
      <c r="FU15" s="3"/>
      <c r="FV15" s="2"/>
      <c r="FW15" s="2"/>
      <c r="FX15" s="2"/>
      <c r="FY15" s="2"/>
      <c r="FZ15" s="2"/>
      <c r="GA15" s="2"/>
      <c r="GB15" s="2"/>
      <c r="GC15" s="2"/>
      <c r="GD15" s="3"/>
      <c r="GE15" s="3"/>
      <c r="GF15" s="3"/>
      <c r="GG15" s="3"/>
      <c r="GH15" s="3"/>
      <c r="GI15" s="3"/>
      <c r="GJ15" s="3"/>
      <c r="GK15" s="3"/>
      <c r="GL15" s="2"/>
      <c r="GM15" s="2"/>
      <c r="GN15" s="2"/>
      <c r="GO15" s="2"/>
      <c r="GP15" s="2"/>
      <c r="GQ15" s="2"/>
      <c r="GR15" s="2"/>
      <c r="GS15" s="2"/>
      <c r="GT15" s="3"/>
      <c r="GU15" s="3"/>
      <c r="GV15" s="3"/>
      <c r="GW15" s="3"/>
      <c r="GX15" s="3"/>
      <c r="GY15" s="3"/>
      <c r="GZ15" s="3"/>
      <c r="HA15" s="3"/>
      <c r="HB15" s="2"/>
      <c r="HC15" s="2"/>
      <c r="HD15" s="2"/>
      <c r="HE15" s="2"/>
      <c r="HF15" s="2"/>
      <c r="HG15" s="2"/>
      <c r="HH15" s="2"/>
      <c r="HI15" s="2"/>
      <c r="HJ15" s="3"/>
      <c r="HK15" s="3"/>
      <c r="HL15" s="3"/>
      <c r="HM15" s="3"/>
      <c r="HN15" s="3"/>
      <c r="HO15" s="3"/>
      <c r="HP15" s="3"/>
      <c r="HQ15" s="3"/>
      <c r="HR15" s="2"/>
      <c r="HS15" s="2"/>
      <c r="HT15" s="2"/>
      <c r="HU15" s="2"/>
      <c r="HV15" s="2"/>
      <c r="HW15" s="2"/>
      <c r="HX15" s="2"/>
      <c r="HY15" s="2"/>
      <c r="HZ15" s="3"/>
      <c r="IA15" s="3"/>
      <c r="IB15" s="3"/>
      <c r="IC15" s="3"/>
      <c r="ID15" s="3"/>
      <c r="IE15" s="3"/>
      <c r="IF15" s="3"/>
      <c r="IG15" s="3"/>
      <c r="IH15" s="2"/>
      <c r="II15" s="2"/>
      <c r="IJ15" s="2"/>
      <c r="IK15" s="2"/>
      <c r="IL15" s="2"/>
      <c r="IM15" s="2"/>
      <c r="IN15" s="2"/>
      <c r="IO15" s="2"/>
      <c r="IP15" s="3"/>
      <c r="IQ15" s="3"/>
      <c r="IR15" s="3"/>
      <c r="IS15" s="3"/>
      <c r="IT15" s="3"/>
      <c r="IU15" s="3"/>
      <c r="IV15" s="3"/>
      <c r="IW15" s="3"/>
    </row>
    <row r="16" spans="1:257" x14ac:dyDescent="0.2">
      <c r="A16" s="1">
        <v>10</v>
      </c>
      <c r="B16" s="2"/>
      <c r="C16" s="2"/>
      <c r="D16" s="2"/>
      <c r="E16" s="2"/>
      <c r="F16" s="2"/>
      <c r="G16" s="2"/>
      <c r="H16" s="2"/>
      <c r="I16" s="2"/>
      <c r="J16" s="3"/>
      <c r="K16" s="3"/>
      <c r="L16" s="3"/>
      <c r="M16" s="3"/>
      <c r="N16" s="3"/>
      <c r="O16" s="3"/>
      <c r="P16" s="3"/>
      <c r="Q16" s="3"/>
      <c r="R16" s="2"/>
      <c r="S16" s="2"/>
      <c r="T16" s="2"/>
      <c r="U16" s="2"/>
      <c r="V16" s="2"/>
      <c r="W16" s="2"/>
      <c r="X16" s="2"/>
      <c r="Y16" s="2"/>
      <c r="Z16" s="3"/>
      <c r="AA16" s="3"/>
      <c r="AB16" s="3"/>
      <c r="AC16" s="3"/>
      <c r="AD16" s="3"/>
      <c r="AE16" s="3"/>
      <c r="AF16" s="3"/>
      <c r="AG16" s="3"/>
      <c r="AH16" s="2"/>
      <c r="AI16" s="2"/>
      <c r="AJ16" s="2"/>
      <c r="AK16" s="2"/>
      <c r="AL16" s="2"/>
      <c r="AM16" s="2"/>
      <c r="AN16" s="2"/>
      <c r="AO16" s="2"/>
      <c r="AP16" s="3"/>
      <c r="AQ16" s="3"/>
      <c r="AR16" s="3"/>
      <c r="AS16" s="3"/>
      <c r="AT16" s="3"/>
      <c r="AU16" s="3"/>
      <c r="AV16" s="3"/>
      <c r="AW16" s="3"/>
      <c r="AX16" s="2"/>
      <c r="AY16" s="2"/>
      <c r="AZ16" s="2"/>
      <c r="BA16" s="2"/>
      <c r="BB16" s="2"/>
      <c r="BC16" s="2"/>
      <c r="BD16" s="2"/>
      <c r="BE16" s="2"/>
      <c r="BF16" s="3"/>
      <c r="BG16" s="3"/>
      <c r="BH16" s="3"/>
      <c r="BI16" s="3"/>
      <c r="BJ16" s="3"/>
      <c r="BK16" s="3"/>
      <c r="BL16" s="3"/>
      <c r="BM16" s="3"/>
      <c r="BN16" s="2"/>
      <c r="BO16" s="2"/>
      <c r="BP16" s="2"/>
      <c r="BQ16" s="2"/>
      <c r="BR16" s="2"/>
      <c r="BS16" s="2"/>
      <c r="BT16" s="2"/>
      <c r="BU16" s="2"/>
      <c r="BV16" s="3"/>
      <c r="BW16" s="3"/>
      <c r="BX16" s="3"/>
      <c r="BY16" s="3"/>
      <c r="BZ16" s="3"/>
      <c r="CA16" s="3"/>
      <c r="CB16" s="3"/>
      <c r="CC16" s="3"/>
      <c r="CD16" s="2"/>
      <c r="CE16" s="2"/>
      <c r="CF16" s="2"/>
      <c r="CG16" s="2"/>
      <c r="CH16" s="2"/>
      <c r="CI16" s="2"/>
      <c r="CJ16" s="2"/>
      <c r="CK16" s="2"/>
      <c r="CL16" s="3"/>
      <c r="CM16" s="3"/>
      <c r="CN16" s="3"/>
      <c r="CO16" s="3"/>
      <c r="CP16" s="3"/>
      <c r="CQ16" s="3"/>
      <c r="CR16" s="3"/>
      <c r="CS16" s="3"/>
      <c r="CT16" s="2"/>
      <c r="CU16" s="2"/>
      <c r="CV16" s="2"/>
      <c r="CW16" s="2"/>
      <c r="CX16" s="2"/>
      <c r="CY16" s="2"/>
      <c r="CZ16" s="2"/>
      <c r="DA16" s="2"/>
      <c r="DB16" s="3"/>
      <c r="DC16" s="3"/>
      <c r="DD16" s="3"/>
      <c r="DE16" s="3"/>
      <c r="DF16" s="3"/>
      <c r="DG16" s="3"/>
      <c r="DH16" s="3"/>
      <c r="DI16" s="3"/>
      <c r="DJ16" s="2"/>
      <c r="DK16" s="2"/>
      <c r="DL16" s="2"/>
      <c r="DM16" s="2"/>
      <c r="DN16" s="2"/>
      <c r="DO16" s="2"/>
      <c r="DP16" s="2"/>
      <c r="DQ16" s="2"/>
      <c r="DR16" s="3"/>
      <c r="DS16" s="3"/>
      <c r="DT16" s="3"/>
      <c r="DU16" s="3"/>
      <c r="DV16" s="3"/>
      <c r="DW16" s="3"/>
      <c r="DX16" s="3"/>
      <c r="DY16" s="3"/>
      <c r="DZ16" s="2"/>
      <c r="EA16" s="2"/>
      <c r="EB16" s="2"/>
      <c r="EC16" s="2"/>
      <c r="ED16" s="2"/>
      <c r="EE16" s="2"/>
      <c r="EF16" s="2"/>
      <c r="EG16" s="2"/>
      <c r="EH16" s="3"/>
      <c r="EI16" s="3"/>
      <c r="EJ16" s="3"/>
      <c r="EK16" s="3"/>
      <c r="EL16" s="3"/>
      <c r="EM16" s="3"/>
      <c r="EN16" s="3"/>
      <c r="EO16" s="3"/>
      <c r="EP16" s="2"/>
      <c r="EQ16" s="2"/>
      <c r="ER16" s="2"/>
      <c r="ES16" s="2"/>
      <c r="ET16" s="2"/>
      <c r="EU16" s="2"/>
      <c r="EV16" s="2"/>
      <c r="EW16" s="2"/>
      <c r="EX16" s="3"/>
      <c r="EY16" s="3"/>
      <c r="EZ16" s="3"/>
      <c r="FA16" s="3"/>
      <c r="FB16" s="3"/>
      <c r="FC16" s="3"/>
      <c r="FD16" s="3"/>
      <c r="FE16" s="3"/>
      <c r="FF16" s="2"/>
      <c r="FG16" s="2"/>
      <c r="FH16" s="2"/>
      <c r="FI16" s="2"/>
      <c r="FJ16" s="2"/>
      <c r="FK16" s="2"/>
      <c r="FL16" s="2"/>
      <c r="FM16" s="2"/>
      <c r="FN16" s="3"/>
      <c r="FO16" s="3"/>
      <c r="FP16" s="3"/>
      <c r="FQ16" s="3"/>
      <c r="FR16" s="3"/>
      <c r="FS16" s="3"/>
      <c r="FT16" s="3"/>
      <c r="FU16" s="3"/>
      <c r="FV16" s="2"/>
      <c r="FW16" s="2"/>
      <c r="FX16" s="2"/>
      <c r="FY16" s="2"/>
      <c r="FZ16" s="2"/>
      <c r="GA16" s="2"/>
      <c r="GB16" s="2"/>
      <c r="GC16" s="2"/>
      <c r="GD16" s="3"/>
      <c r="GE16" s="3"/>
      <c r="GF16" s="3"/>
      <c r="GG16" s="3"/>
      <c r="GH16" s="3"/>
      <c r="GI16" s="3"/>
      <c r="GJ16" s="3"/>
      <c r="GK16" s="3"/>
      <c r="GL16" s="2"/>
      <c r="GM16" s="2"/>
      <c r="GN16" s="2"/>
      <c r="GO16" s="2"/>
      <c r="GP16" s="2"/>
      <c r="GQ16" s="2"/>
      <c r="GR16" s="2"/>
      <c r="GS16" s="2"/>
      <c r="GT16" s="3"/>
      <c r="GU16" s="3"/>
      <c r="GV16" s="3"/>
      <c r="GW16" s="3"/>
      <c r="GX16" s="3"/>
      <c r="GY16" s="3"/>
      <c r="GZ16" s="3"/>
      <c r="HA16" s="3"/>
      <c r="HB16" s="2"/>
      <c r="HC16" s="2"/>
      <c r="HD16" s="2"/>
      <c r="HE16" s="2"/>
      <c r="HF16" s="2"/>
      <c r="HG16" s="2"/>
      <c r="HH16" s="2"/>
      <c r="HI16" s="2"/>
      <c r="HJ16" s="3"/>
      <c r="HK16" s="3"/>
      <c r="HL16" s="3"/>
      <c r="HM16" s="3"/>
      <c r="HN16" s="3"/>
      <c r="HO16" s="3"/>
      <c r="HP16" s="3"/>
      <c r="HQ16" s="3"/>
      <c r="HR16" s="2"/>
      <c r="HS16" s="2"/>
      <c r="HT16" s="2"/>
      <c r="HU16" s="2"/>
      <c r="HV16" s="2"/>
      <c r="HW16" s="2"/>
      <c r="HX16" s="2"/>
      <c r="HY16" s="2"/>
      <c r="HZ16" s="3"/>
      <c r="IA16" s="3"/>
      <c r="IB16" s="3"/>
      <c r="IC16" s="3"/>
      <c r="ID16" s="3"/>
      <c r="IE16" s="3"/>
      <c r="IF16" s="3"/>
      <c r="IG16" s="3"/>
      <c r="IH16" s="2"/>
      <c r="II16" s="2"/>
      <c r="IJ16" s="2"/>
      <c r="IK16" s="2"/>
      <c r="IL16" s="2"/>
      <c r="IM16" s="2"/>
      <c r="IN16" s="2"/>
      <c r="IO16" s="2"/>
      <c r="IP16" s="3"/>
      <c r="IQ16" s="3"/>
      <c r="IR16" s="3"/>
      <c r="IS16" s="3"/>
      <c r="IT16" s="3"/>
      <c r="IU16" s="3"/>
      <c r="IV16" s="3"/>
      <c r="IW16" s="3"/>
    </row>
    <row r="17" spans="1:257" x14ac:dyDescent="0.2">
      <c r="A17" s="1">
        <v>11</v>
      </c>
      <c r="B17" s="2"/>
      <c r="C17" s="2"/>
      <c r="D17" s="2"/>
      <c r="E17" s="2"/>
      <c r="F17" s="2"/>
      <c r="G17" s="2"/>
      <c r="H17" s="2"/>
      <c r="I17" s="2"/>
      <c r="J17" s="3"/>
      <c r="K17" s="3"/>
      <c r="L17" s="3"/>
      <c r="M17" s="3"/>
      <c r="N17" s="3"/>
      <c r="O17" s="3"/>
      <c r="P17" s="3"/>
      <c r="Q17" s="3"/>
      <c r="R17" s="2"/>
      <c r="S17" s="2"/>
      <c r="T17" s="2"/>
      <c r="U17" s="2"/>
      <c r="V17" s="2"/>
      <c r="W17" s="2"/>
      <c r="X17" s="2"/>
      <c r="Y17" s="2"/>
      <c r="Z17" s="3"/>
      <c r="AA17" s="3"/>
      <c r="AB17" s="3"/>
      <c r="AC17" s="3"/>
      <c r="AD17" s="3"/>
      <c r="AE17" s="3"/>
      <c r="AF17" s="3"/>
      <c r="AG17" s="3"/>
      <c r="AH17" s="2"/>
      <c r="AI17" s="2"/>
      <c r="AJ17" s="2"/>
      <c r="AK17" s="2"/>
      <c r="AL17" s="2"/>
      <c r="AM17" s="2"/>
      <c r="AN17" s="2"/>
      <c r="AO17" s="2"/>
      <c r="AP17" s="3"/>
      <c r="AQ17" s="3"/>
      <c r="AR17" s="3"/>
      <c r="AS17" s="3"/>
      <c r="AT17" s="3"/>
      <c r="AU17" s="3"/>
      <c r="AV17" s="3"/>
      <c r="AW17" s="3"/>
      <c r="AX17" s="2"/>
      <c r="AY17" s="2"/>
      <c r="AZ17" s="2"/>
      <c r="BA17" s="2"/>
      <c r="BB17" s="2"/>
      <c r="BC17" s="2"/>
      <c r="BD17" s="2"/>
      <c r="BE17" s="2"/>
      <c r="BF17" s="3"/>
      <c r="BG17" s="3"/>
      <c r="BH17" s="3"/>
      <c r="BI17" s="3"/>
      <c r="BJ17" s="3"/>
      <c r="BK17" s="3"/>
      <c r="BL17" s="3"/>
      <c r="BM17" s="3"/>
      <c r="BN17" s="2"/>
      <c r="BO17" s="2"/>
      <c r="BP17" s="2"/>
      <c r="BQ17" s="2"/>
      <c r="BR17" s="2"/>
      <c r="BS17" s="2"/>
      <c r="BT17" s="2"/>
      <c r="BU17" s="2"/>
      <c r="BV17" s="3"/>
      <c r="BW17" s="3"/>
      <c r="BX17" s="3"/>
      <c r="BY17" s="3"/>
      <c r="BZ17" s="3"/>
      <c r="CA17" s="3"/>
      <c r="CB17" s="3"/>
      <c r="CC17" s="3"/>
      <c r="CD17" s="2"/>
      <c r="CE17" s="2"/>
      <c r="CF17" s="2"/>
      <c r="CG17" s="2"/>
      <c r="CH17" s="2"/>
      <c r="CI17" s="2"/>
      <c r="CJ17" s="2"/>
      <c r="CK17" s="2"/>
      <c r="CL17" s="3"/>
      <c r="CM17" s="3"/>
      <c r="CN17" s="3"/>
      <c r="CO17" s="3"/>
      <c r="CP17" s="3"/>
      <c r="CQ17" s="3"/>
      <c r="CR17" s="3"/>
      <c r="CS17" s="3"/>
      <c r="CT17" s="2"/>
      <c r="CU17" s="2"/>
      <c r="CV17" s="2"/>
      <c r="CW17" s="2"/>
      <c r="CX17" s="2"/>
      <c r="CY17" s="2"/>
      <c r="CZ17" s="2"/>
      <c r="DA17" s="2"/>
      <c r="DB17" s="3"/>
      <c r="DC17" s="3"/>
      <c r="DD17" s="3"/>
      <c r="DE17" s="3"/>
      <c r="DF17" s="3"/>
      <c r="DG17" s="3"/>
      <c r="DH17" s="3"/>
      <c r="DI17" s="3"/>
      <c r="DJ17" s="2"/>
      <c r="DK17" s="2"/>
      <c r="DL17" s="2"/>
      <c r="DM17" s="2"/>
      <c r="DN17" s="2"/>
      <c r="DO17" s="2"/>
      <c r="DP17" s="2"/>
      <c r="DQ17" s="2"/>
      <c r="DR17" s="3"/>
      <c r="DS17" s="3"/>
      <c r="DT17" s="3"/>
      <c r="DU17" s="3"/>
      <c r="DV17" s="3"/>
      <c r="DW17" s="3"/>
      <c r="DX17" s="3"/>
      <c r="DY17" s="3"/>
      <c r="DZ17" s="2"/>
      <c r="EA17" s="2"/>
      <c r="EB17" s="2"/>
      <c r="EC17" s="2"/>
      <c r="ED17" s="2"/>
      <c r="EE17" s="2"/>
      <c r="EF17" s="2"/>
      <c r="EG17" s="2"/>
      <c r="EH17" s="3"/>
      <c r="EI17" s="3"/>
      <c r="EJ17" s="3"/>
      <c r="EK17" s="3"/>
      <c r="EL17" s="3"/>
      <c r="EM17" s="3"/>
      <c r="EN17" s="3"/>
      <c r="EO17" s="3"/>
      <c r="EP17" s="2"/>
      <c r="EQ17" s="2"/>
      <c r="ER17" s="2"/>
      <c r="ES17" s="2"/>
      <c r="ET17" s="2"/>
      <c r="EU17" s="2"/>
      <c r="EV17" s="2"/>
      <c r="EW17" s="2"/>
      <c r="EX17" s="3"/>
      <c r="EY17" s="3"/>
      <c r="EZ17" s="3"/>
      <c r="FA17" s="3"/>
      <c r="FB17" s="3"/>
      <c r="FC17" s="3"/>
      <c r="FD17" s="3"/>
      <c r="FE17" s="3"/>
      <c r="FF17" s="2"/>
      <c r="FG17" s="2"/>
      <c r="FH17" s="2"/>
      <c r="FI17" s="2"/>
      <c r="FJ17" s="2"/>
      <c r="FK17" s="2"/>
      <c r="FL17" s="2"/>
      <c r="FM17" s="2"/>
      <c r="FN17" s="3"/>
      <c r="FO17" s="3"/>
      <c r="FP17" s="3"/>
      <c r="FQ17" s="3"/>
      <c r="FR17" s="3"/>
      <c r="FS17" s="3"/>
      <c r="FT17" s="3"/>
      <c r="FU17" s="3"/>
      <c r="FV17" s="2"/>
      <c r="FW17" s="2"/>
      <c r="FX17" s="2"/>
      <c r="FY17" s="2"/>
      <c r="FZ17" s="2"/>
      <c r="GA17" s="2"/>
      <c r="GB17" s="2"/>
      <c r="GC17" s="2"/>
      <c r="GD17" s="3"/>
      <c r="GE17" s="3"/>
      <c r="GF17" s="3"/>
      <c r="GG17" s="3"/>
      <c r="GH17" s="3"/>
      <c r="GI17" s="3"/>
      <c r="GJ17" s="3"/>
      <c r="GK17" s="3"/>
      <c r="GL17" s="2"/>
      <c r="GM17" s="2"/>
      <c r="GN17" s="2"/>
      <c r="GO17" s="2"/>
      <c r="GP17" s="2"/>
      <c r="GQ17" s="2"/>
      <c r="GR17" s="2"/>
      <c r="GS17" s="2"/>
      <c r="GT17" s="3"/>
      <c r="GU17" s="3"/>
      <c r="GV17" s="3"/>
      <c r="GW17" s="3"/>
      <c r="GX17" s="3"/>
      <c r="GY17" s="3"/>
      <c r="GZ17" s="3"/>
      <c r="HA17" s="3"/>
      <c r="HB17" s="2"/>
      <c r="HC17" s="2"/>
      <c r="HD17" s="2"/>
      <c r="HE17" s="2"/>
      <c r="HF17" s="2"/>
      <c r="HG17" s="2"/>
      <c r="HH17" s="2"/>
      <c r="HI17" s="2"/>
      <c r="HJ17" s="3"/>
      <c r="HK17" s="3"/>
      <c r="HL17" s="3"/>
      <c r="HM17" s="3"/>
      <c r="HN17" s="3"/>
      <c r="HO17" s="3"/>
      <c r="HP17" s="3"/>
      <c r="HQ17" s="3"/>
      <c r="HR17" s="2"/>
      <c r="HS17" s="2"/>
      <c r="HT17" s="2"/>
      <c r="HU17" s="2"/>
      <c r="HV17" s="2"/>
      <c r="HW17" s="2"/>
      <c r="HX17" s="2"/>
      <c r="HY17" s="2"/>
      <c r="HZ17" s="3"/>
      <c r="IA17" s="3"/>
      <c r="IB17" s="3"/>
      <c r="IC17" s="3"/>
      <c r="ID17" s="3"/>
      <c r="IE17" s="3"/>
      <c r="IF17" s="3"/>
      <c r="IG17" s="3"/>
      <c r="IH17" s="2"/>
      <c r="II17" s="2"/>
      <c r="IJ17" s="2"/>
      <c r="IK17" s="2"/>
      <c r="IL17" s="2"/>
      <c r="IM17" s="2"/>
      <c r="IN17" s="2"/>
      <c r="IO17" s="2"/>
      <c r="IP17" s="3"/>
      <c r="IQ17" s="3"/>
      <c r="IR17" s="3"/>
      <c r="IS17" s="3"/>
      <c r="IT17" s="3"/>
      <c r="IU17" s="3"/>
      <c r="IV17" s="3"/>
      <c r="IW17" s="3"/>
    </row>
    <row r="18" spans="1:257" x14ac:dyDescent="0.2">
      <c r="A18" s="1">
        <v>12</v>
      </c>
      <c r="B18" s="2"/>
      <c r="C18" s="2"/>
      <c r="D18" s="2"/>
      <c r="E18" s="2"/>
      <c r="F18" s="2"/>
      <c r="G18" s="2"/>
      <c r="H18" s="2"/>
      <c r="I18" s="2"/>
      <c r="J18" s="3"/>
      <c r="K18" s="3"/>
      <c r="L18" s="3"/>
      <c r="M18" s="3"/>
      <c r="N18" s="3"/>
      <c r="O18" s="3"/>
      <c r="P18" s="3"/>
      <c r="Q18" s="3"/>
      <c r="R18" s="2"/>
      <c r="S18" s="2"/>
      <c r="T18" s="2"/>
      <c r="U18" s="2"/>
      <c r="V18" s="2"/>
      <c r="W18" s="2"/>
      <c r="X18" s="2"/>
      <c r="Y18" s="2"/>
      <c r="Z18" s="3"/>
      <c r="AA18" s="3"/>
      <c r="AB18" s="3"/>
      <c r="AC18" s="3"/>
      <c r="AD18" s="3"/>
      <c r="AE18" s="3"/>
      <c r="AF18" s="3"/>
      <c r="AG18" s="3"/>
      <c r="AH18" s="2"/>
      <c r="AI18" s="2"/>
      <c r="AJ18" s="2"/>
      <c r="AK18" s="2"/>
      <c r="AL18" s="2"/>
      <c r="AM18" s="2"/>
      <c r="AN18" s="2"/>
      <c r="AO18" s="2"/>
      <c r="AP18" s="3"/>
      <c r="AQ18" s="3"/>
      <c r="AR18" s="3"/>
      <c r="AS18" s="3"/>
      <c r="AT18" s="3"/>
      <c r="AU18" s="3"/>
      <c r="AV18" s="3"/>
      <c r="AW18" s="3"/>
      <c r="AX18" s="2"/>
      <c r="AY18" s="2"/>
      <c r="AZ18" s="2"/>
      <c r="BA18" s="2"/>
      <c r="BB18" s="2"/>
      <c r="BC18" s="2"/>
      <c r="BD18" s="2"/>
      <c r="BE18" s="2"/>
      <c r="BF18" s="3"/>
      <c r="BG18" s="3"/>
      <c r="BH18" s="3"/>
      <c r="BI18" s="3"/>
      <c r="BJ18" s="3"/>
      <c r="BK18" s="3"/>
      <c r="BL18" s="3"/>
      <c r="BM18" s="3"/>
      <c r="BN18" s="2"/>
      <c r="BO18" s="2"/>
      <c r="BP18" s="2"/>
      <c r="BQ18" s="2"/>
      <c r="BR18" s="2"/>
      <c r="BS18" s="2"/>
      <c r="BT18" s="2"/>
      <c r="BU18" s="2"/>
      <c r="BV18" s="3"/>
      <c r="BW18" s="3"/>
      <c r="BX18" s="3"/>
      <c r="BY18" s="3"/>
      <c r="BZ18" s="3"/>
      <c r="CA18" s="3"/>
      <c r="CB18" s="3"/>
      <c r="CC18" s="3"/>
      <c r="CD18" s="2"/>
      <c r="CE18" s="2"/>
      <c r="CF18" s="2"/>
      <c r="CG18" s="2"/>
      <c r="CH18" s="2"/>
      <c r="CI18" s="2"/>
      <c r="CJ18" s="2"/>
      <c r="CK18" s="2"/>
      <c r="CL18" s="3"/>
      <c r="CM18" s="3"/>
      <c r="CN18" s="3"/>
      <c r="CO18" s="3"/>
      <c r="CP18" s="3"/>
      <c r="CQ18" s="3"/>
      <c r="CR18" s="3"/>
      <c r="CS18" s="3"/>
      <c r="CT18" s="2"/>
      <c r="CU18" s="2"/>
      <c r="CV18" s="2"/>
      <c r="CW18" s="2"/>
      <c r="CX18" s="2"/>
      <c r="CY18" s="2"/>
      <c r="CZ18" s="2"/>
      <c r="DA18" s="2"/>
      <c r="DB18" s="3"/>
      <c r="DC18" s="3"/>
      <c r="DD18" s="3"/>
      <c r="DE18" s="3"/>
      <c r="DF18" s="3"/>
      <c r="DG18" s="3"/>
      <c r="DH18" s="3"/>
      <c r="DI18" s="3"/>
      <c r="DJ18" s="2"/>
      <c r="DK18" s="2"/>
      <c r="DL18" s="2"/>
      <c r="DM18" s="2"/>
      <c r="DN18" s="2"/>
      <c r="DO18" s="2"/>
      <c r="DP18" s="2"/>
      <c r="DQ18" s="2"/>
      <c r="DR18" s="3"/>
      <c r="DS18" s="3"/>
      <c r="DT18" s="3"/>
      <c r="DU18" s="3"/>
      <c r="DV18" s="3"/>
      <c r="DW18" s="3"/>
      <c r="DX18" s="3"/>
      <c r="DY18" s="3"/>
      <c r="DZ18" s="2"/>
      <c r="EA18" s="2"/>
      <c r="EB18" s="2"/>
      <c r="EC18" s="2"/>
      <c r="ED18" s="2"/>
      <c r="EE18" s="2"/>
      <c r="EF18" s="2"/>
      <c r="EG18" s="2"/>
      <c r="EH18" s="3"/>
      <c r="EI18" s="3"/>
      <c r="EJ18" s="3"/>
      <c r="EK18" s="3"/>
      <c r="EL18" s="3"/>
      <c r="EM18" s="3"/>
      <c r="EN18" s="3"/>
      <c r="EO18" s="3"/>
      <c r="EP18" s="2"/>
      <c r="EQ18" s="2"/>
      <c r="ER18" s="2"/>
      <c r="ES18" s="2"/>
      <c r="ET18" s="2"/>
      <c r="EU18" s="2"/>
      <c r="EV18" s="2"/>
      <c r="EW18" s="2"/>
      <c r="EX18" s="3"/>
      <c r="EY18" s="3"/>
      <c r="EZ18" s="3"/>
      <c r="FA18" s="3"/>
      <c r="FB18" s="3"/>
      <c r="FC18" s="3"/>
      <c r="FD18" s="3"/>
      <c r="FE18" s="3"/>
      <c r="FF18" s="2"/>
      <c r="FG18" s="2"/>
      <c r="FH18" s="2"/>
      <c r="FI18" s="2"/>
      <c r="FJ18" s="2"/>
      <c r="FK18" s="2"/>
      <c r="FL18" s="2"/>
      <c r="FM18" s="2"/>
      <c r="FN18" s="3"/>
      <c r="FO18" s="3"/>
      <c r="FP18" s="3"/>
      <c r="FQ18" s="3"/>
      <c r="FR18" s="3"/>
      <c r="FS18" s="3"/>
      <c r="FT18" s="3"/>
      <c r="FU18" s="3"/>
      <c r="FV18" s="2"/>
      <c r="FW18" s="2"/>
      <c r="FX18" s="2"/>
      <c r="FY18" s="2"/>
      <c r="FZ18" s="2"/>
      <c r="GA18" s="2"/>
      <c r="GB18" s="2"/>
      <c r="GC18" s="2"/>
      <c r="GD18" s="3"/>
      <c r="GE18" s="3"/>
      <c r="GF18" s="3"/>
      <c r="GG18" s="3"/>
      <c r="GH18" s="3"/>
      <c r="GI18" s="3"/>
      <c r="GJ18" s="3"/>
      <c r="GK18" s="3"/>
      <c r="GL18" s="2"/>
      <c r="GM18" s="2"/>
      <c r="GN18" s="2"/>
      <c r="GO18" s="2"/>
      <c r="GP18" s="2"/>
      <c r="GQ18" s="2"/>
      <c r="GR18" s="2"/>
      <c r="GS18" s="2"/>
      <c r="GT18" s="3"/>
      <c r="GU18" s="3"/>
      <c r="GV18" s="3"/>
      <c r="GW18" s="3"/>
      <c r="GX18" s="3"/>
      <c r="GY18" s="3"/>
      <c r="GZ18" s="3"/>
      <c r="HA18" s="3"/>
      <c r="HB18" s="2"/>
      <c r="HC18" s="2"/>
      <c r="HD18" s="2"/>
      <c r="HE18" s="2"/>
      <c r="HF18" s="2"/>
      <c r="HG18" s="2"/>
      <c r="HH18" s="2"/>
      <c r="HI18" s="2"/>
      <c r="HJ18" s="3"/>
      <c r="HK18" s="3"/>
      <c r="HL18" s="3"/>
      <c r="HM18" s="3"/>
      <c r="HN18" s="3"/>
      <c r="HO18" s="3"/>
      <c r="HP18" s="3"/>
      <c r="HQ18" s="3"/>
      <c r="HR18" s="2"/>
      <c r="HS18" s="2"/>
      <c r="HT18" s="2"/>
      <c r="HU18" s="2"/>
      <c r="HV18" s="2"/>
      <c r="HW18" s="2"/>
      <c r="HX18" s="2"/>
      <c r="HY18" s="2"/>
      <c r="HZ18" s="3"/>
      <c r="IA18" s="3"/>
      <c r="IB18" s="3"/>
      <c r="IC18" s="3"/>
      <c r="ID18" s="3"/>
      <c r="IE18" s="3"/>
      <c r="IF18" s="3"/>
      <c r="IG18" s="3"/>
      <c r="IH18" s="2"/>
      <c r="II18" s="2"/>
      <c r="IJ18" s="2"/>
      <c r="IK18" s="2"/>
      <c r="IL18" s="2"/>
      <c r="IM18" s="2"/>
      <c r="IN18" s="2"/>
      <c r="IO18" s="2"/>
      <c r="IP18" s="3"/>
      <c r="IQ18" s="3"/>
      <c r="IR18" s="3"/>
      <c r="IS18" s="3"/>
      <c r="IT18" s="3"/>
      <c r="IU18" s="3"/>
      <c r="IV18" s="3"/>
      <c r="IW18" s="3"/>
    </row>
    <row r="19" spans="1:257" x14ac:dyDescent="0.2">
      <c r="A19" s="1">
        <v>13</v>
      </c>
      <c r="B19" s="2"/>
      <c r="C19" s="2"/>
      <c r="D19" s="2"/>
      <c r="E19" s="2"/>
      <c r="F19" s="2"/>
      <c r="G19" s="2"/>
      <c r="H19" s="2"/>
      <c r="I19" s="2"/>
      <c r="J19" s="3"/>
      <c r="K19" s="3"/>
      <c r="L19" s="3"/>
      <c r="M19" s="3"/>
      <c r="N19" s="3"/>
      <c r="O19" s="3"/>
      <c r="P19" s="3"/>
      <c r="Q19" s="3"/>
      <c r="R19" s="2"/>
      <c r="S19" s="2"/>
      <c r="T19" s="2"/>
      <c r="U19" s="2"/>
      <c r="V19" s="2"/>
      <c r="W19" s="2"/>
      <c r="X19" s="2"/>
      <c r="Y19" s="2"/>
      <c r="Z19" s="3"/>
      <c r="AA19" s="3"/>
      <c r="AB19" s="3"/>
      <c r="AC19" s="3"/>
      <c r="AD19" s="3"/>
      <c r="AE19" s="3"/>
      <c r="AF19" s="3"/>
      <c r="AG19" s="3"/>
      <c r="AH19" s="2"/>
      <c r="AI19" s="2"/>
      <c r="AJ19" s="2"/>
      <c r="AK19" s="2"/>
      <c r="AL19" s="2"/>
      <c r="AM19" s="2"/>
      <c r="AN19" s="2"/>
      <c r="AO19" s="2"/>
      <c r="AP19" s="3"/>
      <c r="AQ19" s="3"/>
      <c r="AR19" s="3"/>
      <c r="AS19" s="3"/>
      <c r="AT19" s="3"/>
      <c r="AU19" s="3"/>
      <c r="AV19" s="3"/>
      <c r="AW19" s="3"/>
      <c r="AX19" s="2"/>
      <c r="AY19" s="2"/>
      <c r="AZ19" s="2"/>
      <c r="BA19" s="2"/>
      <c r="BB19" s="2"/>
      <c r="BC19" s="2"/>
      <c r="BD19" s="2"/>
      <c r="BE19" s="2"/>
      <c r="BF19" s="3"/>
      <c r="BG19" s="3"/>
      <c r="BH19" s="3"/>
      <c r="BI19" s="3"/>
      <c r="BJ19" s="3"/>
      <c r="BK19" s="3"/>
      <c r="BL19" s="3"/>
      <c r="BM19" s="3"/>
      <c r="BN19" s="2"/>
      <c r="BO19" s="2"/>
      <c r="BP19" s="2"/>
      <c r="BQ19" s="2"/>
      <c r="BR19" s="2"/>
      <c r="BS19" s="2"/>
      <c r="BT19" s="2"/>
      <c r="BU19" s="2"/>
      <c r="BV19" s="3"/>
      <c r="BW19" s="3"/>
      <c r="BX19" s="3"/>
      <c r="BY19" s="3"/>
      <c r="BZ19" s="3"/>
      <c r="CA19" s="3"/>
      <c r="CB19" s="3"/>
      <c r="CC19" s="3"/>
      <c r="CD19" s="2"/>
      <c r="CE19" s="2"/>
      <c r="CF19" s="2"/>
      <c r="CG19" s="2"/>
      <c r="CH19" s="2"/>
      <c r="CI19" s="2"/>
      <c r="CJ19" s="2"/>
      <c r="CK19" s="2"/>
      <c r="CL19" s="3"/>
      <c r="CM19" s="3"/>
      <c r="CN19" s="3"/>
      <c r="CO19" s="3"/>
      <c r="CP19" s="3"/>
      <c r="CQ19" s="3"/>
      <c r="CR19" s="3"/>
      <c r="CS19" s="3"/>
      <c r="CT19" s="2"/>
      <c r="CU19" s="2"/>
      <c r="CV19" s="2"/>
      <c r="CW19" s="2"/>
      <c r="CX19" s="2"/>
      <c r="CY19" s="2"/>
      <c r="CZ19" s="2"/>
      <c r="DA19" s="2"/>
      <c r="DB19" s="3"/>
      <c r="DC19" s="3"/>
      <c r="DD19" s="3"/>
      <c r="DE19" s="3"/>
      <c r="DF19" s="3"/>
      <c r="DG19" s="3"/>
      <c r="DH19" s="3"/>
      <c r="DI19" s="3"/>
      <c r="DJ19" s="2"/>
      <c r="DK19" s="2"/>
      <c r="DL19" s="2"/>
      <c r="DM19" s="2"/>
      <c r="DN19" s="2"/>
      <c r="DO19" s="2"/>
      <c r="DP19" s="2"/>
      <c r="DQ19" s="2"/>
      <c r="DR19" s="3"/>
      <c r="DS19" s="3"/>
      <c r="DT19" s="3"/>
      <c r="DU19" s="3"/>
      <c r="DV19" s="3"/>
      <c r="DW19" s="3"/>
      <c r="DX19" s="3"/>
      <c r="DY19" s="3"/>
      <c r="DZ19" s="2"/>
      <c r="EA19" s="2"/>
      <c r="EB19" s="2"/>
      <c r="EC19" s="2"/>
      <c r="ED19" s="2"/>
      <c r="EE19" s="2"/>
      <c r="EF19" s="2"/>
      <c r="EG19" s="2"/>
      <c r="EH19" s="3"/>
      <c r="EI19" s="3"/>
      <c r="EJ19" s="3"/>
      <c r="EK19" s="3"/>
      <c r="EL19" s="3"/>
      <c r="EM19" s="3"/>
      <c r="EN19" s="3"/>
      <c r="EO19" s="3"/>
      <c r="EP19" s="2"/>
      <c r="EQ19" s="2"/>
      <c r="ER19" s="2"/>
      <c r="ES19" s="2"/>
      <c r="ET19" s="2"/>
      <c r="EU19" s="2"/>
      <c r="EV19" s="2"/>
      <c r="EW19" s="2"/>
      <c r="EX19" s="3"/>
      <c r="EY19" s="3"/>
      <c r="EZ19" s="3"/>
      <c r="FA19" s="3"/>
      <c r="FB19" s="3"/>
      <c r="FC19" s="3"/>
      <c r="FD19" s="3"/>
      <c r="FE19" s="3"/>
      <c r="FF19" s="2"/>
      <c r="FG19" s="2"/>
      <c r="FH19" s="2"/>
      <c r="FI19" s="2"/>
      <c r="FJ19" s="2"/>
      <c r="FK19" s="2"/>
      <c r="FL19" s="2"/>
      <c r="FM19" s="2"/>
      <c r="FN19" s="3"/>
      <c r="FO19" s="3"/>
      <c r="FP19" s="3"/>
      <c r="FQ19" s="3"/>
      <c r="FR19" s="3"/>
      <c r="FS19" s="3"/>
      <c r="FT19" s="3"/>
      <c r="FU19" s="3"/>
      <c r="FV19" s="2"/>
      <c r="FW19" s="2"/>
      <c r="FX19" s="2"/>
      <c r="FY19" s="2"/>
      <c r="FZ19" s="2"/>
      <c r="GA19" s="2"/>
      <c r="GB19" s="2"/>
      <c r="GC19" s="2"/>
      <c r="GD19" s="3"/>
      <c r="GE19" s="3"/>
      <c r="GF19" s="3"/>
      <c r="GG19" s="3"/>
      <c r="GH19" s="3"/>
      <c r="GI19" s="3"/>
      <c r="GJ19" s="3"/>
      <c r="GK19" s="3"/>
      <c r="GL19" s="2"/>
      <c r="GM19" s="2"/>
      <c r="GN19" s="2"/>
      <c r="GO19" s="2"/>
      <c r="GP19" s="2"/>
      <c r="GQ19" s="2"/>
      <c r="GR19" s="2"/>
      <c r="GS19" s="2"/>
      <c r="GT19" s="3"/>
      <c r="GU19" s="3"/>
      <c r="GV19" s="3"/>
      <c r="GW19" s="3"/>
      <c r="GX19" s="3"/>
      <c r="GY19" s="3"/>
      <c r="GZ19" s="3"/>
      <c r="HA19" s="3"/>
      <c r="HB19" s="2"/>
      <c r="HC19" s="2"/>
      <c r="HD19" s="2"/>
      <c r="HE19" s="2"/>
      <c r="HF19" s="2"/>
      <c r="HG19" s="2"/>
      <c r="HH19" s="2"/>
      <c r="HI19" s="2"/>
      <c r="HJ19" s="3"/>
      <c r="HK19" s="3"/>
      <c r="HL19" s="3"/>
      <c r="HM19" s="3"/>
      <c r="HN19" s="3"/>
      <c r="HO19" s="3"/>
      <c r="HP19" s="3"/>
      <c r="HQ19" s="3"/>
      <c r="HR19" s="2"/>
      <c r="HS19" s="2"/>
      <c r="HT19" s="2"/>
      <c r="HU19" s="2"/>
      <c r="HV19" s="2"/>
      <c r="HW19" s="2"/>
      <c r="HX19" s="2"/>
      <c r="HY19" s="2"/>
      <c r="HZ19" s="3"/>
      <c r="IA19" s="3"/>
      <c r="IB19" s="3"/>
      <c r="IC19" s="3"/>
      <c r="ID19" s="3"/>
      <c r="IE19" s="3"/>
      <c r="IF19" s="3"/>
      <c r="IG19" s="3"/>
      <c r="IH19" s="2"/>
      <c r="II19" s="2"/>
      <c r="IJ19" s="2"/>
      <c r="IK19" s="2"/>
      <c r="IL19" s="2"/>
      <c r="IM19" s="2"/>
      <c r="IN19" s="2"/>
      <c r="IO19" s="2"/>
      <c r="IP19" s="3"/>
      <c r="IQ19" s="3"/>
      <c r="IR19" s="3"/>
      <c r="IS19" s="3"/>
      <c r="IT19" s="3"/>
      <c r="IU19" s="3"/>
      <c r="IV19" s="3"/>
      <c r="IW19" s="3"/>
    </row>
    <row r="20" spans="1:257" x14ac:dyDescent="0.2">
      <c r="A20" s="1">
        <v>14</v>
      </c>
      <c r="B20" s="2"/>
      <c r="C20" s="2"/>
      <c r="D20" s="2"/>
      <c r="E20" s="2"/>
      <c r="F20" s="2"/>
      <c r="G20" s="2"/>
      <c r="H20" s="2"/>
      <c r="I20" s="2"/>
      <c r="J20" s="3"/>
      <c r="K20" s="3"/>
      <c r="L20" s="3"/>
      <c r="M20" s="3"/>
      <c r="N20" s="3"/>
      <c r="O20" s="3"/>
      <c r="P20" s="3"/>
      <c r="Q20" s="3"/>
      <c r="R20" s="2"/>
      <c r="S20" s="2"/>
      <c r="T20" s="2"/>
      <c r="U20" s="2"/>
      <c r="V20" s="2"/>
      <c r="W20" s="2"/>
      <c r="X20" s="2"/>
      <c r="Y20" s="2"/>
      <c r="Z20" s="3"/>
      <c r="AA20" s="3"/>
      <c r="AB20" s="3"/>
      <c r="AC20" s="3"/>
      <c r="AD20" s="3"/>
      <c r="AE20" s="3"/>
      <c r="AF20" s="3"/>
      <c r="AG20" s="3"/>
      <c r="AH20" s="2"/>
      <c r="AI20" s="2"/>
      <c r="AJ20" s="2"/>
      <c r="AK20" s="2"/>
      <c r="AL20" s="2"/>
      <c r="AM20" s="2"/>
      <c r="AN20" s="2"/>
      <c r="AO20" s="2"/>
      <c r="AP20" s="3"/>
      <c r="AQ20" s="3"/>
      <c r="AR20" s="3"/>
      <c r="AS20" s="3"/>
      <c r="AT20" s="3"/>
      <c r="AU20" s="3"/>
      <c r="AV20" s="3"/>
      <c r="AW20" s="3"/>
      <c r="AX20" s="2"/>
      <c r="AY20" s="2"/>
      <c r="AZ20" s="2"/>
      <c r="BA20" s="2"/>
      <c r="BB20" s="2"/>
      <c r="BC20" s="2"/>
      <c r="BD20" s="2"/>
      <c r="BE20" s="2"/>
      <c r="BF20" s="3"/>
      <c r="BG20" s="3"/>
      <c r="BH20" s="3"/>
      <c r="BI20" s="3"/>
      <c r="BJ20" s="3"/>
      <c r="BK20" s="3"/>
      <c r="BL20" s="3"/>
      <c r="BM20" s="3"/>
      <c r="BN20" s="2"/>
      <c r="BO20" s="2"/>
      <c r="BP20" s="2"/>
      <c r="BQ20" s="2"/>
      <c r="BR20" s="2"/>
      <c r="BS20" s="2"/>
      <c r="BT20" s="2"/>
      <c r="BU20" s="2"/>
      <c r="BV20" s="3"/>
      <c r="BW20" s="3"/>
      <c r="BX20" s="3"/>
      <c r="BY20" s="3"/>
      <c r="BZ20" s="3"/>
      <c r="CA20" s="3"/>
      <c r="CB20" s="3"/>
      <c r="CC20" s="3"/>
      <c r="CD20" s="2"/>
      <c r="CE20" s="2"/>
      <c r="CF20" s="2"/>
      <c r="CG20" s="2"/>
      <c r="CH20" s="2"/>
      <c r="CI20" s="2"/>
      <c r="CJ20" s="2"/>
      <c r="CK20" s="2"/>
      <c r="CL20" s="3"/>
      <c r="CM20" s="3"/>
      <c r="CN20" s="3"/>
      <c r="CO20" s="3"/>
      <c r="CP20" s="3"/>
      <c r="CQ20" s="3"/>
      <c r="CR20" s="3"/>
      <c r="CS20" s="3"/>
      <c r="CT20" s="2"/>
      <c r="CU20" s="2"/>
      <c r="CV20" s="2"/>
      <c r="CW20" s="2"/>
      <c r="CX20" s="2"/>
      <c r="CY20" s="2"/>
      <c r="CZ20" s="2"/>
      <c r="DA20" s="2"/>
      <c r="DB20" s="3"/>
      <c r="DC20" s="3"/>
      <c r="DD20" s="3"/>
      <c r="DE20" s="3"/>
      <c r="DF20" s="3"/>
      <c r="DG20" s="3"/>
      <c r="DH20" s="3"/>
      <c r="DI20" s="3"/>
      <c r="DJ20" s="2"/>
      <c r="DK20" s="2"/>
      <c r="DL20" s="2"/>
      <c r="DM20" s="2"/>
      <c r="DN20" s="2"/>
      <c r="DO20" s="2"/>
      <c r="DP20" s="2"/>
      <c r="DQ20" s="2"/>
      <c r="DR20" s="3"/>
      <c r="DS20" s="3"/>
      <c r="DT20" s="3"/>
      <c r="DU20" s="3"/>
      <c r="DV20" s="3"/>
      <c r="DW20" s="3"/>
      <c r="DX20" s="3"/>
      <c r="DY20" s="3"/>
      <c r="DZ20" s="2"/>
      <c r="EA20" s="2"/>
      <c r="EB20" s="2"/>
      <c r="EC20" s="2"/>
      <c r="ED20" s="2"/>
      <c r="EE20" s="2"/>
      <c r="EF20" s="2"/>
      <c r="EG20" s="2"/>
      <c r="EH20" s="3"/>
      <c r="EI20" s="3"/>
      <c r="EJ20" s="3"/>
      <c r="EK20" s="3"/>
      <c r="EL20" s="3"/>
      <c r="EM20" s="3"/>
      <c r="EN20" s="3"/>
      <c r="EO20" s="3"/>
      <c r="EP20" s="2"/>
      <c r="EQ20" s="2"/>
      <c r="ER20" s="2"/>
      <c r="ES20" s="2"/>
      <c r="ET20" s="2"/>
      <c r="EU20" s="2"/>
      <c r="EV20" s="2"/>
      <c r="EW20" s="2"/>
      <c r="EX20" s="3"/>
      <c r="EY20" s="3"/>
      <c r="EZ20" s="3"/>
      <c r="FA20" s="3"/>
      <c r="FB20" s="3"/>
      <c r="FC20" s="3"/>
      <c r="FD20" s="3"/>
      <c r="FE20" s="3"/>
      <c r="FF20" s="2"/>
      <c r="FG20" s="2"/>
      <c r="FH20" s="2"/>
      <c r="FI20" s="2"/>
      <c r="FJ20" s="2"/>
      <c r="FK20" s="2"/>
      <c r="FL20" s="2"/>
      <c r="FM20" s="2"/>
      <c r="FN20" s="3"/>
      <c r="FO20" s="3"/>
      <c r="FP20" s="3"/>
      <c r="FQ20" s="3"/>
      <c r="FR20" s="3"/>
      <c r="FS20" s="3"/>
      <c r="FT20" s="3"/>
      <c r="FU20" s="3"/>
      <c r="FV20" s="2"/>
      <c r="FW20" s="2"/>
      <c r="FX20" s="2"/>
      <c r="FY20" s="2"/>
      <c r="FZ20" s="2"/>
      <c r="GA20" s="2"/>
      <c r="GB20" s="2"/>
      <c r="GC20" s="2"/>
      <c r="GD20" s="3"/>
      <c r="GE20" s="3"/>
      <c r="GF20" s="3"/>
      <c r="GG20" s="3"/>
      <c r="GH20" s="3"/>
      <c r="GI20" s="3"/>
      <c r="GJ20" s="3"/>
      <c r="GK20" s="3"/>
      <c r="GL20" s="2"/>
      <c r="GM20" s="2"/>
      <c r="GN20" s="2"/>
      <c r="GO20" s="2"/>
      <c r="GP20" s="2"/>
      <c r="GQ20" s="2"/>
      <c r="GR20" s="2"/>
      <c r="GS20" s="2"/>
      <c r="GT20" s="3"/>
      <c r="GU20" s="3"/>
      <c r="GV20" s="3"/>
      <c r="GW20" s="3"/>
      <c r="GX20" s="3"/>
      <c r="GY20" s="3"/>
      <c r="GZ20" s="3"/>
      <c r="HA20" s="3"/>
      <c r="HB20" s="2"/>
      <c r="HC20" s="2"/>
      <c r="HD20" s="2"/>
      <c r="HE20" s="2"/>
      <c r="HF20" s="2"/>
      <c r="HG20" s="2"/>
      <c r="HH20" s="2"/>
      <c r="HI20" s="2"/>
      <c r="HJ20" s="3"/>
      <c r="HK20" s="3"/>
      <c r="HL20" s="3"/>
      <c r="HM20" s="3"/>
      <c r="HN20" s="3"/>
      <c r="HO20" s="3"/>
      <c r="HP20" s="3"/>
      <c r="HQ20" s="3"/>
      <c r="HR20" s="2"/>
      <c r="HS20" s="2"/>
      <c r="HT20" s="2"/>
      <c r="HU20" s="2"/>
      <c r="HV20" s="2"/>
      <c r="HW20" s="2"/>
      <c r="HX20" s="2"/>
      <c r="HY20" s="2"/>
      <c r="HZ20" s="3"/>
      <c r="IA20" s="3"/>
      <c r="IB20" s="3"/>
      <c r="IC20" s="3"/>
      <c r="ID20" s="3"/>
      <c r="IE20" s="3"/>
      <c r="IF20" s="3"/>
      <c r="IG20" s="3"/>
      <c r="IH20" s="2"/>
      <c r="II20" s="2"/>
      <c r="IJ20" s="2"/>
      <c r="IK20" s="2"/>
      <c r="IL20" s="2"/>
      <c r="IM20" s="2"/>
      <c r="IN20" s="2"/>
      <c r="IO20" s="2"/>
      <c r="IP20" s="3"/>
      <c r="IQ20" s="3"/>
      <c r="IR20" s="3"/>
      <c r="IS20" s="3"/>
      <c r="IT20" s="3"/>
      <c r="IU20" s="3"/>
      <c r="IV20" s="3"/>
      <c r="IW20" s="3"/>
    </row>
    <row r="21" spans="1:257" x14ac:dyDescent="0.2">
      <c r="A21" s="1">
        <v>15</v>
      </c>
      <c r="B21" s="2"/>
      <c r="C21" s="2"/>
      <c r="D21" s="2"/>
      <c r="E21" s="2"/>
      <c r="F21" s="2"/>
      <c r="G21" s="2"/>
      <c r="H21" s="2"/>
      <c r="I21" s="2"/>
      <c r="J21" s="3"/>
      <c r="K21" s="3"/>
      <c r="L21" s="3"/>
      <c r="M21" s="3"/>
      <c r="N21" s="3"/>
      <c r="O21" s="3"/>
      <c r="P21" s="3"/>
      <c r="Q21" s="3"/>
      <c r="R21" s="2"/>
      <c r="S21" s="2"/>
      <c r="T21" s="2"/>
      <c r="U21" s="2"/>
      <c r="V21" s="2"/>
      <c r="W21" s="2"/>
      <c r="X21" s="2"/>
      <c r="Y21" s="2"/>
      <c r="Z21" s="3"/>
      <c r="AA21" s="3"/>
      <c r="AB21" s="3"/>
      <c r="AC21" s="3"/>
      <c r="AD21" s="3"/>
      <c r="AE21" s="3"/>
      <c r="AF21" s="3"/>
      <c r="AG21" s="3"/>
      <c r="AH21" s="2"/>
      <c r="AI21" s="2"/>
      <c r="AJ21" s="2"/>
      <c r="AK21" s="2"/>
      <c r="AL21" s="2"/>
      <c r="AM21" s="2"/>
      <c r="AN21" s="2"/>
      <c r="AO21" s="2"/>
      <c r="AP21" s="3"/>
      <c r="AQ21" s="3"/>
      <c r="AR21" s="3"/>
      <c r="AS21" s="3"/>
      <c r="AT21" s="3"/>
      <c r="AU21" s="3"/>
      <c r="AV21" s="3"/>
      <c r="AW21" s="3"/>
      <c r="AX21" s="2"/>
      <c r="AY21" s="2"/>
      <c r="AZ21" s="2"/>
      <c r="BA21" s="2"/>
      <c r="BB21" s="2"/>
      <c r="BC21" s="2"/>
      <c r="BD21" s="2"/>
      <c r="BE21" s="2"/>
      <c r="BF21" s="3"/>
      <c r="BG21" s="3"/>
      <c r="BH21" s="3"/>
      <c r="BI21" s="3"/>
      <c r="BJ21" s="3"/>
      <c r="BK21" s="3"/>
      <c r="BL21" s="3"/>
      <c r="BM21" s="3"/>
      <c r="BN21" s="2"/>
      <c r="BO21" s="2"/>
      <c r="BP21" s="2"/>
      <c r="BQ21" s="2"/>
      <c r="BR21" s="2"/>
      <c r="BS21" s="2"/>
      <c r="BT21" s="2"/>
      <c r="BU21" s="2"/>
      <c r="BV21" s="3"/>
      <c r="BW21" s="3"/>
      <c r="BX21" s="3"/>
      <c r="BY21" s="3"/>
      <c r="BZ21" s="3"/>
      <c r="CA21" s="3"/>
      <c r="CB21" s="3"/>
      <c r="CC21" s="3"/>
      <c r="CD21" s="2"/>
      <c r="CE21" s="2"/>
      <c r="CF21" s="2"/>
      <c r="CG21" s="2"/>
      <c r="CH21" s="2"/>
      <c r="CI21" s="2"/>
      <c r="CJ21" s="2"/>
      <c r="CK21" s="2"/>
      <c r="CL21" s="3"/>
      <c r="CM21" s="3"/>
      <c r="CN21" s="3"/>
      <c r="CO21" s="3"/>
      <c r="CP21" s="3"/>
      <c r="CQ21" s="3"/>
      <c r="CR21" s="3"/>
      <c r="CS21" s="3"/>
      <c r="CT21" s="2"/>
      <c r="CU21" s="2"/>
      <c r="CV21" s="2"/>
      <c r="CW21" s="2"/>
      <c r="CX21" s="2"/>
      <c r="CY21" s="2"/>
      <c r="CZ21" s="2"/>
      <c r="DA21" s="2"/>
      <c r="DB21" s="3"/>
      <c r="DC21" s="3"/>
      <c r="DD21" s="3"/>
      <c r="DE21" s="3"/>
      <c r="DF21" s="3"/>
      <c r="DG21" s="3"/>
      <c r="DH21" s="3"/>
      <c r="DI21" s="3"/>
      <c r="DJ21" s="2"/>
      <c r="DK21" s="2"/>
      <c r="DL21" s="2"/>
      <c r="DM21" s="2"/>
      <c r="DN21" s="2"/>
      <c r="DO21" s="2"/>
      <c r="DP21" s="2"/>
      <c r="DQ21" s="2"/>
      <c r="DR21" s="3"/>
      <c r="DS21" s="3"/>
      <c r="DT21" s="3"/>
      <c r="DU21" s="3"/>
      <c r="DV21" s="3"/>
      <c r="DW21" s="3"/>
      <c r="DX21" s="3"/>
      <c r="DY21" s="3"/>
      <c r="DZ21" s="2"/>
      <c r="EA21" s="2"/>
      <c r="EB21" s="2"/>
      <c r="EC21" s="2"/>
      <c r="ED21" s="2"/>
      <c r="EE21" s="2"/>
      <c r="EF21" s="2"/>
      <c r="EG21" s="2"/>
      <c r="EH21" s="3"/>
      <c r="EI21" s="3"/>
      <c r="EJ21" s="3"/>
      <c r="EK21" s="3"/>
      <c r="EL21" s="3"/>
      <c r="EM21" s="3"/>
      <c r="EN21" s="3"/>
      <c r="EO21" s="3"/>
      <c r="EP21" s="2"/>
      <c r="EQ21" s="2"/>
      <c r="ER21" s="2"/>
      <c r="ES21" s="2"/>
      <c r="ET21" s="2"/>
      <c r="EU21" s="2"/>
      <c r="EV21" s="2"/>
      <c r="EW21" s="2"/>
      <c r="EX21" s="3"/>
      <c r="EY21" s="3"/>
      <c r="EZ21" s="3"/>
      <c r="FA21" s="3"/>
      <c r="FB21" s="3"/>
      <c r="FC21" s="3"/>
      <c r="FD21" s="3"/>
      <c r="FE21" s="3"/>
      <c r="FF21" s="2"/>
      <c r="FG21" s="2"/>
      <c r="FH21" s="2"/>
      <c r="FI21" s="2"/>
      <c r="FJ21" s="2"/>
      <c r="FK21" s="2"/>
      <c r="FL21" s="2"/>
      <c r="FM21" s="2"/>
      <c r="FN21" s="3"/>
      <c r="FO21" s="3"/>
      <c r="FP21" s="3"/>
      <c r="FQ21" s="3"/>
      <c r="FR21" s="3"/>
      <c r="FS21" s="3"/>
      <c r="FT21" s="3"/>
      <c r="FU21" s="3"/>
      <c r="FV21" s="2"/>
      <c r="FW21" s="2"/>
      <c r="FX21" s="2"/>
      <c r="FY21" s="2"/>
      <c r="FZ21" s="2"/>
      <c r="GA21" s="2"/>
      <c r="GB21" s="2"/>
      <c r="GC21" s="2"/>
      <c r="GD21" s="3"/>
      <c r="GE21" s="3"/>
      <c r="GF21" s="3"/>
      <c r="GG21" s="3"/>
      <c r="GH21" s="3"/>
      <c r="GI21" s="3"/>
      <c r="GJ21" s="3"/>
      <c r="GK21" s="3"/>
      <c r="GL21" s="2"/>
      <c r="GM21" s="2"/>
      <c r="GN21" s="2"/>
      <c r="GO21" s="2"/>
      <c r="GP21" s="2"/>
      <c r="GQ21" s="2"/>
      <c r="GR21" s="2"/>
      <c r="GS21" s="2"/>
      <c r="GT21" s="3"/>
      <c r="GU21" s="3"/>
      <c r="GV21" s="3"/>
      <c r="GW21" s="3"/>
      <c r="GX21" s="3"/>
      <c r="GY21" s="3"/>
      <c r="GZ21" s="3"/>
      <c r="HA21" s="3"/>
      <c r="HB21" s="2"/>
      <c r="HC21" s="2"/>
      <c r="HD21" s="2"/>
      <c r="HE21" s="2"/>
      <c r="HF21" s="2"/>
      <c r="HG21" s="2"/>
      <c r="HH21" s="2"/>
      <c r="HI21" s="2"/>
      <c r="HJ21" s="3"/>
      <c r="HK21" s="3"/>
      <c r="HL21" s="3"/>
      <c r="HM21" s="3"/>
      <c r="HN21" s="3"/>
      <c r="HO21" s="3"/>
      <c r="HP21" s="3"/>
      <c r="HQ21" s="3"/>
      <c r="HR21" s="2"/>
      <c r="HS21" s="2"/>
      <c r="HT21" s="2"/>
      <c r="HU21" s="2"/>
      <c r="HV21" s="2"/>
      <c r="HW21" s="2"/>
      <c r="HX21" s="2"/>
      <c r="HY21" s="2"/>
      <c r="HZ21" s="3"/>
      <c r="IA21" s="3"/>
      <c r="IB21" s="3"/>
      <c r="IC21" s="3"/>
      <c r="ID21" s="3"/>
      <c r="IE21" s="3"/>
      <c r="IF21" s="3"/>
      <c r="IG21" s="3"/>
      <c r="IH21" s="2"/>
      <c r="II21" s="2"/>
      <c r="IJ21" s="2"/>
      <c r="IK21" s="2"/>
      <c r="IL21" s="2"/>
      <c r="IM21" s="2"/>
      <c r="IN21" s="2"/>
      <c r="IO21" s="2"/>
      <c r="IP21" s="3"/>
      <c r="IQ21" s="3"/>
      <c r="IR21" s="3"/>
      <c r="IS21" s="3"/>
      <c r="IT21" s="3"/>
      <c r="IU21" s="3"/>
      <c r="IV21" s="3"/>
      <c r="IW21" s="3"/>
    </row>
    <row r="22" spans="1:257" x14ac:dyDescent="0.2">
      <c r="A22" s="1">
        <v>16</v>
      </c>
      <c r="B22" s="2"/>
      <c r="C22" s="2"/>
      <c r="D22" s="2"/>
      <c r="E22" s="2"/>
      <c r="F22" s="2"/>
      <c r="G22" s="2"/>
      <c r="H22" s="2"/>
      <c r="I22" s="2"/>
      <c r="J22" s="3"/>
      <c r="K22" s="3"/>
      <c r="L22" s="3"/>
      <c r="M22" s="3"/>
      <c r="N22" s="3"/>
      <c r="O22" s="3"/>
      <c r="P22" s="3"/>
      <c r="Q22" s="3"/>
      <c r="R22" s="2"/>
      <c r="S22" s="2"/>
      <c r="T22" s="2"/>
      <c r="U22" s="2"/>
      <c r="V22" s="2"/>
      <c r="W22" s="2"/>
      <c r="X22" s="2"/>
      <c r="Y22" s="2"/>
      <c r="Z22" s="3"/>
      <c r="AA22" s="3"/>
      <c r="AB22" s="3"/>
      <c r="AC22" s="3"/>
      <c r="AD22" s="3"/>
      <c r="AE22" s="3"/>
      <c r="AF22" s="3"/>
      <c r="AG22" s="3"/>
      <c r="AH22" s="2"/>
      <c r="AI22" s="2"/>
      <c r="AJ22" s="2"/>
      <c r="AK22" s="2"/>
      <c r="AL22" s="2"/>
      <c r="AM22" s="2"/>
      <c r="AN22" s="2"/>
      <c r="AO22" s="2"/>
      <c r="AP22" s="3"/>
      <c r="AQ22" s="3"/>
      <c r="AR22" s="3"/>
      <c r="AS22" s="3"/>
      <c r="AT22" s="3"/>
      <c r="AU22" s="3"/>
      <c r="AV22" s="3"/>
      <c r="AW22" s="3"/>
      <c r="AX22" s="2"/>
      <c r="AY22" s="2"/>
      <c r="AZ22" s="2"/>
      <c r="BA22" s="2"/>
      <c r="BB22" s="2"/>
      <c r="BC22" s="2"/>
      <c r="BD22" s="2"/>
      <c r="BE22" s="2"/>
      <c r="BF22" s="3"/>
      <c r="BG22" s="3"/>
      <c r="BH22" s="3"/>
      <c r="BI22" s="3"/>
      <c r="BJ22" s="3"/>
      <c r="BK22" s="3"/>
      <c r="BL22" s="3"/>
      <c r="BM22" s="3"/>
      <c r="BN22" s="2"/>
      <c r="BO22" s="2"/>
      <c r="BP22" s="2"/>
      <c r="BQ22" s="2"/>
      <c r="BR22" s="2"/>
      <c r="BS22" s="2"/>
      <c r="BT22" s="2"/>
      <c r="BU22" s="2"/>
      <c r="BV22" s="3"/>
      <c r="BW22" s="3"/>
      <c r="BX22" s="3"/>
      <c r="BY22" s="3"/>
      <c r="BZ22" s="3"/>
      <c r="CA22" s="3"/>
      <c r="CB22" s="3"/>
      <c r="CC22" s="3"/>
      <c r="CD22" s="2"/>
      <c r="CE22" s="2"/>
      <c r="CF22" s="2"/>
      <c r="CG22" s="2"/>
      <c r="CH22" s="2"/>
      <c r="CI22" s="2"/>
      <c r="CJ22" s="2"/>
      <c r="CK22" s="2"/>
      <c r="CL22" s="3"/>
      <c r="CM22" s="3"/>
      <c r="CN22" s="3"/>
      <c r="CO22" s="3"/>
      <c r="CP22" s="3"/>
      <c r="CQ22" s="3"/>
      <c r="CR22" s="3"/>
      <c r="CS22" s="3"/>
      <c r="CT22" s="2"/>
      <c r="CU22" s="2"/>
      <c r="CV22" s="2"/>
      <c r="CW22" s="2"/>
      <c r="CX22" s="2"/>
      <c r="CY22" s="2"/>
      <c r="CZ22" s="2"/>
      <c r="DA22" s="2"/>
      <c r="DB22" s="3"/>
      <c r="DC22" s="3"/>
      <c r="DD22" s="3"/>
      <c r="DE22" s="3"/>
      <c r="DF22" s="3"/>
      <c r="DG22" s="3"/>
      <c r="DH22" s="3"/>
      <c r="DI22" s="3"/>
      <c r="DJ22" s="2"/>
      <c r="DK22" s="2"/>
      <c r="DL22" s="2"/>
      <c r="DM22" s="2"/>
      <c r="DN22" s="2"/>
      <c r="DO22" s="2"/>
      <c r="DP22" s="2"/>
      <c r="DQ22" s="2"/>
      <c r="DR22" s="3"/>
      <c r="DS22" s="3"/>
      <c r="DT22" s="3"/>
      <c r="DU22" s="3"/>
      <c r="DV22" s="3"/>
      <c r="DW22" s="3"/>
      <c r="DX22" s="3"/>
      <c r="DY22" s="3"/>
      <c r="DZ22" s="2"/>
      <c r="EA22" s="2"/>
      <c r="EB22" s="2"/>
      <c r="EC22" s="2"/>
      <c r="ED22" s="2"/>
      <c r="EE22" s="2"/>
      <c r="EF22" s="2"/>
      <c r="EG22" s="2"/>
      <c r="EH22" s="3"/>
      <c r="EI22" s="3"/>
      <c r="EJ22" s="3"/>
      <c r="EK22" s="3"/>
      <c r="EL22" s="3"/>
      <c r="EM22" s="3"/>
      <c r="EN22" s="3"/>
      <c r="EO22" s="3"/>
      <c r="EP22" s="2"/>
      <c r="EQ22" s="2"/>
      <c r="ER22" s="2"/>
      <c r="ES22" s="2"/>
      <c r="ET22" s="2"/>
      <c r="EU22" s="2"/>
      <c r="EV22" s="2"/>
      <c r="EW22" s="2"/>
      <c r="EX22" s="3"/>
      <c r="EY22" s="3"/>
      <c r="EZ22" s="3"/>
      <c r="FA22" s="3"/>
      <c r="FB22" s="3"/>
      <c r="FC22" s="3"/>
      <c r="FD22" s="3"/>
      <c r="FE22" s="3"/>
      <c r="FF22" s="2"/>
      <c r="FG22" s="2"/>
      <c r="FH22" s="2"/>
      <c r="FI22" s="2"/>
      <c r="FJ22" s="2"/>
      <c r="FK22" s="2"/>
      <c r="FL22" s="2"/>
      <c r="FM22" s="2"/>
      <c r="FN22" s="3"/>
      <c r="FO22" s="3"/>
      <c r="FP22" s="3"/>
      <c r="FQ22" s="3"/>
      <c r="FR22" s="3"/>
      <c r="FS22" s="3"/>
      <c r="FT22" s="3"/>
      <c r="FU22" s="3"/>
      <c r="FV22" s="2"/>
      <c r="FW22" s="2"/>
      <c r="FX22" s="2"/>
      <c r="FY22" s="2"/>
      <c r="FZ22" s="2"/>
      <c r="GA22" s="2"/>
      <c r="GB22" s="2"/>
      <c r="GC22" s="2"/>
      <c r="GD22" s="3"/>
      <c r="GE22" s="3"/>
      <c r="GF22" s="3"/>
      <c r="GG22" s="3"/>
      <c r="GH22" s="3"/>
      <c r="GI22" s="3"/>
      <c r="GJ22" s="3"/>
      <c r="GK22" s="3"/>
      <c r="GL22" s="2"/>
      <c r="GM22" s="2"/>
      <c r="GN22" s="2"/>
      <c r="GO22" s="2"/>
      <c r="GP22" s="2"/>
      <c r="GQ22" s="2"/>
      <c r="GR22" s="2"/>
      <c r="GS22" s="2"/>
      <c r="GT22" s="3"/>
      <c r="GU22" s="3"/>
      <c r="GV22" s="3"/>
      <c r="GW22" s="3"/>
      <c r="GX22" s="3"/>
      <c r="GY22" s="3"/>
      <c r="GZ22" s="3"/>
      <c r="HA22" s="3"/>
      <c r="HB22" s="2"/>
      <c r="HC22" s="2"/>
      <c r="HD22" s="2"/>
      <c r="HE22" s="2"/>
      <c r="HF22" s="2"/>
      <c r="HG22" s="2"/>
      <c r="HH22" s="2"/>
      <c r="HI22" s="2"/>
      <c r="HJ22" s="3"/>
      <c r="HK22" s="3"/>
      <c r="HL22" s="3"/>
      <c r="HM22" s="3"/>
      <c r="HN22" s="3"/>
      <c r="HO22" s="3"/>
      <c r="HP22" s="3"/>
      <c r="HQ22" s="3"/>
      <c r="HR22" s="2"/>
      <c r="HS22" s="2"/>
      <c r="HT22" s="2"/>
      <c r="HU22" s="2"/>
      <c r="HV22" s="2"/>
      <c r="HW22" s="2"/>
      <c r="HX22" s="2"/>
      <c r="HY22" s="2"/>
      <c r="HZ22" s="3"/>
      <c r="IA22" s="3"/>
      <c r="IB22" s="3"/>
      <c r="IC22" s="3"/>
      <c r="ID22" s="3"/>
      <c r="IE22" s="3"/>
      <c r="IF22" s="3"/>
      <c r="IG22" s="3"/>
      <c r="IH22" s="2"/>
      <c r="II22" s="2"/>
      <c r="IJ22" s="2"/>
      <c r="IK22" s="2"/>
      <c r="IL22" s="2"/>
      <c r="IM22" s="2"/>
      <c r="IN22" s="2"/>
      <c r="IO22" s="2"/>
      <c r="IP22" s="3"/>
      <c r="IQ22" s="3"/>
      <c r="IR22" s="3"/>
      <c r="IS22" s="3"/>
      <c r="IT22" s="3"/>
      <c r="IU22" s="3"/>
      <c r="IV22" s="3"/>
      <c r="IW22" s="3"/>
    </row>
    <row r="23" spans="1:257" x14ac:dyDescent="0.2">
      <c r="A23" s="1">
        <v>17</v>
      </c>
      <c r="B23" s="2"/>
      <c r="C23" s="2"/>
      <c r="D23" s="2"/>
      <c r="E23" s="2"/>
      <c r="F23" s="2"/>
      <c r="G23" s="2"/>
      <c r="H23" s="2"/>
      <c r="I23" s="2"/>
      <c r="J23" s="3"/>
      <c r="K23" s="3"/>
      <c r="L23" s="3"/>
      <c r="M23" s="3"/>
      <c r="N23" s="3"/>
      <c r="O23" s="3"/>
      <c r="P23" s="3"/>
      <c r="Q23" s="3"/>
      <c r="R23" s="2"/>
      <c r="S23" s="2"/>
      <c r="T23" s="2"/>
      <c r="U23" s="2"/>
      <c r="V23" s="2"/>
      <c r="W23" s="2"/>
      <c r="X23" s="2"/>
      <c r="Y23" s="2"/>
      <c r="Z23" s="3"/>
      <c r="AA23" s="3"/>
      <c r="AB23" s="3"/>
      <c r="AC23" s="3"/>
      <c r="AD23" s="3"/>
      <c r="AE23" s="3"/>
      <c r="AF23" s="3"/>
      <c r="AG23" s="3"/>
      <c r="AH23" s="2"/>
      <c r="AI23" s="2"/>
      <c r="AJ23" s="2"/>
      <c r="AK23" s="2"/>
      <c r="AL23" s="2"/>
      <c r="AM23" s="2"/>
      <c r="AN23" s="2"/>
      <c r="AO23" s="2"/>
      <c r="AP23" s="3"/>
      <c r="AQ23" s="3"/>
      <c r="AR23" s="3"/>
      <c r="AS23" s="3"/>
      <c r="AT23" s="3"/>
      <c r="AU23" s="3"/>
      <c r="AV23" s="3"/>
      <c r="AW23" s="3"/>
      <c r="AX23" s="2"/>
      <c r="AY23" s="2"/>
      <c r="AZ23" s="2"/>
      <c r="BA23" s="2"/>
      <c r="BB23" s="2"/>
      <c r="BC23" s="2"/>
      <c r="BD23" s="2"/>
      <c r="BE23" s="2"/>
      <c r="BF23" s="3"/>
      <c r="BG23" s="3"/>
      <c r="BH23" s="3"/>
      <c r="BI23" s="3"/>
      <c r="BJ23" s="3"/>
      <c r="BK23" s="3"/>
      <c r="BL23" s="3"/>
      <c r="BM23" s="3"/>
      <c r="BN23" s="2"/>
      <c r="BO23" s="2"/>
      <c r="BP23" s="2"/>
      <c r="BQ23" s="2"/>
      <c r="BR23" s="2"/>
      <c r="BS23" s="2"/>
      <c r="BT23" s="2"/>
      <c r="BU23" s="2"/>
      <c r="BV23" s="3"/>
      <c r="BW23" s="3"/>
      <c r="BX23" s="3"/>
      <c r="BY23" s="3"/>
      <c r="BZ23" s="3"/>
      <c r="CA23" s="3"/>
      <c r="CB23" s="3"/>
      <c r="CC23" s="3"/>
      <c r="CD23" s="2"/>
      <c r="CE23" s="2"/>
      <c r="CF23" s="2"/>
      <c r="CG23" s="2"/>
      <c r="CH23" s="2"/>
      <c r="CI23" s="2"/>
      <c r="CJ23" s="2"/>
      <c r="CK23" s="2"/>
      <c r="CL23" s="3"/>
      <c r="CM23" s="3"/>
      <c r="CN23" s="3"/>
      <c r="CO23" s="3"/>
      <c r="CP23" s="3"/>
      <c r="CQ23" s="3"/>
      <c r="CR23" s="3"/>
      <c r="CS23" s="3"/>
      <c r="CT23" s="2"/>
      <c r="CU23" s="2"/>
      <c r="CV23" s="2"/>
      <c r="CW23" s="2"/>
      <c r="CX23" s="2"/>
      <c r="CY23" s="2"/>
      <c r="CZ23" s="2"/>
      <c r="DA23" s="2"/>
      <c r="DB23" s="3"/>
      <c r="DC23" s="3"/>
      <c r="DD23" s="3"/>
      <c r="DE23" s="3"/>
      <c r="DF23" s="3"/>
      <c r="DG23" s="3"/>
      <c r="DH23" s="3"/>
      <c r="DI23" s="3"/>
      <c r="DJ23" s="2"/>
      <c r="DK23" s="2"/>
      <c r="DL23" s="2"/>
      <c r="DM23" s="2"/>
      <c r="DN23" s="2"/>
      <c r="DO23" s="2"/>
      <c r="DP23" s="2"/>
      <c r="DQ23" s="2"/>
      <c r="DR23" s="3"/>
      <c r="DS23" s="3"/>
      <c r="DT23" s="3"/>
      <c r="DU23" s="3"/>
      <c r="DV23" s="3"/>
      <c r="DW23" s="3"/>
      <c r="DX23" s="3"/>
      <c r="DY23" s="3"/>
      <c r="DZ23" s="2"/>
      <c r="EA23" s="2"/>
      <c r="EB23" s="2"/>
      <c r="EC23" s="2"/>
      <c r="ED23" s="2"/>
      <c r="EE23" s="2"/>
      <c r="EF23" s="2"/>
      <c r="EG23" s="2"/>
      <c r="EH23" s="3"/>
      <c r="EI23" s="3"/>
      <c r="EJ23" s="3"/>
      <c r="EK23" s="3"/>
      <c r="EL23" s="3"/>
      <c r="EM23" s="3"/>
      <c r="EN23" s="3"/>
      <c r="EO23" s="3"/>
      <c r="EP23" s="2"/>
      <c r="EQ23" s="2"/>
      <c r="ER23" s="2"/>
      <c r="ES23" s="2"/>
      <c r="ET23" s="2"/>
      <c r="EU23" s="2"/>
      <c r="EV23" s="2"/>
      <c r="EW23" s="2"/>
      <c r="EX23" s="3"/>
      <c r="EY23" s="3"/>
      <c r="EZ23" s="3"/>
      <c r="FA23" s="3"/>
      <c r="FB23" s="3"/>
      <c r="FC23" s="3"/>
      <c r="FD23" s="3"/>
      <c r="FE23" s="3"/>
      <c r="FF23" s="2"/>
      <c r="FG23" s="2"/>
      <c r="FH23" s="2"/>
      <c r="FI23" s="2"/>
      <c r="FJ23" s="2"/>
      <c r="FK23" s="2"/>
      <c r="FL23" s="2"/>
      <c r="FM23" s="2"/>
      <c r="FN23" s="3"/>
      <c r="FO23" s="3"/>
      <c r="FP23" s="3"/>
      <c r="FQ23" s="3"/>
      <c r="FR23" s="3"/>
      <c r="FS23" s="3"/>
      <c r="FT23" s="3"/>
      <c r="FU23" s="3"/>
      <c r="FV23" s="2"/>
      <c r="FW23" s="2"/>
      <c r="FX23" s="2"/>
      <c r="FY23" s="2"/>
      <c r="FZ23" s="2"/>
      <c r="GA23" s="2"/>
      <c r="GB23" s="2"/>
      <c r="GC23" s="2"/>
      <c r="GD23" s="3"/>
      <c r="GE23" s="3"/>
      <c r="GF23" s="3"/>
      <c r="GG23" s="3"/>
      <c r="GH23" s="3"/>
      <c r="GI23" s="3"/>
      <c r="GJ23" s="3"/>
      <c r="GK23" s="3"/>
      <c r="GL23" s="2"/>
      <c r="GM23" s="2"/>
      <c r="GN23" s="2"/>
      <c r="GO23" s="2"/>
      <c r="GP23" s="2"/>
      <c r="GQ23" s="2"/>
      <c r="GR23" s="2"/>
      <c r="GS23" s="2"/>
      <c r="GT23" s="3"/>
      <c r="GU23" s="3"/>
      <c r="GV23" s="3"/>
      <c r="GW23" s="3"/>
      <c r="GX23" s="3"/>
      <c r="GY23" s="3"/>
      <c r="GZ23" s="3"/>
      <c r="HA23" s="3"/>
      <c r="HB23" s="2"/>
      <c r="HC23" s="2"/>
      <c r="HD23" s="2"/>
      <c r="HE23" s="2"/>
      <c r="HF23" s="2"/>
      <c r="HG23" s="2"/>
      <c r="HH23" s="2"/>
      <c r="HI23" s="2"/>
      <c r="HJ23" s="3"/>
      <c r="HK23" s="3"/>
      <c r="HL23" s="3"/>
      <c r="HM23" s="3"/>
      <c r="HN23" s="3"/>
      <c r="HO23" s="3"/>
      <c r="HP23" s="3"/>
      <c r="HQ23" s="3"/>
      <c r="HR23" s="2"/>
      <c r="HS23" s="2"/>
      <c r="HT23" s="2"/>
      <c r="HU23" s="2"/>
      <c r="HV23" s="2"/>
      <c r="HW23" s="2"/>
      <c r="HX23" s="2"/>
      <c r="HY23" s="2"/>
      <c r="HZ23" s="3"/>
      <c r="IA23" s="3"/>
      <c r="IB23" s="3"/>
      <c r="IC23" s="3"/>
      <c r="ID23" s="3"/>
      <c r="IE23" s="3"/>
      <c r="IF23" s="3"/>
      <c r="IG23" s="3"/>
      <c r="IH23" s="2"/>
      <c r="II23" s="2"/>
      <c r="IJ23" s="2"/>
      <c r="IK23" s="2"/>
      <c r="IL23" s="2"/>
      <c r="IM23" s="2"/>
      <c r="IN23" s="2"/>
      <c r="IO23" s="2"/>
      <c r="IP23" s="3"/>
      <c r="IQ23" s="3"/>
      <c r="IR23" s="3"/>
      <c r="IS23" s="3"/>
      <c r="IT23" s="3"/>
      <c r="IU23" s="3"/>
      <c r="IV23" s="3"/>
      <c r="IW23" s="3"/>
    </row>
    <row r="24" spans="1:257" x14ac:dyDescent="0.2">
      <c r="A24" s="1">
        <v>18</v>
      </c>
      <c r="B24" s="2"/>
      <c r="C24" s="2"/>
      <c r="D24" s="2"/>
      <c r="E24" s="2"/>
      <c r="F24" s="2"/>
      <c r="G24" s="2"/>
      <c r="H24" s="2"/>
      <c r="I24" s="2"/>
      <c r="J24" s="3"/>
      <c r="K24" s="3"/>
      <c r="L24" s="3"/>
      <c r="M24" s="3"/>
      <c r="N24" s="3"/>
      <c r="O24" s="3"/>
      <c r="P24" s="3"/>
      <c r="Q24" s="3"/>
      <c r="R24" s="2"/>
      <c r="S24" s="2"/>
      <c r="T24" s="2"/>
      <c r="U24" s="2"/>
      <c r="V24" s="2"/>
      <c r="W24" s="2"/>
      <c r="X24" s="2"/>
      <c r="Y24" s="2"/>
      <c r="Z24" s="3"/>
      <c r="AA24" s="3"/>
      <c r="AB24" s="3"/>
      <c r="AC24" s="3"/>
      <c r="AD24" s="3"/>
      <c r="AE24" s="3"/>
      <c r="AF24" s="3"/>
      <c r="AG24" s="3"/>
      <c r="AH24" s="2"/>
      <c r="AI24" s="2"/>
      <c r="AJ24" s="2"/>
      <c r="AK24" s="2"/>
      <c r="AL24" s="2"/>
      <c r="AM24" s="2"/>
      <c r="AN24" s="2"/>
      <c r="AO24" s="2"/>
      <c r="AP24" s="3"/>
      <c r="AQ24" s="3"/>
      <c r="AR24" s="3"/>
      <c r="AS24" s="3"/>
      <c r="AT24" s="3"/>
      <c r="AU24" s="3"/>
      <c r="AV24" s="3"/>
      <c r="AW24" s="3"/>
      <c r="AX24" s="2"/>
      <c r="AY24" s="2"/>
      <c r="AZ24" s="2"/>
      <c r="BA24" s="2"/>
      <c r="BB24" s="2"/>
      <c r="BC24" s="2"/>
      <c r="BD24" s="2"/>
      <c r="BE24" s="2"/>
      <c r="BF24" s="3"/>
      <c r="BG24" s="3"/>
      <c r="BH24" s="3"/>
      <c r="BI24" s="3"/>
      <c r="BJ24" s="3"/>
      <c r="BK24" s="3"/>
      <c r="BL24" s="3"/>
      <c r="BM24" s="3"/>
      <c r="BN24" s="2"/>
      <c r="BO24" s="2"/>
      <c r="BP24" s="2"/>
      <c r="BQ24" s="2"/>
      <c r="BR24" s="2"/>
      <c r="BS24" s="2"/>
      <c r="BT24" s="2"/>
      <c r="BU24" s="2"/>
      <c r="BV24" s="3"/>
      <c r="BW24" s="3"/>
      <c r="BX24" s="3"/>
      <c r="BY24" s="3"/>
      <c r="BZ24" s="3"/>
      <c r="CA24" s="3"/>
      <c r="CB24" s="3"/>
      <c r="CC24" s="3"/>
      <c r="CD24" s="2"/>
      <c r="CE24" s="2"/>
      <c r="CF24" s="2"/>
      <c r="CG24" s="2"/>
      <c r="CH24" s="2"/>
      <c r="CI24" s="2"/>
      <c r="CJ24" s="2"/>
      <c r="CK24" s="2"/>
      <c r="CL24" s="3"/>
      <c r="CM24" s="3"/>
      <c r="CN24" s="3"/>
      <c r="CO24" s="3"/>
      <c r="CP24" s="3"/>
      <c r="CQ24" s="3"/>
      <c r="CR24" s="3"/>
      <c r="CS24" s="3"/>
      <c r="CT24" s="2"/>
      <c r="CU24" s="2"/>
      <c r="CV24" s="2"/>
      <c r="CW24" s="2"/>
      <c r="CX24" s="2"/>
      <c r="CY24" s="2"/>
      <c r="CZ24" s="2"/>
      <c r="DA24" s="2"/>
      <c r="DB24" s="3"/>
      <c r="DC24" s="3"/>
      <c r="DD24" s="3"/>
      <c r="DE24" s="3"/>
      <c r="DF24" s="3"/>
      <c r="DG24" s="3"/>
      <c r="DH24" s="3"/>
      <c r="DI24" s="3"/>
      <c r="DJ24" s="2"/>
      <c r="DK24" s="2"/>
      <c r="DL24" s="2"/>
      <c r="DM24" s="2"/>
      <c r="DN24" s="2"/>
      <c r="DO24" s="2"/>
      <c r="DP24" s="2"/>
      <c r="DQ24" s="2"/>
      <c r="DR24" s="3"/>
      <c r="DS24" s="3"/>
      <c r="DT24" s="3"/>
      <c r="DU24" s="3"/>
      <c r="DV24" s="3"/>
      <c r="DW24" s="3"/>
      <c r="DX24" s="3"/>
      <c r="DY24" s="3"/>
      <c r="DZ24" s="2"/>
      <c r="EA24" s="2"/>
      <c r="EB24" s="2"/>
      <c r="EC24" s="2"/>
      <c r="ED24" s="2"/>
      <c r="EE24" s="2"/>
      <c r="EF24" s="2"/>
      <c r="EG24" s="2"/>
      <c r="EH24" s="3"/>
      <c r="EI24" s="3"/>
      <c r="EJ24" s="3"/>
      <c r="EK24" s="3"/>
      <c r="EL24" s="3"/>
      <c r="EM24" s="3"/>
      <c r="EN24" s="3"/>
      <c r="EO24" s="3"/>
      <c r="EP24" s="2"/>
      <c r="EQ24" s="2"/>
      <c r="ER24" s="2"/>
      <c r="ES24" s="2"/>
      <c r="ET24" s="2"/>
      <c r="EU24" s="2"/>
      <c r="EV24" s="2"/>
      <c r="EW24" s="2"/>
      <c r="EX24" s="3"/>
      <c r="EY24" s="3"/>
      <c r="EZ24" s="3"/>
      <c r="FA24" s="3"/>
      <c r="FB24" s="3"/>
      <c r="FC24" s="3"/>
      <c r="FD24" s="3"/>
      <c r="FE24" s="3"/>
      <c r="FF24" s="2"/>
      <c r="FG24" s="2"/>
      <c r="FH24" s="2"/>
      <c r="FI24" s="2"/>
      <c r="FJ24" s="2"/>
      <c r="FK24" s="2"/>
      <c r="FL24" s="2"/>
      <c r="FM24" s="2"/>
      <c r="FN24" s="3"/>
      <c r="FO24" s="3"/>
      <c r="FP24" s="3"/>
      <c r="FQ24" s="3"/>
      <c r="FR24" s="3"/>
      <c r="FS24" s="3"/>
      <c r="FT24" s="3"/>
      <c r="FU24" s="3"/>
      <c r="FV24" s="2"/>
      <c r="FW24" s="2"/>
      <c r="FX24" s="2"/>
      <c r="FY24" s="2"/>
      <c r="FZ24" s="2"/>
      <c r="GA24" s="2"/>
      <c r="GB24" s="2"/>
      <c r="GC24" s="2"/>
      <c r="GD24" s="3"/>
      <c r="GE24" s="3"/>
      <c r="GF24" s="3"/>
      <c r="GG24" s="3"/>
      <c r="GH24" s="3"/>
      <c r="GI24" s="3"/>
      <c r="GJ24" s="3"/>
      <c r="GK24" s="3"/>
      <c r="GL24" s="2"/>
      <c r="GM24" s="2"/>
      <c r="GN24" s="2"/>
      <c r="GO24" s="2"/>
      <c r="GP24" s="2"/>
      <c r="GQ24" s="2"/>
      <c r="GR24" s="2"/>
      <c r="GS24" s="2"/>
      <c r="GT24" s="3"/>
      <c r="GU24" s="3"/>
      <c r="GV24" s="3"/>
      <c r="GW24" s="3"/>
      <c r="GX24" s="3"/>
      <c r="GY24" s="3"/>
      <c r="GZ24" s="3"/>
      <c r="HA24" s="3"/>
      <c r="HB24" s="2"/>
      <c r="HC24" s="2"/>
      <c r="HD24" s="2"/>
      <c r="HE24" s="2"/>
      <c r="HF24" s="2"/>
      <c r="HG24" s="2"/>
      <c r="HH24" s="2"/>
      <c r="HI24" s="2"/>
      <c r="HJ24" s="3"/>
      <c r="HK24" s="3"/>
      <c r="HL24" s="3"/>
      <c r="HM24" s="3"/>
      <c r="HN24" s="3"/>
      <c r="HO24" s="3"/>
      <c r="HP24" s="3"/>
      <c r="HQ24" s="3"/>
      <c r="HR24" s="2"/>
      <c r="HS24" s="2"/>
      <c r="HT24" s="2"/>
      <c r="HU24" s="2"/>
      <c r="HV24" s="2"/>
      <c r="HW24" s="2"/>
      <c r="HX24" s="2"/>
      <c r="HY24" s="2"/>
      <c r="HZ24" s="3"/>
      <c r="IA24" s="3"/>
      <c r="IB24" s="3"/>
      <c r="IC24" s="3"/>
      <c r="ID24" s="3"/>
      <c r="IE24" s="3"/>
      <c r="IF24" s="3"/>
      <c r="IG24" s="3"/>
      <c r="IH24" s="2"/>
      <c r="II24" s="2"/>
      <c r="IJ24" s="2"/>
      <c r="IK24" s="2"/>
      <c r="IL24" s="2"/>
      <c r="IM24" s="2"/>
      <c r="IN24" s="2"/>
      <c r="IO24" s="2"/>
      <c r="IP24" s="3"/>
      <c r="IQ24" s="3"/>
      <c r="IR24" s="3"/>
      <c r="IS24" s="3"/>
      <c r="IT24" s="3"/>
      <c r="IU24" s="3"/>
      <c r="IV24" s="3"/>
      <c r="IW24" s="3"/>
    </row>
    <row r="25" spans="1:257" x14ac:dyDescent="0.2">
      <c r="A25" s="1">
        <v>19</v>
      </c>
      <c r="B25" s="2"/>
      <c r="C25" s="2"/>
      <c r="D25" s="2"/>
      <c r="E25" s="2"/>
      <c r="F25" s="2"/>
      <c r="G25" s="2"/>
      <c r="H25" s="2"/>
      <c r="I25" s="2"/>
      <c r="J25" s="3"/>
      <c r="K25" s="3"/>
      <c r="L25" s="3"/>
      <c r="M25" s="3"/>
      <c r="N25" s="3"/>
      <c r="O25" s="3"/>
      <c r="P25" s="3"/>
      <c r="Q25" s="3"/>
      <c r="R25" s="2"/>
      <c r="S25" s="2"/>
      <c r="T25" s="2"/>
      <c r="U25" s="2"/>
      <c r="V25" s="2"/>
      <c r="W25" s="2"/>
      <c r="X25" s="2"/>
      <c r="Y25" s="2"/>
      <c r="Z25" s="3"/>
      <c r="AA25" s="3"/>
      <c r="AB25" s="3"/>
      <c r="AC25" s="3"/>
      <c r="AD25" s="3"/>
      <c r="AE25" s="3"/>
      <c r="AF25" s="3"/>
      <c r="AG25" s="3"/>
      <c r="AH25" s="2"/>
      <c r="AI25" s="2"/>
      <c r="AJ25" s="2"/>
      <c r="AK25" s="2"/>
      <c r="AL25" s="2"/>
      <c r="AM25" s="2"/>
      <c r="AN25" s="2"/>
      <c r="AO25" s="2"/>
      <c r="AP25" s="3"/>
      <c r="AQ25" s="3"/>
      <c r="AR25" s="3"/>
      <c r="AS25" s="3"/>
      <c r="AT25" s="3"/>
      <c r="AU25" s="3"/>
      <c r="AV25" s="3"/>
      <c r="AW25" s="3"/>
      <c r="AX25" s="2"/>
      <c r="AY25" s="2"/>
      <c r="AZ25" s="2"/>
      <c r="BA25" s="2"/>
      <c r="BB25" s="2"/>
      <c r="BC25" s="2"/>
      <c r="BD25" s="2"/>
      <c r="BE25" s="2"/>
      <c r="BF25" s="3"/>
      <c r="BG25" s="3"/>
      <c r="BH25" s="3"/>
      <c r="BI25" s="3"/>
      <c r="BJ25" s="3"/>
      <c r="BK25" s="3"/>
      <c r="BL25" s="3"/>
      <c r="BM25" s="3"/>
      <c r="BN25" s="2"/>
      <c r="BO25" s="2"/>
      <c r="BP25" s="2"/>
      <c r="BQ25" s="2"/>
      <c r="BR25" s="2"/>
      <c r="BS25" s="2"/>
      <c r="BT25" s="2"/>
      <c r="BU25" s="2"/>
      <c r="BV25" s="3"/>
      <c r="BW25" s="3"/>
      <c r="BX25" s="3"/>
      <c r="BY25" s="3"/>
      <c r="BZ25" s="3"/>
      <c r="CA25" s="3"/>
      <c r="CB25" s="3"/>
      <c r="CC25" s="3"/>
      <c r="CD25" s="2"/>
      <c r="CE25" s="2"/>
      <c r="CF25" s="2"/>
      <c r="CG25" s="2"/>
      <c r="CH25" s="2"/>
      <c r="CI25" s="2"/>
      <c r="CJ25" s="2"/>
      <c r="CK25" s="2"/>
      <c r="CL25" s="3"/>
      <c r="CM25" s="3"/>
      <c r="CN25" s="3"/>
      <c r="CO25" s="3"/>
      <c r="CP25" s="3"/>
      <c r="CQ25" s="3"/>
      <c r="CR25" s="3"/>
      <c r="CS25" s="3"/>
      <c r="CT25" s="2"/>
      <c r="CU25" s="2"/>
      <c r="CV25" s="2"/>
      <c r="CW25" s="2"/>
      <c r="CX25" s="2"/>
      <c r="CY25" s="2"/>
      <c r="CZ25" s="2"/>
      <c r="DA25" s="2"/>
      <c r="DB25" s="3"/>
      <c r="DC25" s="3"/>
      <c r="DD25" s="3"/>
      <c r="DE25" s="3"/>
      <c r="DF25" s="3"/>
      <c r="DG25" s="3"/>
      <c r="DH25" s="3"/>
      <c r="DI25" s="3"/>
      <c r="DJ25" s="2"/>
      <c r="DK25" s="2"/>
      <c r="DL25" s="2"/>
      <c r="DM25" s="2"/>
      <c r="DN25" s="2"/>
      <c r="DO25" s="2"/>
      <c r="DP25" s="2"/>
      <c r="DQ25" s="2"/>
      <c r="DR25" s="3"/>
      <c r="DS25" s="3"/>
      <c r="DT25" s="3"/>
      <c r="DU25" s="3"/>
      <c r="DV25" s="3"/>
      <c r="DW25" s="3"/>
      <c r="DX25" s="3"/>
      <c r="DY25" s="3"/>
      <c r="DZ25" s="2"/>
      <c r="EA25" s="2"/>
      <c r="EB25" s="2"/>
      <c r="EC25" s="2"/>
      <c r="ED25" s="2"/>
      <c r="EE25" s="2"/>
      <c r="EF25" s="2"/>
      <c r="EG25" s="2"/>
      <c r="EH25" s="3"/>
      <c r="EI25" s="3"/>
      <c r="EJ25" s="3"/>
      <c r="EK25" s="3"/>
      <c r="EL25" s="3"/>
      <c r="EM25" s="3"/>
      <c r="EN25" s="3"/>
      <c r="EO25" s="3"/>
      <c r="EP25" s="2"/>
      <c r="EQ25" s="2"/>
      <c r="ER25" s="2"/>
      <c r="ES25" s="2"/>
      <c r="ET25" s="2"/>
      <c r="EU25" s="2"/>
      <c r="EV25" s="2"/>
      <c r="EW25" s="2"/>
      <c r="EX25" s="3"/>
      <c r="EY25" s="3"/>
      <c r="EZ25" s="3"/>
      <c r="FA25" s="3"/>
      <c r="FB25" s="3"/>
      <c r="FC25" s="3"/>
      <c r="FD25" s="3"/>
      <c r="FE25" s="3"/>
      <c r="FF25" s="2"/>
      <c r="FG25" s="2"/>
      <c r="FH25" s="2"/>
      <c r="FI25" s="2"/>
      <c r="FJ25" s="2"/>
      <c r="FK25" s="2"/>
      <c r="FL25" s="2"/>
      <c r="FM25" s="2"/>
      <c r="FN25" s="3"/>
      <c r="FO25" s="3"/>
      <c r="FP25" s="3"/>
      <c r="FQ25" s="3"/>
      <c r="FR25" s="3"/>
      <c r="FS25" s="3"/>
      <c r="FT25" s="3"/>
      <c r="FU25" s="3"/>
      <c r="FV25" s="2"/>
      <c r="FW25" s="2"/>
      <c r="FX25" s="2"/>
      <c r="FY25" s="2"/>
      <c r="FZ25" s="2"/>
      <c r="GA25" s="2"/>
      <c r="GB25" s="2"/>
      <c r="GC25" s="2"/>
      <c r="GD25" s="3"/>
      <c r="GE25" s="3"/>
      <c r="GF25" s="3"/>
      <c r="GG25" s="3"/>
      <c r="GH25" s="3"/>
      <c r="GI25" s="3"/>
      <c r="GJ25" s="3"/>
      <c r="GK25" s="3"/>
      <c r="GL25" s="2"/>
      <c r="GM25" s="2"/>
      <c r="GN25" s="2"/>
      <c r="GO25" s="2"/>
      <c r="GP25" s="2"/>
      <c r="GQ25" s="2"/>
      <c r="GR25" s="2"/>
      <c r="GS25" s="2"/>
      <c r="GT25" s="3"/>
      <c r="GU25" s="3"/>
      <c r="GV25" s="3"/>
      <c r="GW25" s="3"/>
      <c r="GX25" s="3"/>
      <c r="GY25" s="3"/>
      <c r="GZ25" s="3"/>
      <c r="HA25" s="3"/>
      <c r="HB25" s="2"/>
      <c r="HC25" s="2"/>
      <c r="HD25" s="2"/>
      <c r="HE25" s="2"/>
      <c r="HF25" s="2"/>
      <c r="HG25" s="2"/>
      <c r="HH25" s="2"/>
      <c r="HI25" s="2"/>
      <c r="HJ25" s="3"/>
      <c r="HK25" s="3"/>
      <c r="HL25" s="3"/>
      <c r="HM25" s="3"/>
      <c r="HN25" s="3"/>
      <c r="HO25" s="3"/>
      <c r="HP25" s="3"/>
      <c r="HQ25" s="3"/>
      <c r="HR25" s="2"/>
      <c r="HS25" s="2"/>
      <c r="HT25" s="2"/>
      <c r="HU25" s="2"/>
      <c r="HV25" s="2"/>
      <c r="HW25" s="2"/>
      <c r="HX25" s="2"/>
      <c r="HY25" s="2"/>
      <c r="HZ25" s="3"/>
      <c r="IA25" s="3"/>
      <c r="IB25" s="3"/>
      <c r="IC25" s="3"/>
      <c r="ID25" s="3"/>
      <c r="IE25" s="3"/>
      <c r="IF25" s="3"/>
      <c r="IG25" s="3"/>
      <c r="IH25" s="2"/>
      <c r="II25" s="2"/>
      <c r="IJ25" s="2"/>
      <c r="IK25" s="2"/>
      <c r="IL25" s="2"/>
      <c r="IM25" s="2"/>
      <c r="IN25" s="2"/>
      <c r="IO25" s="2"/>
      <c r="IP25" s="3"/>
      <c r="IQ25" s="3"/>
      <c r="IR25" s="3"/>
      <c r="IS25" s="3"/>
      <c r="IT25" s="3"/>
      <c r="IU25" s="3"/>
      <c r="IV25" s="3"/>
      <c r="IW25" s="3"/>
    </row>
    <row r="26" spans="1:257" x14ac:dyDescent="0.2">
      <c r="A26" s="1">
        <v>20</v>
      </c>
      <c r="B26" s="2"/>
      <c r="C26" s="2"/>
      <c r="D26" s="2"/>
      <c r="E26" s="2"/>
      <c r="F26" s="2"/>
      <c r="G26" s="2"/>
      <c r="H26" s="2"/>
      <c r="I26" s="2"/>
      <c r="J26" s="3"/>
      <c r="K26" s="3"/>
      <c r="L26" s="3"/>
      <c r="M26" s="3"/>
      <c r="N26" s="3"/>
      <c r="O26" s="3"/>
      <c r="P26" s="3"/>
      <c r="Q26" s="3"/>
      <c r="R26" s="2"/>
      <c r="S26" s="2"/>
      <c r="T26" s="2"/>
      <c r="U26" s="2"/>
      <c r="V26" s="2"/>
      <c r="W26" s="2"/>
      <c r="X26" s="2"/>
      <c r="Y26" s="2"/>
      <c r="Z26" s="3"/>
      <c r="AA26" s="3"/>
      <c r="AB26" s="3"/>
      <c r="AC26" s="3"/>
      <c r="AD26" s="3"/>
      <c r="AE26" s="3"/>
      <c r="AF26" s="3"/>
      <c r="AG26" s="3"/>
      <c r="AH26" s="2"/>
      <c r="AI26" s="2"/>
      <c r="AJ26" s="2"/>
      <c r="AK26" s="2"/>
      <c r="AL26" s="2"/>
      <c r="AM26" s="2"/>
      <c r="AN26" s="2"/>
      <c r="AO26" s="2"/>
      <c r="AP26" s="3"/>
      <c r="AQ26" s="3"/>
      <c r="AR26" s="3"/>
      <c r="AS26" s="3"/>
      <c r="AT26" s="3"/>
      <c r="AU26" s="3"/>
      <c r="AV26" s="3"/>
      <c r="AW26" s="3"/>
      <c r="AX26" s="2"/>
      <c r="AY26" s="2"/>
      <c r="AZ26" s="2"/>
      <c r="BA26" s="2"/>
      <c r="BB26" s="2"/>
      <c r="BC26" s="2"/>
      <c r="BD26" s="2"/>
      <c r="BE26" s="2"/>
      <c r="BF26" s="3"/>
      <c r="BG26" s="3"/>
      <c r="BH26" s="3"/>
      <c r="BI26" s="3"/>
      <c r="BJ26" s="3"/>
      <c r="BK26" s="3"/>
      <c r="BL26" s="3"/>
      <c r="BM26" s="3"/>
      <c r="BN26" s="2"/>
      <c r="BO26" s="2"/>
      <c r="BP26" s="2"/>
      <c r="BQ26" s="2"/>
      <c r="BR26" s="2"/>
      <c r="BS26" s="2"/>
      <c r="BT26" s="2"/>
      <c r="BU26" s="2"/>
      <c r="BV26" s="3"/>
      <c r="BW26" s="3"/>
      <c r="BX26" s="3"/>
      <c r="BY26" s="3"/>
      <c r="BZ26" s="3"/>
      <c r="CA26" s="3"/>
      <c r="CB26" s="3"/>
      <c r="CC26" s="3"/>
      <c r="CD26" s="2"/>
      <c r="CE26" s="2"/>
      <c r="CF26" s="2"/>
      <c r="CG26" s="2"/>
      <c r="CH26" s="2"/>
      <c r="CI26" s="2"/>
      <c r="CJ26" s="2"/>
      <c r="CK26" s="2"/>
      <c r="CL26" s="3"/>
      <c r="CM26" s="3"/>
      <c r="CN26" s="3"/>
      <c r="CO26" s="3"/>
      <c r="CP26" s="3"/>
      <c r="CQ26" s="3"/>
      <c r="CR26" s="3"/>
      <c r="CS26" s="3"/>
      <c r="CT26" s="2"/>
      <c r="CU26" s="2"/>
      <c r="CV26" s="2"/>
      <c r="CW26" s="2"/>
      <c r="CX26" s="2"/>
      <c r="CY26" s="2"/>
      <c r="CZ26" s="2"/>
      <c r="DA26" s="2"/>
      <c r="DB26" s="3"/>
      <c r="DC26" s="3"/>
      <c r="DD26" s="3"/>
      <c r="DE26" s="3"/>
      <c r="DF26" s="3"/>
      <c r="DG26" s="3"/>
      <c r="DH26" s="3"/>
      <c r="DI26" s="3"/>
      <c r="DJ26" s="2"/>
      <c r="DK26" s="2"/>
      <c r="DL26" s="2"/>
      <c r="DM26" s="2"/>
      <c r="DN26" s="2"/>
      <c r="DO26" s="2"/>
      <c r="DP26" s="2"/>
      <c r="DQ26" s="2"/>
      <c r="DR26" s="3"/>
      <c r="DS26" s="3"/>
      <c r="DT26" s="3"/>
      <c r="DU26" s="3"/>
      <c r="DV26" s="3"/>
      <c r="DW26" s="3"/>
      <c r="DX26" s="3"/>
      <c r="DY26" s="3"/>
      <c r="DZ26" s="2"/>
      <c r="EA26" s="2"/>
      <c r="EB26" s="2"/>
      <c r="EC26" s="2"/>
      <c r="ED26" s="2"/>
      <c r="EE26" s="2"/>
      <c r="EF26" s="2"/>
      <c r="EG26" s="2"/>
      <c r="EH26" s="3"/>
      <c r="EI26" s="3"/>
      <c r="EJ26" s="3"/>
      <c r="EK26" s="3"/>
      <c r="EL26" s="3"/>
      <c r="EM26" s="3"/>
      <c r="EN26" s="3"/>
      <c r="EO26" s="3"/>
      <c r="EP26" s="2"/>
      <c r="EQ26" s="2"/>
      <c r="ER26" s="2"/>
      <c r="ES26" s="2"/>
      <c r="ET26" s="2"/>
      <c r="EU26" s="2"/>
      <c r="EV26" s="2"/>
      <c r="EW26" s="2"/>
      <c r="EX26" s="3"/>
      <c r="EY26" s="3"/>
      <c r="EZ26" s="3"/>
      <c r="FA26" s="3"/>
      <c r="FB26" s="3"/>
      <c r="FC26" s="3"/>
      <c r="FD26" s="3"/>
      <c r="FE26" s="3"/>
      <c r="FF26" s="2"/>
      <c r="FG26" s="2"/>
      <c r="FH26" s="2"/>
      <c r="FI26" s="2"/>
      <c r="FJ26" s="2"/>
      <c r="FK26" s="2"/>
      <c r="FL26" s="2"/>
      <c r="FM26" s="2"/>
      <c r="FN26" s="3"/>
      <c r="FO26" s="3"/>
      <c r="FP26" s="3"/>
      <c r="FQ26" s="3"/>
      <c r="FR26" s="3"/>
      <c r="FS26" s="3"/>
      <c r="FT26" s="3"/>
      <c r="FU26" s="3"/>
      <c r="FV26" s="2"/>
      <c r="FW26" s="2"/>
      <c r="FX26" s="2"/>
      <c r="FY26" s="2"/>
      <c r="FZ26" s="2"/>
      <c r="GA26" s="2"/>
      <c r="GB26" s="2"/>
      <c r="GC26" s="2"/>
      <c r="GD26" s="3"/>
      <c r="GE26" s="3"/>
      <c r="GF26" s="3"/>
      <c r="GG26" s="3"/>
      <c r="GH26" s="3"/>
      <c r="GI26" s="3"/>
      <c r="GJ26" s="3"/>
      <c r="GK26" s="3"/>
      <c r="GL26" s="2"/>
      <c r="GM26" s="2"/>
      <c r="GN26" s="2"/>
      <c r="GO26" s="2"/>
      <c r="GP26" s="2"/>
      <c r="GQ26" s="2"/>
      <c r="GR26" s="2"/>
      <c r="GS26" s="2"/>
      <c r="GT26" s="3"/>
      <c r="GU26" s="3"/>
      <c r="GV26" s="3"/>
      <c r="GW26" s="3"/>
      <c r="GX26" s="3"/>
      <c r="GY26" s="3"/>
      <c r="GZ26" s="3"/>
      <c r="HA26" s="3"/>
      <c r="HB26" s="2"/>
      <c r="HC26" s="2"/>
      <c r="HD26" s="2"/>
      <c r="HE26" s="2"/>
      <c r="HF26" s="2"/>
      <c r="HG26" s="2"/>
      <c r="HH26" s="2"/>
      <c r="HI26" s="2"/>
      <c r="HJ26" s="3"/>
      <c r="HK26" s="3"/>
      <c r="HL26" s="3"/>
      <c r="HM26" s="3"/>
      <c r="HN26" s="3"/>
      <c r="HO26" s="3"/>
      <c r="HP26" s="3"/>
      <c r="HQ26" s="3"/>
      <c r="HR26" s="2"/>
      <c r="HS26" s="2"/>
      <c r="HT26" s="2"/>
      <c r="HU26" s="2"/>
      <c r="HV26" s="2"/>
      <c r="HW26" s="2"/>
      <c r="HX26" s="2"/>
      <c r="HY26" s="2"/>
      <c r="HZ26" s="3"/>
      <c r="IA26" s="3"/>
      <c r="IB26" s="3"/>
      <c r="IC26" s="3"/>
      <c r="ID26" s="3"/>
      <c r="IE26" s="3"/>
      <c r="IF26" s="3"/>
      <c r="IG26" s="3"/>
      <c r="IH26" s="2"/>
      <c r="II26" s="2"/>
      <c r="IJ26" s="2"/>
      <c r="IK26" s="2"/>
      <c r="IL26" s="2"/>
      <c r="IM26" s="2"/>
      <c r="IN26" s="2"/>
      <c r="IO26" s="2"/>
      <c r="IP26" s="3"/>
      <c r="IQ26" s="3"/>
      <c r="IR26" s="3"/>
      <c r="IS26" s="3"/>
      <c r="IT26" s="3"/>
      <c r="IU26" s="3"/>
      <c r="IV26" s="3"/>
      <c r="IW26" s="3"/>
    </row>
    <row r="27" spans="1:257" x14ac:dyDescent="0.2">
      <c r="A27" s="1">
        <v>21</v>
      </c>
      <c r="B27" s="2"/>
      <c r="C27" s="2"/>
      <c r="D27" s="2"/>
      <c r="E27" s="2"/>
      <c r="F27" s="2"/>
      <c r="G27" s="2"/>
      <c r="H27" s="2"/>
      <c r="I27" s="2"/>
      <c r="J27" s="3"/>
      <c r="K27" s="3"/>
      <c r="L27" s="3"/>
      <c r="M27" s="3"/>
      <c r="N27" s="3"/>
      <c r="O27" s="3"/>
      <c r="P27" s="3"/>
      <c r="Q27" s="3"/>
      <c r="R27" s="2"/>
      <c r="S27" s="2"/>
      <c r="T27" s="2"/>
      <c r="U27" s="2"/>
      <c r="V27" s="2"/>
      <c r="W27" s="2"/>
      <c r="X27" s="2"/>
      <c r="Y27" s="2"/>
      <c r="Z27" s="3"/>
      <c r="AA27" s="3"/>
      <c r="AB27" s="3"/>
      <c r="AC27" s="3"/>
      <c r="AD27" s="3"/>
      <c r="AE27" s="3"/>
      <c r="AF27" s="3"/>
      <c r="AG27" s="3"/>
      <c r="AH27" s="2"/>
      <c r="AI27" s="2"/>
      <c r="AJ27" s="2"/>
      <c r="AK27" s="2"/>
      <c r="AL27" s="2"/>
      <c r="AM27" s="2"/>
      <c r="AN27" s="2"/>
      <c r="AO27" s="2"/>
      <c r="AP27" s="3"/>
      <c r="AQ27" s="3"/>
      <c r="AR27" s="3"/>
      <c r="AS27" s="3"/>
      <c r="AT27" s="3"/>
      <c r="AU27" s="3"/>
      <c r="AV27" s="3"/>
      <c r="AW27" s="3"/>
      <c r="AX27" s="2"/>
      <c r="AY27" s="2"/>
      <c r="AZ27" s="2"/>
      <c r="BA27" s="2"/>
      <c r="BB27" s="2"/>
      <c r="BC27" s="2"/>
      <c r="BD27" s="2"/>
      <c r="BE27" s="2"/>
      <c r="BF27" s="3"/>
      <c r="BG27" s="3"/>
      <c r="BH27" s="3"/>
      <c r="BI27" s="3"/>
      <c r="BJ27" s="3"/>
      <c r="BK27" s="3"/>
      <c r="BL27" s="3"/>
      <c r="BM27" s="3"/>
      <c r="BN27" s="2"/>
      <c r="BO27" s="2"/>
      <c r="BP27" s="2"/>
      <c r="BQ27" s="2"/>
      <c r="BR27" s="2"/>
      <c r="BS27" s="2"/>
      <c r="BT27" s="2"/>
      <c r="BU27" s="2"/>
      <c r="BV27" s="3"/>
      <c r="BW27" s="3"/>
      <c r="BX27" s="3"/>
      <c r="BY27" s="3"/>
      <c r="BZ27" s="3"/>
      <c r="CA27" s="3"/>
      <c r="CB27" s="3"/>
      <c r="CC27" s="3"/>
      <c r="CD27" s="2"/>
      <c r="CE27" s="2"/>
      <c r="CF27" s="2"/>
      <c r="CG27" s="2"/>
      <c r="CH27" s="2"/>
      <c r="CI27" s="2"/>
      <c r="CJ27" s="2"/>
      <c r="CK27" s="2"/>
      <c r="CL27" s="3"/>
      <c r="CM27" s="3"/>
      <c r="CN27" s="3"/>
      <c r="CO27" s="3"/>
      <c r="CP27" s="3"/>
      <c r="CQ27" s="3"/>
      <c r="CR27" s="3"/>
      <c r="CS27" s="3"/>
      <c r="CT27" s="2"/>
      <c r="CU27" s="2"/>
      <c r="CV27" s="2"/>
      <c r="CW27" s="2"/>
      <c r="CX27" s="2"/>
      <c r="CY27" s="2"/>
      <c r="CZ27" s="2"/>
      <c r="DA27" s="2"/>
      <c r="DB27" s="3"/>
      <c r="DC27" s="3"/>
      <c r="DD27" s="3"/>
      <c r="DE27" s="3"/>
      <c r="DF27" s="3"/>
      <c r="DG27" s="3"/>
      <c r="DH27" s="3"/>
      <c r="DI27" s="3"/>
      <c r="DJ27" s="2"/>
      <c r="DK27" s="2"/>
      <c r="DL27" s="2"/>
      <c r="DM27" s="2"/>
      <c r="DN27" s="2"/>
      <c r="DO27" s="2"/>
      <c r="DP27" s="2"/>
      <c r="DQ27" s="2"/>
      <c r="DR27" s="3"/>
      <c r="DS27" s="3"/>
      <c r="DT27" s="3"/>
      <c r="DU27" s="3"/>
      <c r="DV27" s="3"/>
      <c r="DW27" s="3"/>
      <c r="DX27" s="3"/>
      <c r="DY27" s="3"/>
      <c r="DZ27" s="2"/>
      <c r="EA27" s="2"/>
      <c r="EB27" s="2"/>
      <c r="EC27" s="2"/>
      <c r="ED27" s="2"/>
      <c r="EE27" s="2"/>
      <c r="EF27" s="2"/>
      <c r="EG27" s="2"/>
      <c r="EH27" s="3"/>
      <c r="EI27" s="3"/>
      <c r="EJ27" s="3"/>
      <c r="EK27" s="3"/>
      <c r="EL27" s="3"/>
      <c r="EM27" s="3"/>
      <c r="EN27" s="3"/>
      <c r="EO27" s="3"/>
      <c r="EP27" s="2"/>
      <c r="EQ27" s="2"/>
      <c r="ER27" s="2"/>
      <c r="ES27" s="2"/>
      <c r="ET27" s="2"/>
      <c r="EU27" s="2"/>
      <c r="EV27" s="2"/>
      <c r="EW27" s="2"/>
      <c r="EX27" s="3"/>
      <c r="EY27" s="3"/>
      <c r="EZ27" s="3"/>
      <c r="FA27" s="3"/>
      <c r="FB27" s="3"/>
      <c r="FC27" s="3"/>
      <c r="FD27" s="3"/>
      <c r="FE27" s="3"/>
      <c r="FF27" s="2"/>
      <c r="FG27" s="2"/>
      <c r="FH27" s="2"/>
      <c r="FI27" s="2"/>
      <c r="FJ27" s="2"/>
      <c r="FK27" s="2"/>
      <c r="FL27" s="2"/>
      <c r="FM27" s="2"/>
      <c r="FN27" s="3"/>
      <c r="FO27" s="3"/>
      <c r="FP27" s="3"/>
      <c r="FQ27" s="3"/>
      <c r="FR27" s="3"/>
      <c r="FS27" s="3"/>
      <c r="FT27" s="3"/>
      <c r="FU27" s="3"/>
      <c r="FV27" s="2"/>
      <c r="FW27" s="2"/>
      <c r="FX27" s="2"/>
      <c r="FY27" s="2"/>
      <c r="FZ27" s="2"/>
      <c r="GA27" s="2"/>
      <c r="GB27" s="2"/>
      <c r="GC27" s="2"/>
      <c r="GD27" s="3"/>
      <c r="GE27" s="3"/>
      <c r="GF27" s="3"/>
      <c r="GG27" s="3"/>
      <c r="GH27" s="3"/>
      <c r="GI27" s="3"/>
      <c r="GJ27" s="3"/>
      <c r="GK27" s="3"/>
      <c r="GL27" s="2"/>
      <c r="GM27" s="2"/>
      <c r="GN27" s="2"/>
      <c r="GO27" s="2"/>
      <c r="GP27" s="2"/>
      <c r="GQ27" s="2"/>
      <c r="GR27" s="2"/>
      <c r="GS27" s="2"/>
      <c r="GT27" s="3"/>
      <c r="GU27" s="3"/>
      <c r="GV27" s="3"/>
      <c r="GW27" s="3"/>
      <c r="GX27" s="3"/>
      <c r="GY27" s="3"/>
      <c r="GZ27" s="3"/>
      <c r="HA27" s="3"/>
      <c r="HB27" s="2"/>
      <c r="HC27" s="2"/>
      <c r="HD27" s="2"/>
      <c r="HE27" s="2"/>
      <c r="HF27" s="2"/>
      <c r="HG27" s="2"/>
      <c r="HH27" s="2"/>
      <c r="HI27" s="2"/>
      <c r="HJ27" s="3"/>
      <c r="HK27" s="3"/>
      <c r="HL27" s="3"/>
      <c r="HM27" s="3"/>
      <c r="HN27" s="3"/>
      <c r="HO27" s="3"/>
      <c r="HP27" s="3"/>
      <c r="HQ27" s="3"/>
      <c r="HR27" s="2"/>
      <c r="HS27" s="2"/>
      <c r="HT27" s="2"/>
      <c r="HU27" s="2"/>
      <c r="HV27" s="2"/>
      <c r="HW27" s="2"/>
      <c r="HX27" s="2"/>
      <c r="HY27" s="2"/>
      <c r="HZ27" s="3"/>
      <c r="IA27" s="3"/>
      <c r="IB27" s="3"/>
      <c r="IC27" s="3"/>
      <c r="ID27" s="3"/>
      <c r="IE27" s="3"/>
      <c r="IF27" s="3"/>
      <c r="IG27" s="3"/>
      <c r="IH27" s="2"/>
      <c r="II27" s="2"/>
      <c r="IJ27" s="2"/>
      <c r="IK27" s="2"/>
      <c r="IL27" s="2"/>
      <c r="IM27" s="2"/>
      <c r="IN27" s="2"/>
      <c r="IO27" s="2"/>
      <c r="IP27" s="3"/>
      <c r="IQ27" s="3"/>
      <c r="IR27" s="3"/>
      <c r="IS27" s="3"/>
      <c r="IT27" s="3"/>
      <c r="IU27" s="3"/>
      <c r="IV27" s="3"/>
      <c r="IW27" s="3"/>
    </row>
    <row r="28" spans="1:257" x14ac:dyDescent="0.2">
      <c r="A28" s="1">
        <v>22</v>
      </c>
      <c r="B28" s="2"/>
      <c r="C28" s="2"/>
      <c r="D28" s="2"/>
      <c r="E28" s="2"/>
      <c r="F28" s="2"/>
      <c r="G28" s="2"/>
      <c r="H28" s="2"/>
      <c r="I28" s="2"/>
      <c r="J28" s="3"/>
      <c r="K28" s="3"/>
      <c r="L28" s="3"/>
      <c r="M28" s="3"/>
      <c r="N28" s="3"/>
      <c r="O28" s="3"/>
      <c r="P28" s="3"/>
      <c r="Q28" s="3"/>
      <c r="R28" s="2"/>
      <c r="S28" s="2"/>
      <c r="T28" s="2"/>
      <c r="U28" s="2"/>
      <c r="V28" s="2"/>
      <c r="W28" s="2"/>
      <c r="X28" s="2"/>
      <c r="Y28" s="2"/>
      <c r="Z28" s="3"/>
      <c r="AA28" s="3"/>
      <c r="AB28" s="3"/>
      <c r="AC28" s="3"/>
      <c r="AD28" s="3"/>
      <c r="AE28" s="3"/>
      <c r="AF28" s="3"/>
      <c r="AG28" s="3"/>
      <c r="AH28" s="2"/>
      <c r="AI28" s="2"/>
      <c r="AJ28" s="2"/>
      <c r="AK28" s="2"/>
      <c r="AL28" s="2"/>
      <c r="AM28" s="2"/>
      <c r="AN28" s="2"/>
      <c r="AO28" s="2"/>
      <c r="AP28" s="3"/>
      <c r="AQ28" s="3"/>
      <c r="AR28" s="3"/>
      <c r="AS28" s="3"/>
      <c r="AT28" s="3"/>
      <c r="AU28" s="3"/>
      <c r="AV28" s="3"/>
      <c r="AW28" s="3"/>
      <c r="AX28" s="2"/>
      <c r="AY28" s="2"/>
      <c r="AZ28" s="2"/>
      <c r="BA28" s="2"/>
      <c r="BB28" s="2"/>
      <c r="BC28" s="2"/>
      <c r="BD28" s="2"/>
      <c r="BE28" s="2"/>
      <c r="BF28" s="3"/>
      <c r="BG28" s="3"/>
      <c r="BH28" s="3"/>
      <c r="BI28" s="3"/>
      <c r="BJ28" s="3"/>
      <c r="BK28" s="3"/>
      <c r="BL28" s="3"/>
      <c r="BM28" s="3"/>
      <c r="BN28" s="2"/>
      <c r="BO28" s="2"/>
      <c r="BP28" s="2"/>
      <c r="BQ28" s="2"/>
      <c r="BR28" s="2"/>
      <c r="BS28" s="2"/>
      <c r="BT28" s="2"/>
      <c r="BU28" s="2"/>
      <c r="BV28" s="3"/>
      <c r="BW28" s="3"/>
      <c r="BX28" s="3"/>
      <c r="BY28" s="3"/>
      <c r="BZ28" s="3"/>
      <c r="CA28" s="3"/>
      <c r="CB28" s="3"/>
      <c r="CC28" s="3"/>
      <c r="CD28" s="2"/>
      <c r="CE28" s="2"/>
      <c r="CF28" s="2"/>
      <c r="CG28" s="2"/>
      <c r="CH28" s="2"/>
      <c r="CI28" s="2"/>
      <c r="CJ28" s="2"/>
      <c r="CK28" s="2"/>
      <c r="CL28" s="3"/>
      <c r="CM28" s="3"/>
      <c r="CN28" s="3"/>
      <c r="CO28" s="3"/>
      <c r="CP28" s="3"/>
      <c r="CQ28" s="3"/>
      <c r="CR28" s="3"/>
      <c r="CS28" s="3"/>
      <c r="CT28" s="2"/>
      <c r="CU28" s="2"/>
      <c r="CV28" s="2"/>
      <c r="CW28" s="2"/>
      <c r="CX28" s="2"/>
      <c r="CY28" s="2"/>
      <c r="CZ28" s="2"/>
      <c r="DA28" s="2"/>
      <c r="DB28" s="3"/>
      <c r="DC28" s="3"/>
      <c r="DD28" s="3"/>
      <c r="DE28" s="3"/>
      <c r="DF28" s="3"/>
      <c r="DG28" s="3"/>
      <c r="DH28" s="3"/>
      <c r="DI28" s="3"/>
      <c r="DJ28" s="2"/>
      <c r="DK28" s="2"/>
      <c r="DL28" s="2"/>
      <c r="DM28" s="2"/>
      <c r="DN28" s="2"/>
      <c r="DO28" s="2"/>
      <c r="DP28" s="2"/>
      <c r="DQ28" s="2"/>
      <c r="DR28" s="3"/>
      <c r="DS28" s="3"/>
      <c r="DT28" s="3"/>
      <c r="DU28" s="3"/>
      <c r="DV28" s="3"/>
      <c r="DW28" s="3"/>
      <c r="DX28" s="3"/>
      <c r="DY28" s="3"/>
      <c r="DZ28" s="2"/>
      <c r="EA28" s="2"/>
      <c r="EB28" s="2"/>
      <c r="EC28" s="2"/>
      <c r="ED28" s="2"/>
      <c r="EE28" s="2"/>
      <c r="EF28" s="2"/>
      <c r="EG28" s="2"/>
      <c r="EH28" s="3"/>
      <c r="EI28" s="3"/>
      <c r="EJ28" s="3"/>
      <c r="EK28" s="3"/>
      <c r="EL28" s="3"/>
      <c r="EM28" s="3"/>
      <c r="EN28" s="3"/>
      <c r="EO28" s="3"/>
      <c r="EP28" s="2"/>
      <c r="EQ28" s="2"/>
      <c r="ER28" s="2"/>
      <c r="ES28" s="2"/>
      <c r="ET28" s="2"/>
      <c r="EU28" s="2"/>
      <c r="EV28" s="2"/>
      <c r="EW28" s="2"/>
      <c r="EX28" s="3"/>
      <c r="EY28" s="3"/>
      <c r="EZ28" s="3"/>
      <c r="FA28" s="3"/>
      <c r="FB28" s="3"/>
      <c r="FC28" s="3"/>
      <c r="FD28" s="3"/>
      <c r="FE28" s="3"/>
      <c r="FF28" s="2"/>
      <c r="FG28" s="2"/>
      <c r="FH28" s="2"/>
      <c r="FI28" s="2"/>
      <c r="FJ28" s="2"/>
      <c r="FK28" s="2"/>
      <c r="FL28" s="2"/>
      <c r="FM28" s="2"/>
      <c r="FN28" s="3"/>
      <c r="FO28" s="3"/>
      <c r="FP28" s="3"/>
      <c r="FQ28" s="3"/>
      <c r="FR28" s="3"/>
      <c r="FS28" s="3"/>
      <c r="FT28" s="3"/>
      <c r="FU28" s="3"/>
      <c r="FV28" s="2"/>
      <c r="FW28" s="2"/>
      <c r="FX28" s="2"/>
      <c r="FY28" s="2"/>
      <c r="FZ28" s="2"/>
      <c r="GA28" s="2"/>
      <c r="GB28" s="2"/>
      <c r="GC28" s="2"/>
      <c r="GD28" s="3"/>
      <c r="GE28" s="3"/>
      <c r="GF28" s="3"/>
      <c r="GG28" s="3"/>
      <c r="GH28" s="3"/>
      <c r="GI28" s="3"/>
      <c r="GJ28" s="3"/>
      <c r="GK28" s="3"/>
      <c r="GL28" s="2"/>
      <c r="GM28" s="2"/>
      <c r="GN28" s="2"/>
      <c r="GO28" s="2"/>
      <c r="GP28" s="2"/>
      <c r="GQ28" s="2"/>
      <c r="GR28" s="2"/>
      <c r="GS28" s="2"/>
      <c r="GT28" s="3"/>
      <c r="GU28" s="3"/>
      <c r="GV28" s="3"/>
      <c r="GW28" s="3"/>
      <c r="GX28" s="3"/>
      <c r="GY28" s="3"/>
      <c r="GZ28" s="3"/>
      <c r="HA28" s="3"/>
      <c r="HB28" s="2"/>
      <c r="HC28" s="2"/>
      <c r="HD28" s="2"/>
      <c r="HE28" s="2"/>
      <c r="HF28" s="2"/>
      <c r="HG28" s="2"/>
      <c r="HH28" s="2"/>
      <c r="HI28" s="2"/>
      <c r="HJ28" s="3"/>
      <c r="HK28" s="3"/>
      <c r="HL28" s="3"/>
      <c r="HM28" s="3"/>
      <c r="HN28" s="3"/>
      <c r="HO28" s="3"/>
      <c r="HP28" s="3"/>
      <c r="HQ28" s="3"/>
      <c r="HR28" s="2"/>
      <c r="HS28" s="2"/>
      <c r="HT28" s="2"/>
      <c r="HU28" s="2"/>
      <c r="HV28" s="2"/>
      <c r="HW28" s="2"/>
      <c r="HX28" s="2"/>
      <c r="HY28" s="2"/>
      <c r="HZ28" s="3"/>
      <c r="IA28" s="3"/>
      <c r="IB28" s="3"/>
      <c r="IC28" s="3"/>
      <c r="ID28" s="3"/>
      <c r="IE28" s="3"/>
      <c r="IF28" s="3"/>
      <c r="IG28" s="3"/>
      <c r="IH28" s="2"/>
      <c r="II28" s="2"/>
      <c r="IJ28" s="2"/>
      <c r="IK28" s="2"/>
      <c r="IL28" s="2"/>
      <c r="IM28" s="2"/>
      <c r="IN28" s="2"/>
      <c r="IO28" s="2"/>
      <c r="IP28" s="3"/>
      <c r="IQ28" s="3"/>
      <c r="IR28" s="3"/>
      <c r="IS28" s="3"/>
      <c r="IT28" s="3"/>
      <c r="IU28" s="3"/>
      <c r="IV28" s="3"/>
      <c r="IW28" s="3"/>
    </row>
    <row r="29" spans="1:257" x14ac:dyDescent="0.2">
      <c r="A29" s="1">
        <v>23</v>
      </c>
      <c r="B29" s="2"/>
      <c r="C29" s="2"/>
      <c r="D29" s="2"/>
      <c r="E29" s="2"/>
      <c r="F29" s="2"/>
      <c r="G29" s="2"/>
      <c r="H29" s="2"/>
      <c r="I29" s="2"/>
      <c r="J29" s="3"/>
      <c r="K29" s="3"/>
      <c r="L29" s="3"/>
      <c r="M29" s="3"/>
      <c r="N29" s="3"/>
      <c r="O29" s="3"/>
      <c r="P29" s="3"/>
      <c r="Q29" s="3"/>
      <c r="R29" s="2"/>
      <c r="S29" s="2"/>
      <c r="T29" s="2"/>
      <c r="U29" s="2"/>
      <c r="V29" s="2"/>
      <c r="W29" s="2"/>
      <c r="X29" s="2"/>
      <c r="Y29" s="2"/>
      <c r="Z29" s="3"/>
      <c r="AA29" s="3"/>
      <c r="AB29" s="3"/>
      <c r="AC29" s="3"/>
      <c r="AD29" s="3"/>
      <c r="AE29" s="3"/>
      <c r="AF29" s="3"/>
      <c r="AG29" s="3"/>
      <c r="AH29" s="2"/>
      <c r="AI29" s="2"/>
      <c r="AJ29" s="2"/>
      <c r="AK29" s="2"/>
      <c r="AL29" s="2"/>
      <c r="AM29" s="2"/>
      <c r="AN29" s="2"/>
      <c r="AO29" s="2"/>
      <c r="AP29" s="3"/>
      <c r="AQ29" s="3"/>
      <c r="AR29" s="3"/>
      <c r="AS29" s="3"/>
      <c r="AT29" s="3"/>
      <c r="AU29" s="3"/>
      <c r="AV29" s="3"/>
      <c r="AW29" s="3"/>
      <c r="AX29" s="2"/>
      <c r="AY29" s="2"/>
      <c r="AZ29" s="2"/>
      <c r="BA29" s="2"/>
      <c r="BB29" s="2"/>
      <c r="BC29" s="2"/>
      <c r="BD29" s="2"/>
      <c r="BE29" s="2"/>
      <c r="BF29" s="3"/>
      <c r="BG29" s="3"/>
      <c r="BH29" s="3"/>
      <c r="BI29" s="3"/>
      <c r="BJ29" s="3"/>
      <c r="BK29" s="3"/>
      <c r="BL29" s="3"/>
      <c r="BM29" s="3"/>
      <c r="BN29" s="2"/>
      <c r="BO29" s="2"/>
      <c r="BP29" s="2"/>
      <c r="BQ29" s="2"/>
      <c r="BR29" s="2"/>
      <c r="BS29" s="2"/>
      <c r="BT29" s="2"/>
      <c r="BU29" s="2"/>
      <c r="BV29" s="3"/>
      <c r="BW29" s="3"/>
      <c r="BX29" s="3"/>
      <c r="BY29" s="3"/>
      <c r="BZ29" s="3"/>
      <c r="CA29" s="3"/>
      <c r="CB29" s="3"/>
      <c r="CC29" s="3"/>
      <c r="CD29" s="2"/>
      <c r="CE29" s="2"/>
      <c r="CF29" s="2"/>
      <c r="CG29" s="2"/>
      <c r="CH29" s="2"/>
      <c r="CI29" s="2"/>
      <c r="CJ29" s="2"/>
      <c r="CK29" s="2"/>
      <c r="CL29" s="3"/>
      <c r="CM29" s="3"/>
      <c r="CN29" s="3"/>
      <c r="CO29" s="3"/>
      <c r="CP29" s="3"/>
      <c r="CQ29" s="3"/>
      <c r="CR29" s="3"/>
      <c r="CS29" s="3"/>
      <c r="CT29" s="2"/>
      <c r="CU29" s="2"/>
      <c r="CV29" s="2"/>
      <c r="CW29" s="2"/>
      <c r="CX29" s="2"/>
      <c r="CY29" s="2"/>
      <c r="CZ29" s="2"/>
      <c r="DA29" s="2"/>
      <c r="DB29" s="3"/>
      <c r="DC29" s="3"/>
      <c r="DD29" s="3"/>
      <c r="DE29" s="3"/>
      <c r="DF29" s="3"/>
      <c r="DG29" s="3"/>
      <c r="DH29" s="3"/>
      <c r="DI29" s="3"/>
      <c r="DJ29" s="2"/>
      <c r="DK29" s="2"/>
      <c r="DL29" s="2"/>
      <c r="DM29" s="2"/>
      <c r="DN29" s="2"/>
      <c r="DO29" s="2"/>
      <c r="DP29" s="2"/>
      <c r="DQ29" s="2"/>
      <c r="DR29" s="3"/>
      <c r="DS29" s="3"/>
      <c r="DT29" s="3"/>
      <c r="DU29" s="3"/>
      <c r="DV29" s="3"/>
      <c r="DW29" s="3"/>
      <c r="DX29" s="3"/>
      <c r="DY29" s="3"/>
      <c r="DZ29" s="2"/>
      <c r="EA29" s="2"/>
      <c r="EB29" s="2"/>
      <c r="EC29" s="2"/>
      <c r="ED29" s="2"/>
      <c r="EE29" s="2"/>
      <c r="EF29" s="2"/>
      <c r="EG29" s="2"/>
      <c r="EH29" s="3"/>
      <c r="EI29" s="3"/>
      <c r="EJ29" s="3"/>
      <c r="EK29" s="3"/>
      <c r="EL29" s="3"/>
      <c r="EM29" s="3"/>
      <c r="EN29" s="3"/>
      <c r="EO29" s="3"/>
      <c r="EP29" s="2"/>
      <c r="EQ29" s="2"/>
      <c r="ER29" s="2"/>
      <c r="ES29" s="2"/>
      <c r="ET29" s="2"/>
      <c r="EU29" s="2"/>
      <c r="EV29" s="2"/>
      <c r="EW29" s="2"/>
      <c r="EX29" s="3"/>
      <c r="EY29" s="3"/>
      <c r="EZ29" s="3"/>
      <c r="FA29" s="3"/>
      <c r="FB29" s="3"/>
      <c r="FC29" s="3"/>
      <c r="FD29" s="3"/>
      <c r="FE29" s="3"/>
      <c r="FF29" s="2"/>
      <c r="FG29" s="2"/>
      <c r="FH29" s="2"/>
      <c r="FI29" s="2"/>
      <c r="FJ29" s="2"/>
      <c r="FK29" s="2"/>
      <c r="FL29" s="2"/>
      <c r="FM29" s="2"/>
      <c r="FN29" s="3"/>
      <c r="FO29" s="3"/>
      <c r="FP29" s="3"/>
      <c r="FQ29" s="3"/>
      <c r="FR29" s="3"/>
      <c r="FS29" s="3"/>
      <c r="FT29" s="3"/>
      <c r="FU29" s="3"/>
      <c r="FV29" s="2"/>
      <c r="FW29" s="2"/>
      <c r="FX29" s="2"/>
      <c r="FY29" s="2"/>
      <c r="FZ29" s="2"/>
      <c r="GA29" s="2"/>
      <c r="GB29" s="2"/>
      <c r="GC29" s="2"/>
      <c r="GD29" s="3"/>
      <c r="GE29" s="3"/>
      <c r="GF29" s="3"/>
      <c r="GG29" s="3"/>
      <c r="GH29" s="3"/>
      <c r="GI29" s="3"/>
      <c r="GJ29" s="3"/>
      <c r="GK29" s="3"/>
      <c r="GL29" s="2"/>
      <c r="GM29" s="2"/>
      <c r="GN29" s="2"/>
      <c r="GO29" s="2"/>
      <c r="GP29" s="2"/>
      <c r="GQ29" s="2"/>
      <c r="GR29" s="2"/>
      <c r="GS29" s="2"/>
      <c r="GT29" s="3"/>
      <c r="GU29" s="3"/>
      <c r="GV29" s="3"/>
      <c r="GW29" s="3"/>
      <c r="GX29" s="3"/>
      <c r="GY29" s="3"/>
      <c r="GZ29" s="3"/>
      <c r="HA29" s="3"/>
      <c r="HB29" s="2"/>
      <c r="HC29" s="2"/>
      <c r="HD29" s="2"/>
      <c r="HE29" s="2"/>
      <c r="HF29" s="2"/>
      <c r="HG29" s="2"/>
      <c r="HH29" s="2"/>
      <c r="HI29" s="2"/>
      <c r="HJ29" s="3"/>
      <c r="HK29" s="3"/>
      <c r="HL29" s="3"/>
      <c r="HM29" s="3"/>
      <c r="HN29" s="3"/>
      <c r="HO29" s="3"/>
      <c r="HP29" s="3"/>
      <c r="HQ29" s="3"/>
      <c r="HR29" s="2"/>
      <c r="HS29" s="2"/>
      <c r="HT29" s="2"/>
      <c r="HU29" s="2"/>
      <c r="HV29" s="2"/>
      <c r="HW29" s="2"/>
      <c r="HX29" s="2"/>
      <c r="HY29" s="2"/>
      <c r="HZ29" s="3"/>
      <c r="IA29" s="3"/>
      <c r="IB29" s="3"/>
      <c r="IC29" s="3"/>
      <c r="ID29" s="3"/>
      <c r="IE29" s="3"/>
      <c r="IF29" s="3"/>
      <c r="IG29" s="3"/>
      <c r="IH29" s="2"/>
      <c r="II29" s="2"/>
      <c r="IJ29" s="2"/>
      <c r="IK29" s="2"/>
      <c r="IL29" s="2"/>
      <c r="IM29" s="2"/>
      <c r="IN29" s="2"/>
      <c r="IO29" s="2"/>
      <c r="IP29" s="3"/>
      <c r="IQ29" s="3"/>
      <c r="IR29" s="3"/>
      <c r="IS29" s="3"/>
      <c r="IT29" s="3"/>
      <c r="IU29" s="3"/>
      <c r="IV29" s="3"/>
      <c r="IW29" s="3"/>
    </row>
    <row r="33" spans="2:3" x14ac:dyDescent="0.2">
      <c r="B33" s="8" t="s">
        <v>271</v>
      </c>
      <c r="C33">
        <f>SUM(B2:IW2)</f>
        <v>1</v>
      </c>
    </row>
  </sheetData>
  <mergeCells count="80">
    <mergeCell ref="B1:Q1"/>
    <mergeCell ref="R1:AG1"/>
    <mergeCell ref="B2:Q2"/>
    <mergeCell ref="R2:AG2"/>
    <mergeCell ref="B4:I4"/>
    <mergeCell ref="J4:Q4"/>
    <mergeCell ref="R4:Y4"/>
    <mergeCell ref="Z4:AG4"/>
    <mergeCell ref="B3:Q3"/>
    <mergeCell ref="R3:AG3"/>
    <mergeCell ref="AH4:AO4"/>
    <mergeCell ref="AP4:AW4"/>
    <mergeCell ref="AX4:BE4"/>
    <mergeCell ref="BF4:BM4"/>
    <mergeCell ref="BN4:BU4"/>
    <mergeCell ref="BV4:CC4"/>
    <mergeCell ref="CD4:CK4"/>
    <mergeCell ref="CL4:CS4"/>
    <mergeCell ref="CT4:DA4"/>
    <mergeCell ref="DB4:DI4"/>
    <mergeCell ref="DJ4:DQ4"/>
    <mergeCell ref="DR4:DY4"/>
    <mergeCell ref="DZ4:EG4"/>
    <mergeCell ref="EH4:EO4"/>
    <mergeCell ref="EP4:EW4"/>
    <mergeCell ref="EX4:FE4"/>
    <mergeCell ref="FF4:FM4"/>
    <mergeCell ref="FN4:FU4"/>
    <mergeCell ref="FV4:GC4"/>
    <mergeCell ref="GD4:GK4"/>
    <mergeCell ref="GL4:GS4"/>
    <mergeCell ref="GT4:HA4"/>
    <mergeCell ref="HB4:HI4"/>
    <mergeCell ref="HJ4:HQ4"/>
    <mergeCell ref="HR4:HY4"/>
    <mergeCell ref="HZ4:IG4"/>
    <mergeCell ref="IH4:IO4"/>
    <mergeCell ref="IP4:IW4"/>
    <mergeCell ref="AH3:AW3"/>
    <mergeCell ref="AX3:BM3"/>
    <mergeCell ref="BN3:CC3"/>
    <mergeCell ref="CD3:CS3"/>
    <mergeCell ref="CT3:DI3"/>
    <mergeCell ref="DJ3:DY3"/>
    <mergeCell ref="DZ3:EO3"/>
    <mergeCell ref="EP3:FE3"/>
    <mergeCell ref="FF3:FU3"/>
    <mergeCell ref="FV3:GK3"/>
    <mergeCell ref="GL3:HA3"/>
    <mergeCell ref="HB3:HQ3"/>
    <mergeCell ref="HR3:IG3"/>
    <mergeCell ref="IH3:IW3"/>
    <mergeCell ref="AH1:AW1"/>
    <mergeCell ref="AX1:BM1"/>
    <mergeCell ref="BN1:CC1"/>
    <mergeCell ref="CD1:CS1"/>
    <mergeCell ref="CT1:DI1"/>
    <mergeCell ref="DJ1:DY1"/>
    <mergeCell ref="DZ1:EO1"/>
    <mergeCell ref="EP1:FE1"/>
    <mergeCell ref="FF1:FU1"/>
    <mergeCell ref="FV1:GK1"/>
    <mergeCell ref="GL1:HA1"/>
    <mergeCell ref="HB1:HQ1"/>
    <mergeCell ref="HR1:IG1"/>
    <mergeCell ref="IH1:IW1"/>
    <mergeCell ref="AH2:AW2"/>
    <mergeCell ref="AX2:BM2"/>
    <mergeCell ref="BN2:CC2"/>
    <mergeCell ref="CD2:CS2"/>
    <mergeCell ref="CT2:DI2"/>
    <mergeCell ref="DJ2:DY2"/>
    <mergeCell ref="HB2:HQ2"/>
    <mergeCell ref="HR2:IG2"/>
    <mergeCell ref="IH2:IW2"/>
    <mergeCell ref="DZ2:EO2"/>
    <mergeCell ref="EP2:FE2"/>
    <mergeCell ref="FF2:FU2"/>
    <mergeCell ref="FV2:GK2"/>
    <mergeCell ref="GL2:HA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457C1F-16A1-2E47-82DD-6A9CAEA6B476}">
  <dimension ref="A1:I5"/>
  <sheetViews>
    <sheetView zoomScale="250" zoomScaleNormal="250" workbookViewId="0">
      <selection activeCell="I5" sqref="A1:I5"/>
    </sheetView>
  </sheetViews>
  <sheetFormatPr baseColWidth="10" defaultRowHeight="16" x14ac:dyDescent="0.2"/>
  <cols>
    <col min="1" max="1" width="13" bestFit="1" customWidth="1"/>
  </cols>
  <sheetData>
    <row r="1" spans="1:9" x14ac:dyDescent="0.2">
      <c r="A1" s="8" t="s">
        <v>18</v>
      </c>
      <c r="B1" s="8" t="s">
        <v>111</v>
      </c>
      <c r="C1" s="8" t="s">
        <v>121</v>
      </c>
      <c r="D1" s="8" t="s">
        <v>117</v>
      </c>
      <c r="E1" s="8" t="s">
        <v>122</v>
      </c>
      <c r="F1" s="8" t="s">
        <v>129</v>
      </c>
      <c r="G1" s="8" t="s">
        <v>123</v>
      </c>
      <c r="H1" s="8" t="s">
        <v>124</v>
      </c>
      <c r="I1" s="8" t="s">
        <v>119</v>
      </c>
    </row>
    <row r="2" spans="1:9" x14ac:dyDescent="0.2">
      <c r="A2">
        <v>1</v>
      </c>
      <c r="B2">
        <v>26</v>
      </c>
      <c r="C2">
        <v>26</v>
      </c>
      <c r="D2">
        <v>26</v>
      </c>
      <c r="E2">
        <v>28</v>
      </c>
      <c r="F2">
        <v>28</v>
      </c>
      <c r="G2">
        <v>29</v>
      </c>
      <c r="H2">
        <v>30</v>
      </c>
      <c r="I2">
        <v>30</v>
      </c>
    </row>
    <row r="3" spans="1:9" x14ac:dyDescent="0.2">
      <c r="A3">
        <v>2</v>
      </c>
      <c r="B3">
        <v>28</v>
      </c>
      <c r="C3">
        <v>28</v>
      </c>
      <c r="D3">
        <v>28</v>
      </c>
      <c r="E3">
        <v>30</v>
      </c>
      <c r="F3">
        <v>30</v>
      </c>
      <c r="G3">
        <v>31</v>
      </c>
      <c r="H3">
        <v>32</v>
      </c>
      <c r="I3">
        <v>30</v>
      </c>
    </row>
    <row r="4" spans="1:9" x14ac:dyDescent="0.2">
      <c r="A4">
        <v>3</v>
      </c>
      <c r="B4">
        <v>27</v>
      </c>
      <c r="C4">
        <v>27</v>
      </c>
      <c r="D4">
        <v>27</v>
      </c>
      <c r="E4">
        <v>29</v>
      </c>
      <c r="F4">
        <v>29</v>
      </c>
      <c r="G4">
        <v>30</v>
      </c>
      <c r="H4">
        <v>31</v>
      </c>
      <c r="I4">
        <v>30</v>
      </c>
    </row>
    <row r="5" spans="1:9" x14ac:dyDescent="0.2">
      <c r="A5">
        <v>4</v>
      </c>
      <c r="B5">
        <v>29</v>
      </c>
      <c r="C5">
        <v>29</v>
      </c>
      <c r="D5">
        <v>29</v>
      </c>
      <c r="E5">
        <v>31</v>
      </c>
      <c r="F5">
        <v>31</v>
      </c>
      <c r="G5">
        <v>32</v>
      </c>
      <c r="H5">
        <v>33</v>
      </c>
      <c r="I5">
        <v>30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207F0E-65E5-C544-8BA0-D27121ACF2FF}">
  <dimension ref="A1:I5"/>
  <sheetViews>
    <sheetView zoomScale="160" zoomScaleNormal="160" workbookViewId="0">
      <selection activeCell="J8" sqref="J8"/>
    </sheetView>
  </sheetViews>
  <sheetFormatPr baseColWidth="10" defaultRowHeight="16" x14ac:dyDescent="0.2"/>
  <sheetData>
    <row r="1" spans="1:9" x14ac:dyDescent="0.2">
      <c r="A1" s="8" t="s">
        <v>18</v>
      </c>
      <c r="B1" s="8" t="s">
        <v>111</v>
      </c>
      <c r="C1" s="8" t="s">
        <v>121</v>
      </c>
      <c r="D1" s="8" t="s">
        <v>117</v>
      </c>
      <c r="E1" s="8" t="s">
        <v>122</v>
      </c>
      <c r="F1" s="8" t="s">
        <v>129</v>
      </c>
      <c r="G1" s="8" t="s">
        <v>123</v>
      </c>
      <c r="H1" s="8" t="s">
        <v>124</v>
      </c>
      <c r="I1" s="8" t="s">
        <v>119</v>
      </c>
    </row>
    <row r="2" spans="1:9" x14ac:dyDescent="0.2">
      <c r="A2">
        <v>1</v>
      </c>
      <c r="B2">
        <v>1</v>
      </c>
      <c r="C2">
        <v>1</v>
      </c>
      <c r="D2">
        <v>1</v>
      </c>
      <c r="E2">
        <v>1</v>
      </c>
      <c r="F2">
        <v>1</v>
      </c>
      <c r="G2">
        <v>1</v>
      </c>
      <c r="H2">
        <v>1</v>
      </c>
      <c r="I2">
        <v>1</v>
      </c>
    </row>
    <row r="3" spans="1:9" x14ac:dyDescent="0.2">
      <c r="A3">
        <v>2</v>
      </c>
      <c r="B3">
        <v>1</v>
      </c>
      <c r="C3">
        <v>1</v>
      </c>
      <c r="D3">
        <v>1</v>
      </c>
      <c r="E3">
        <v>1</v>
      </c>
      <c r="F3">
        <v>1</v>
      </c>
      <c r="G3">
        <v>1</v>
      </c>
      <c r="H3">
        <v>1</v>
      </c>
      <c r="I3">
        <v>1</v>
      </c>
    </row>
    <row r="4" spans="1:9" x14ac:dyDescent="0.2">
      <c r="A4">
        <v>3</v>
      </c>
      <c r="B4">
        <v>1</v>
      </c>
      <c r="C4">
        <v>1</v>
      </c>
      <c r="D4">
        <v>1</v>
      </c>
      <c r="E4">
        <v>1</v>
      </c>
      <c r="F4">
        <v>1</v>
      </c>
      <c r="G4">
        <v>1</v>
      </c>
      <c r="H4">
        <v>1</v>
      </c>
      <c r="I4">
        <v>1</v>
      </c>
    </row>
    <row r="5" spans="1:9" x14ac:dyDescent="0.2">
      <c r="A5">
        <v>4</v>
      </c>
      <c r="B5">
        <v>1</v>
      </c>
      <c r="C5">
        <v>1</v>
      </c>
      <c r="D5">
        <v>1</v>
      </c>
      <c r="E5">
        <v>1</v>
      </c>
      <c r="F5">
        <v>1</v>
      </c>
      <c r="G5">
        <v>1</v>
      </c>
      <c r="H5">
        <v>1</v>
      </c>
      <c r="I5">
        <v>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D89E28-915C-F54C-B37A-2FAB20B0DB56}">
  <dimension ref="A1:B9"/>
  <sheetViews>
    <sheetView zoomScale="180" zoomScaleNormal="180" workbookViewId="0">
      <selection activeCell="B9" sqref="B9"/>
    </sheetView>
  </sheetViews>
  <sheetFormatPr baseColWidth="10" defaultRowHeight="16" x14ac:dyDescent="0.2"/>
  <cols>
    <col min="1" max="1" width="17.6640625" bestFit="1" customWidth="1"/>
  </cols>
  <sheetData>
    <row r="1" spans="1:2" x14ac:dyDescent="0.2">
      <c r="A1" s="8" t="s">
        <v>1</v>
      </c>
      <c r="B1" s="8" t="s">
        <v>38</v>
      </c>
    </row>
    <row r="2" spans="1:2" x14ac:dyDescent="0.2">
      <c r="A2" s="8" t="s">
        <v>30</v>
      </c>
      <c r="B2">
        <v>0</v>
      </c>
    </row>
    <row r="3" spans="1:2" x14ac:dyDescent="0.2">
      <c r="A3" s="8" t="s">
        <v>31</v>
      </c>
      <c r="B3">
        <v>1</v>
      </c>
    </row>
    <row r="4" spans="1:2" x14ac:dyDescent="0.2">
      <c r="A4" s="8" t="s">
        <v>32</v>
      </c>
      <c r="B4">
        <v>0.25</v>
      </c>
    </row>
    <row r="5" spans="1:2" x14ac:dyDescent="0.2">
      <c r="A5" s="8" t="s">
        <v>63</v>
      </c>
      <c r="B5">
        <v>4</v>
      </c>
    </row>
    <row r="6" spans="1:2" x14ac:dyDescent="0.2">
      <c r="A6" s="8" t="s">
        <v>36</v>
      </c>
      <c r="B6">
        <v>4</v>
      </c>
    </row>
    <row r="7" spans="1:2" x14ac:dyDescent="0.2">
      <c r="A7" s="8" t="s">
        <v>37</v>
      </c>
      <c r="B7">
        <v>16</v>
      </c>
    </row>
    <row r="8" spans="1:2" x14ac:dyDescent="0.2">
      <c r="A8" s="12" t="s">
        <v>64</v>
      </c>
      <c r="B8" s="13">
        <v>8</v>
      </c>
    </row>
    <row r="9" spans="1:2" x14ac:dyDescent="0.2">
      <c r="A9" s="12" t="s">
        <v>65</v>
      </c>
      <c r="B9" s="13">
        <v>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02688A-D2A3-854F-B341-C0BEC53AF991}">
  <dimension ref="A1:N50"/>
  <sheetViews>
    <sheetView zoomScale="190" zoomScaleNormal="190" workbookViewId="0">
      <selection activeCell="F46" sqref="F46"/>
    </sheetView>
  </sheetViews>
  <sheetFormatPr baseColWidth="10" defaultRowHeight="16" x14ac:dyDescent="0.2"/>
  <cols>
    <col min="2" max="2" width="19.33203125" bestFit="1" customWidth="1"/>
    <col min="3" max="3" width="10.1640625" hidden="1" customWidth="1"/>
    <col min="4" max="4" width="13.1640625" hidden="1" customWidth="1"/>
    <col min="5" max="5" width="14.33203125" hidden="1" customWidth="1"/>
    <col min="6" max="6" width="17.5" customWidth="1"/>
    <col min="7" max="7" width="16.83203125" customWidth="1"/>
    <col min="8" max="8" width="11.83203125" customWidth="1"/>
    <col min="9" max="9" width="8.33203125" customWidth="1"/>
    <col min="10" max="10" width="16" bestFit="1" customWidth="1"/>
    <col min="13" max="13" width="13.1640625" bestFit="1" customWidth="1"/>
    <col min="14" max="14" width="18.5" bestFit="1" customWidth="1"/>
    <col min="17" max="17" width="15" bestFit="1" customWidth="1"/>
  </cols>
  <sheetData>
    <row r="1" spans="1:14" ht="34" x14ac:dyDescent="0.2">
      <c r="A1" s="18" t="s">
        <v>0</v>
      </c>
      <c r="B1" s="29" t="s">
        <v>1</v>
      </c>
      <c r="C1" s="29" t="s">
        <v>131</v>
      </c>
      <c r="D1" s="29" t="s">
        <v>132</v>
      </c>
      <c r="E1" s="29" t="s">
        <v>133</v>
      </c>
      <c r="F1" s="29" t="s">
        <v>2</v>
      </c>
      <c r="G1" s="29" t="s">
        <v>3</v>
      </c>
      <c r="H1" s="19" t="s">
        <v>134</v>
      </c>
      <c r="I1" s="19" t="s">
        <v>33</v>
      </c>
      <c r="J1" s="4" t="s">
        <v>130</v>
      </c>
      <c r="K1" s="4" t="s">
        <v>14</v>
      </c>
      <c r="L1" s="7" t="s">
        <v>15</v>
      </c>
      <c r="M1" s="5" t="s">
        <v>66</v>
      </c>
      <c r="N1" s="6" t="s">
        <v>67</v>
      </c>
    </row>
    <row r="2" spans="1:14" x14ac:dyDescent="0.2">
      <c r="A2" s="1">
        <v>1</v>
      </c>
      <c r="B2" s="20" t="s">
        <v>10</v>
      </c>
      <c r="C2" s="20" t="s">
        <v>135</v>
      </c>
      <c r="D2" s="20" t="s">
        <v>136</v>
      </c>
      <c r="E2" s="20" t="s">
        <v>137</v>
      </c>
      <c r="F2" s="20" t="s">
        <v>91</v>
      </c>
      <c r="G2" s="20" t="s">
        <v>94</v>
      </c>
      <c r="H2" s="1" t="s">
        <v>139</v>
      </c>
      <c r="I2" s="16">
        <v>100</v>
      </c>
      <c r="J2" s="1" t="str">
        <f>IF(I2=100,"Capacity unknown","")</f>
        <v>Capacity unknown</v>
      </c>
      <c r="K2" s="1">
        <f>INDEX(Nodes!$A:$A,MATCH(Arcs!F2,Nodes!$B:$B,0))</f>
        <v>23</v>
      </c>
      <c r="L2" s="1">
        <f>INDEX(Nodes!$A:$A,MATCH(Arcs!G2,Nodes!$B:$B,0))</f>
        <v>26</v>
      </c>
      <c r="M2" s="2">
        <v>1</v>
      </c>
      <c r="N2" s="3">
        <v>1</v>
      </c>
    </row>
    <row r="3" spans="1:14" x14ac:dyDescent="0.2">
      <c r="A3" s="1">
        <v>2</v>
      </c>
      <c r="B3" s="20" t="s">
        <v>140</v>
      </c>
      <c r="C3" s="20" t="s">
        <v>135</v>
      </c>
      <c r="D3" s="20" t="s">
        <v>136</v>
      </c>
      <c r="E3" s="20" t="s">
        <v>141</v>
      </c>
      <c r="F3" s="20" t="s">
        <v>82</v>
      </c>
      <c r="G3" s="20" t="s">
        <v>81</v>
      </c>
      <c r="H3" s="1" t="s">
        <v>142</v>
      </c>
      <c r="I3" s="1">
        <v>5</v>
      </c>
      <c r="J3" s="1" t="str">
        <f t="shared" ref="J3:J50" si="0">IF(I3=100,"Capacity unknown","")</f>
        <v/>
      </c>
      <c r="K3" s="1">
        <f>INDEX(Nodes!$A:$A,MATCH(Arcs!F3,Nodes!$B:$B,0))</f>
        <v>10</v>
      </c>
      <c r="L3" s="1">
        <f>INDEX(Nodes!$A:$A,MATCH(Arcs!G3,Nodes!$B:$B,0))</f>
        <v>9</v>
      </c>
      <c r="M3" s="2">
        <v>1</v>
      </c>
      <c r="N3" s="3">
        <v>1</v>
      </c>
    </row>
    <row r="4" spans="1:14" x14ac:dyDescent="0.2">
      <c r="A4" s="1">
        <v>3</v>
      </c>
      <c r="B4" s="20" t="s">
        <v>70</v>
      </c>
      <c r="C4" s="20" t="s">
        <v>143</v>
      </c>
      <c r="D4" s="20" t="s">
        <v>136</v>
      </c>
      <c r="E4" s="20" t="s">
        <v>144</v>
      </c>
      <c r="F4" s="20" t="s">
        <v>258</v>
      </c>
      <c r="G4" s="20" t="s">
        <v>259</v>
      </c>
      <c r="H4" s="1" t="s">
        <v>145</v>
      </c>
      <c r="I4" s="1">
        <v>70</v>
      </c>
      <c r="J4" s="1" t="str">
        <f t="shared" si="0"/>
        <v/>
      </c>
      <c r="K4" s="1">
        <f>INDEX(Nodes!$A:$A,MATCH(Arcs!F4,Nodes!$B:$B,0))</f>
        <v>15</v>
      </c>
      <c r="L4" s="1">
        <f>INDEX(Nodes!$A:$A,MATCH(Arcs!G4,Nodes!$B:$B,0))</f>
        <v>33</v>
      </c>
      <c r="M4" s="2">
        <v>1</v>
      </c>
      <c r="N4" s="3">
        <v>1</v>
      </c>
    </row>
    <row r="5" spans="1:14" x14ac:dyDescent="0.2">
      <c r="A5" s="1">
        <v>4</v>
      </c>
      <c r="B5" s="20" t="s">
        <v>12</v>
      </c>
      <c r="C5" s="20" t="s">
        <v>143</v>
      </c>
      <c r="D5" s="20" t="s">
        <v>136</v>
      </c>
      <c r="E5" s="20" t="s">
        <v>146</v>
      </c>
      <c r="F5" s="20" t="s">
        <v>108</v>
      </c>
      <c r="G5" s="21" t="s">
        <v>120</v>
      </c>
      <c r="H5" s="1" t="s">
        <v>147</v>
      </c>
      <c r="I5" s="1">
        <v>46</v>
      </c>
      <c r="J5" s="1" t="str">
        <f t="shared" si="0"/>
        <v/>
      </c>
      <c r="K5" s="1">
        <f>INDEX(Nodes!$A:$A,MATCH(Arcs!F5,Nodes!$B:$B,0))</f>
        <v>41</v>
      </c>
      <c r="L5" s="1">
        <f>INDEX(Nodes!$A:$A,MATCH(Arcs!G5,Nodes!$B:$B,0))</f>
        <v>53</v>
      </c>
      <c r="M5" s="2">
        <v>1</v>
      </c>
      <c r="N5" s="3">
        <v>1</v>
      </c>
    </row>
    <row r="6" spans="1:14" x14ac:dyDescent="0.2">
      <c r="A6" s="1">
        <v>5</v>
      </c>
      <c r="B6" s="20" t="s">
        <v>12</v>
      </c>
      <c r="C6" s="20" t="s">
        <v>143</v>
      </c>
      <c r="D6" s="20" t="s">
        <v>136</v>
      </c>
      <c r="E6" s="20" t="s">
        <v>146</v>
      </c>
      <c r="F6" s="21" t="s">
        <v>120</v>
      </c>
      <c r="G6" s="20" t="s">
        <v>122</v>
      </c>
      <c r="H6" s="1" t="s">
        <v>148</v>
      </c>
      <c r="I6" s="1">
        <v>46</v>
      </c>
      <c r="J6" s="1" t="str">
        <f t="shared" si="0"/>
        <v/>
      </c>
      <c r="K6" s="1">
        <f>INDEX(Nodes!$A:$A,MATCH(Arcs!F6,Nodes!$B:$B,0))</f>
        <v>53</v>
      </c>
      <c r="L6" s="1">
        <f>INDEX(Nodes!$A:$A,MATCH(Arcs!G6,Nodes!$B:$B,0))</f>
        <v>55</v>
      </c>
      <c r="M6" s="2">
        <v>1</v>
      </c>
      <c r="N6" s="3">
        <v>1</v>
      </c>
    </row>
    <row r="7" spans="1:14" x14ac:dyDescent="0.2">
      <c r="A7" s="1">
        <v>6</v>
      </c>
      <c r="B7" s="20" t="s">
        <v>13</v>
      </c>
      <c r="C7" s="20" t="s">
        <v>143</v>
      </c>
      <c r="D7" s="20" t="s">
        <v>136</v>
      </c>
      <c r="E7" s="20" t="s">
        <v>149</v>
      </c>
      <c r="F7" s="20" t="s">
        <v>259</v>
      </c>
      <c r="G7" s="20" t="s">
        <v>122</v>
      </c>
      <c r="H7" s="1" t="s">
        <v>150</v>
      </c>
      <c r="I7" s="1">
        <v>71</v>
      </c>
      <c r="J7" s="1" t="str">
        <f t="shared" si="0"/>
        <v/>
      </c>
      <c r="K7" s="1">
        <f>INDEX(Nodes!$A:$A,MATCH(Arcs!F7,Nodes!$B:$B,0))</f>
        <v>33</v>
      </c>
      <c r="L7" s="1">
        <f>INDEX(Nodes!$A:$A,MATCH(Arcs!G7,Nodes!$B:$B,0))</f>
        <v>55</v>
      </c>
      <c r="M7" s="2">
        <v>1</v>
      </c>
      <c r="N7" s="3">
        <v>1</v>
      </c>
    </row>
    <row r="8" spans="1:14" x14ac:dyDescent="0.2">
      <c r="A8" s="1">
        <v>7</v>
      </c>
      <c r="B8" s="20" t="s">
        <v>11</v>
      </c>
      <c r="C8" s="20" t="s">
        <v>143</v>
      </c>
      <c r="D8" s="20" t="s">
        <v>136</v>
      </c>
      <c r="E8" s="20" t="s">
        <v>151</v>
      </c>
      <c r="F8" s="20" t="s">
        <v>108</v>
      </c>
      <c r="G8" s="20" t="s">
        <v>124</v>
      </c>
      <c r="H8" s="1" t="s">
        <v>152</v>
      </c>
      <c r="I8" s="1">
        <v>55</v>
      </c>
      <c r="J8" s="1" t="str">
        <f t="shared" si="0"/>
        <v/>
      </c>
      <c r="K8" s="1">
        <f>INDEX(Nodes!$A:$A,MATCH(Arcs!F8,Nodes!$B:$B,0))</f>
        <v>41</v>
      </c>
      <c r="L8" s="1">
        <f>INDEX(Nodes!$A:$A,MATCH(Arcs!G8,Nodes!$B:$B,0))</f>
        <v>57</v>
      </c>
      <c r="M8" s="2">
        <v>1</v>
      </c>
      <c r="N8" s="3">
        <v>1</v>
      </c>
    </row>
    <row r="9" spans="1:14" x14ac:dyDescent="0.2">
      <c r="A9" s="1">
        <v>8</v>
      </c>
      <c r="B9" s="20" t="s">
        <v>235</v>
      </c>
      <c r="C9" s="20" t="s">
        <v>143</v>
      </c>
      <c r="D9" s="20" t="s">
        <v>136</v>
      </c>
      <c r="E9" s="20" t="s">
        <v>153</v>
      </c>
      <c r="F9" s="20" t="s">
        <v>236</v>
      </c>
      <c r="G9" s="20" t="s">
        <v>93</v>
      </c>
      <c r="H9" s="1" t="s">
        <v>154</v>
      </c>
      <c r="I9" s="1">
        <v>27</v>
      </c>
      <c r="J9" s="1" t="str">
        <f t="shared" si="0"/>
        <v/>
      </c>
      <c r="K9" s="1">
        <f>INDEX(Nodes!$A:$A,MATCH(Arcs!F9,Nodes!$B:$B,0))</f>
        <v>19</v>
      </c>
      <c r="L9" s="1">
        <f>INDEX(Nodes!$A:$A,MATCH(Arcs!G9,Nodes!$B:$B,0))</f>
        <v>25</v>
      </c>
      <c r="M9" s="2">
        <v>1</v>
      </c>
      <c r="N9" s="3">
        <v>1</v>
      </c>
    </row>
    <row r="10" spans="1:14" x14ac:dyDescent="0.2">
      <c r="A10" s="1">
        <v>9</v>
      </c>
      <c r="B10" s="20" t="s">
        <v>7</v>
      </c>
      <c r="C10" s="20" t="s">
        <v>143</v>
      </c>
      <c r="D10" s="20" t="s">
        <v>136</v>
      </c>
      <c r="E10" s="20" t="s">
        <v>155</v>
      </c>
      <c r="F10" s="20" t="s">
        <v>86</v>
      </c>
      <c r="G10" s="20" t="s">
        <v>107</v>
      </c>
      <c r="H10" s="1" t="s">
        <v>156</v>
      </c>
      <c r="I10" s="1">
        <v>75</v>
      </c>
      <c r="J10" s="1" t="str">
        <f t="shared" si="0"/>
        <v/>
      </c>
      <c r="K10" s="1">
        <f>INDEX(Nodes!$A:$A,MATCH(Arcs!F10,Nodes!$B:$B,0))</f>
        <v>14</v>
      </c>
      <c r="L10" s="1">
        <f>INDEX(Nodes!$A:$A,MATCH(Arcs!G10,Nodes!$B:$B,0))</f>
        <v>40</v>
      </c>
      <c r="M10" s="2">
        <v>1</v>
      </c>
      <c r="N10" s="3">
        <v>1</v>
      </c>
    </row>
    <row r="11" spans="1:14" x14ac:dyDescent="0.2">
      <c r="A11" s="1">
        <v>10</v>
      </c>
      <c r="B11" s="20" t="s">
        <v>7</v>
      </c>
      <c r="C11" s="20" t="s">
        <v>143</v>
      </c>
      <c r="D11" s="20" t="s">
        <v>136</v>
      </c>
      <c r="E11" s="20" t="s">
        <v>157</v>
      </c>
      <c r="F11" s="20" t="s">
        <v>107</v>
      </c>
      <c r="G11" s="20" t="s">
        <v>121</v>
      </c>
      <c r="H11" s="1" t="s">
        <v>158</v>
      </c>
      <c r="I11" s="1">
        <v>72</v>
      </c>
      <c r="J11" s="1" t="str">
        <f t="shared" si="0"/>
        <v/>
      </c>
      <c r="K11" s="1">
        <f>INDEX(Nodes!$A:$A,MATCH(Arcs!F11,Nodes!$B:$B,0))</f>
        <v>40</v>
      </c>
      <c r="L11" s="1">
        <f>INDEX(Nodes!$A:$A,MATCH(Arcs!G11,Nodes!$B:$B,0))</f>
        <v>54</v>
      </c>
      <c r="M11" s="2">
        <v>1</v>
      </c>
      <c r="N11" s="3">
        <v>1</v>
      </c>
    </row>
    <row r="12" spans="1:14" x14ac:dyDescent="0.2">
      <c r="A12" s="1">
        <v>11</v>
      </c>
      <c r="B12" s="20" t="s">
        <v>159</v>
      </c>
      <c r="C12" s="20" t="s">
        <v>143</v>
      </c>
      <c r="D12" s="20" t="s">
        <v>136</v>
      </c>
      <c r="E12" s="20" t="s">
        <v>160</v>
      </c>
      <c r="F12" s="20" t="s">
        <v>77</v>
      </c>
      <c r="G12" s="20" t="s">
        <v>80</v>
      </c>
      <c r="H12" s="1" t="s">
        <v>161</v>
      </c>
      <c r="I12" s="1">
        <v>7</v>
      </c>
      <c r="J12" s="1" t="str">
        <f t="shared" si="0"/>
        <v/>
      </c>
      <c r="K12" s="1">
        <f>INDEX(Nodes!$A:$A,MATCH(Arcs!F12,Nodes!$B:$B,0))</f>
        <v>4</v>
      </c>
      <c r="L12" s="1">
        <f>INDEX(Nodes!$A:$A,MATCH(Arcs!G12,Nodes!$B:$B,0))</f>
        <v>8</v>
      </c>
      <c r="M12" s="2">
        <v>1</v>
      </c>
      <c r="N12" s="3">
        <v>1</v>
      </c>
    </row>
    <row r="13" spans="1:14" x14ac:dyDescent="0.2">
      <c r="A13" s="1">
        <v>12</v>
      </c>
      <c r="B13" s="20" t="s">
        <v>162</v>
      </c>
      <c r="C13" s="20" t="s">
        <v>143</v>
      </c>
      <c r="D13" s="20" t="s">
        <v>136</v>
      </c>
      <c r="E13" s="20" t="s">
        <v>163</v>
      </c>
      <c r="F13" s="20" t="s">
        <v>113</v>
      </c>
      <c r="G13" s="20" t="s">
        <v>112</v>
      </c>
      <c r="H13" s="1" t="s">
        <v>164</v>
      </c>
      <c r="I13" s="1">
        <v>32</v>
      </c>
      <c r="J13" s="1" t="str">
        <f t="shared" si="0"/>
        <v/>
      </c>
      <c r="K13" s="1">
        <f>INDEX(Nodes!$A:$A,MATCH(Arcs!F13,Nodes!$B:$B,0))</f>
        <v>46</v>
      </c>
      <c r="L13" s="1">
        <f>INDEX(Nodes!$A:$A,MATCH(Arcs!G13,Nodes!$B:$B,0))</f>
        <v>45</v>
      </c>
      <c r="M13" s="2">
        <v>1</v>
      </c>
      <c r="N13" s="3">
        <v>1</v>
      </c>
    </row>
    <row r="14" spans="1:14" x14ac:dyDescent="0.2">
      <c r="A14" s="1">
        <v>13</v>
      </c>
      <c r="B14" s="20" t="s">
        <v>162</v>
      </c>
      <c r="C14" s="20" t="s">
        <v>143</v>
      </c>
      <c r="D14" s="20" t="s">
        <v>136</v>
      </c>
      <c r="E14" s="20" t="s">
        <v>165</v>
      </c>
      <c r="F14" s="20" t="s">
        <v>113</v>
      </c>
      <c r="G14" s="20" t="s">
        <v>115</v>
      </c>
      <c r="H14" s="1" t="s">
        <v>166</v>
      </c>
      <c r="I14" s="1">
        <v>32</v>
      </c>
      <c r="J14" s="1" t="str">
        <f t="shared" si="0"/>
        <v/>
      </c>
      <c r="K14" s="1">
        <f>INDEX(Nodes!$A:$A,MATCH(Arcs!F14,Nodes!$B:$B,0))</f>
        <v>46</v>
      </c>
      <c r="L14" s="1">
        <f>INDEX(Nodes!$A:$A,MATCH(Arcs!G14,Nodes!$B:$B,0))</f>
        <v>48</v>
      </c>
      <c r="M14" s="2">
        <v>1</v>
      </c>
      <c r="N14" s="3">
        <v>1</v>
      </c>
    </row>
    <row r="15" spans="1:14" x14ac:dyDescent="0.2">
      <c r="A15" s="1">
        <v>14</v>
      </c>
      <c r="B15" s="20" t="s">
        <v>162</v>
      </c>
      <c r="C15" s="20" t="s">
        <v>143</v>
      </c>
      <c r="D15" s="20" t="s">
        <v>136</v>
      </c>
      <c r="E15" s="20" t="s">
        <v>165</v>
      </c>
      <c r="F15" s="20" t="s">
        <v>115</v>
      </c>
      <c r="G15" s="20" t="s">
        <v>118</v>
      </c>
      <c r="H15" s="1" t="s">
        <v>167</v>
      </c>
      <c r="I15" s="1">
        <v>32</v>
      </c>
      <c r="J15" s="1" t="str">
        <f t="shared" si="0"/>
        <v/>
      </c>
      <c r="K15" s="1">
        <f>INDEX(Nodes!$A:$A,MATCH(Arcs!F15,Nodes!$B:$B,0))</f>
        <v>48</v>
      </c>
      <c r="L15" s="1">
        <f>INDEX(Nodes!$A:$A,MATCH(Arcs!G15,Nodes!$B:$B,0))</f>
        <v>51</v>
      </c>
      <c r="M15" s="2">
        <v>1</v>
      </c>
      <c r="N15" s="3">
        <v>1</v>
      </c>
    </row>
    <row r="16" spans="1:14" x14ac:dyDescent="0.2">
      <c r="A16" s="1">
        <v>15</v>
      </c>
      <c r="B16" s="20" t="s">
        <v>162</v>
      </c>
      <c r="C16" s="20" t="s">
        <v>143</v>
      </c>
      <c r="D16" s="20" t="s">
        <v>136</v>
      </c>
      <c r="E16" s="20" t="s">
        <v>165</v>
      </c>
      <c r="F16" s="20" t="s">
        <v>118</v>
      </c>
      <c r="G16" s="20" t="s">
        <v>122</v>
      </c>
      <c r="H16" s="1" t="s">
        <v>168</v>
      </c>
      <c r="I16" s="1">
        <v>32</v>
      </c>
      <c r="J16" s="1" t="str">
        <f t="shared" si="0"/>
        <v/>
      </c>
      <c r="K16" s="1">
        <f>INDEX(Nodes!$A:$A,MATCH(Arcs!F16,Nodes!$B:$B,0))</f>
        <v>51</v>
      </c>
      <c r="L16" s="1">
        <f>INDEX(Nodes!$A:$A,MATCH(Arcs!G16,Nodes!$B:$B,0))</f>
        <v>55</v>
      </c>
      <c r="M16" s="2">
        <v>1</v>
      </c>
      <c r="N16" s="3">
        <v>1</v>
      </c>
    </row>
    <row r="17" spans="1:14" x14ac:dyDescent="0.2">
      <c r="A17" s="1">
        <v>16</v>
      </c>
      <c r="B17" s="20" t="s">
        <v>169</v>
      </c>
      <c r="C17" s="20" t="s">
        <v>143</v>
      </c>
      <c r="D17" s="20" t="s">
        <v>136</v>
      </c>
      <c r="E17" s="20" t="s">
        <v>170</v>
      </c>
      <c r="F17" s="20" t="s">
        <v>96</v>
      </c>
      <c r="G17" s="20" t="s">
        <v>98</v>
      </c>
      <c r="H17" s="1" t="s">
        <v>171</v>
      </c>
      <c r="I17" s="1">
        <v>35</v>
      </c>
      <c r="J17" s="1" t="str">
        <f t="shared" si="0"/>
        <v/>
      </c>
      <c r="K17" s="1">
        <f>INDEX(Nodes!$A:$A,MATCH(Arcs!F17,Nodes!$B:$B,0))</f>
        <v>28</v>
      </c>
      <c r="L17" s="1">
        <f>INDEX(Nodes!$A:$A,MATCH(Arcs!G17,Nodes!$B:$B,0))</f>
        <v>30</v>
      </c>
      <c r="M17" s="2">
        <v>1</v>
      </c>
      <c r="N17" s="3">
        <v>1</v>
      </c>
    </row>
    <row r="18" spans="1:14" x14ac:dyDescent="0.2">
      <c r="A18" s="1">
        <v>17</v>
      </c>
      <c r="B18" s="20" t="s">
        <v>10</v>
      </c>
      <c r="C18" s="20" t="s">
        <v>143</v>
      </c>
      <c r="D18" s="20" t="s">
        <v>136</v>
      </c>
      <c r="E18" s="20" t="s">
        <v>172</v>
      </c>
      <c r="F18" s="20" t="s">
        <v>88</v>
      </c>
      <c r="G18" s="20" t="s">
        <v>259</v>
      </c>
      <c r="H18" s="1" t="s">
        <v>173</v>
      </c>
      <c r="I18" s="1">
        <v>25</v>
      </c>
      <c r="J18" s="1" t="str">
        <f t="shared" si="0"/>
        <v/>
      </c>
      <c r="K18" s="1">
        <f>INDEX(Nodes!$A:$A,MATCH(Arcs!F18,Nodes!$B:$B,0))</f>
        <v>18</v>
      </c>
      <c r="L18" s="1">
        <f>INDEX(Nodes!$A:$A,MATCH(Arcs!G18,Nodes!$B:$B,0))</f>
        <v>33</v>
      </c>
      <c r="M18" s="2">
        <v>1</v>
      </c>
      <c r="N18" s="3">
        <v>1</v>
      </c>
    </row>
    <row r="19" spans="1:14" x14ac:dyDescent="0.2">
      <c r="A19" s="1">
        <v>18</v>
      </c>
      <c r="B19" s="20" t="s">
        <v>10</v>
      </c>
      <c r="C19" s="20" t="s">
        <v>143</v>
      </c>
      <c r="D19" s="20" t="s">
        <v>136</v>
      </c>
      <c r="E19" s="20" t="s">
        <v>174</v>
      </c>
      <c r="F19" s="20" t="s">
        <v>99</v>
      </c>
      <c r="G19" s="20" t="s">
        <v>109</v>
      </c>
      <c r="H19" s="1" t="s">
        <v>175</v>
      </c>
      <c r="I19" s="1">
        <v>10</v>
      </c>
      <c r="J19" s="1" t="str">
        <f t="shared" si="0"/>
        <v/>
      </c>
      <c r="K19" s="1">
        <f>INDEX(Nodes!$A:$A,MATCH(Arcs!F19,Nodes!$B:$B,0))</f>
        <v>31</v>
      </c>
      <c r="L19" s="1">
        <f>INDEX(Nodes!$A:$A,MATCH(Arcs!G19,Nodes!$B:$B,0))</f>
        <v>42</v>
      </c>
      <c r="M19" s="2">
        <v>1</v>
      </c>
      <c r="N19" s="3">
        <v>1</v>
      </c>
    </row>
    <row r="20" spans="1:14" x14ac:dyDescent="0.2">
      <c r="A20" s="1">
        <v>19</v>
      </c>
      <c r="B20" s="20" t="s">
        <v>10</v>
      </c>
      <c r="C20" s="20" t="s">
        <v>143</v>
      </c>
      <c r="D20" s="20" t="s">
        <v>136</v>
      </c>
      <c r="E20" s="20" t="s">
        <v>174</v>
      </c>
      <c r="F20" s="20" t="s">
        <v>259</v>
      </c>
      <c r="G20" s="20" t="s">
        <v>109</v>
      </c>
      <c r="H20" s="1" t="s">
        <v>176</v>
      </c>
      <c r="I20" s="1">
        <v>21</v>
      </c>
      <c r="J20" s="1" t="str">
        <f t="shared" si="0"/>
        <v/>
      </c>
      <c r="K20" s="1">
        <f>INDEX(Nodes!$A:$A,MATCH(Arcs!F20,Nodes!$B:$B,0))</f>
        <v>33</v>
      </c>
      <c r="L20" s="1">
        <f>INDEX(Nodes!$A:$A,MATCH(Arcs!G20,Nodes!$B:$B,0))</f>
        <v>42</v>
      </c>
      <c r="M20" s="2">
        <v>1</v>
      </c>
      <c r="N20" s="3">
        <v>1</v>
      </c>
    </row>
    <row r="21" spans="1:14" x14ac:dyDescent="0.2">
      <c r="A21" s="1">
        <v>20</v>
      </c>
      <c r="B21" s="20" t="s">
        <v>10</v>
      </c>
      <c r="C21" s="20" t="s">
        <v>143</v>
      </c>
      <c r="D21" s="20" t="s">
        <v>136</v>
      </c>
      <c r="E21" s="20" t="s">
        <v>174</v>
      </c>
      <c r="F21" s="20" t="s">
        <v>109</v>
      </c>
      <c r="G21" s="20" t="s">
        <v>113</v>
      </c>
      <c r="H21" s="1" t="s">
        <v>177</v>
      </c>
      <c r="I21" s="1">
        <v>30</v>
      </c>
      <c r="J21" s="1" t="str">
        <f t="shared" si="0"/>
        <v/>
      </c>
      <c r="K21" s="1">
        <f>INDEX(Nodes!$A:$A,MATCH(Arcs!F21,Nodes!$B:$B,0))</f>
        <v>42</v>
      </c>
      <c r="L21" s="1">
        <f>INDEX(Nodes!$A:$A,MATCH(Arcs!G21,Nodes!$B:$B,0))</f>
        <v>46</v>
      </c>
      <c r="M21" s="2">
        <v>1</v>
      </c>
      <c r="N21" s="3">
        <v>1</v>
      </c>
    </row>
    <row r="22" spans="1:14" x14ac:dyDescent="0.2">
      <c r="A22" s="1">
        <v>21</v>
      </c>
      <c r="B22" s="20" t="s">
        <v>10</v>
      </c>
      <c r="C22" s="20" t="s">
        <v>143</v>
      </c>
      <c r="D22" s="20" t="s">
        <v>136</v>
      </c>
      <c r="E22" s="20" t="s">
        <v>172</v>
      </c>
      <c r="F22" s="20" t="s">
        <v>87</v>
      </c>
      <c r="G22" s="20" t="s">
        <v>88</v>
      </c>
      <c r="H22" s="1" t="s">
        <v>178</v>
      </c>
      <c r="I22" s="1">
        <v>25</v>
      </c>
      <c r="J22" s="1" t="str">
        <f t="shared" si="0"/>
        <v/>
      </c>
      <c r="K22" s="1">
        <f>INDEX(Nodes!$A:$A,MATCH(Arcs!F22,Nodes!$B:$B,0))</f>
        <v>17</v>
      </c>
      <c r="L22" s="1">
        <f>INDEX(Nodes!$A:$A,MATCH(Arcs!G22,Nodes!$B:$B,0))</f>
        <v>18</v>
      </c>
      <c r="M22" s="2">
        <v>1</v>
      </c>
      <c r="N22" s="3">
        <v>1</v>
      </c>
    </row>
    <row r="23" spans="1:14" x14ac:dyDescent="0.2">
      <c r="A23" s="1">
        <v>22</v>
      </c>
      <c r="B23" s="20" t="s">
        <v>5</v>
      </c>
      <c r="C23" s="20" t="s">
        <v>143</v>
      </c>
      <c r="D23" s="20" t="s">
        <v>136</v>
      </c>
      <c r="E23" s="20" t="s">
        <v>179</v>
      </c>
      <c r="F23" s="20" t="s">
        <v>87</v>
      </c>
      <c r="G23" s="20" t="s">
        <v>90</v>
      </c>
      <c r="H23" s="1" t="s">
        <v>180</v>
      </c>
      <c r="I23" s="1">
        <v>13.5</v>
      </c>
      <c r="J23" s="1" t="str">
        <f t="shared" si="0"/>
        <v/>
      </c>
      <c r="K23" s="1">
        <f>INDEX(Nodes!$A:$A,MATCH(Arcs!F23,Nodes!$B:$B,0))</f>
        <v>17</v>
      </c>
      <c r="L23" s="1">
        <f>INDEX(Nodes!$A:$A,MATCH(Arcs!G23,Nodes!$B:$B,0))</f>
        <v>21</v>
      </c>
      <c r="M23" s="2">
        <v>1</v>
      </c>
      <c r="N23" s="3">
        <v>1</v>
      </c>
    </row>
    <row r="24" spans="1:14" x14ac:dyDescent="0.2">
      <c r="A24" s="1">
        <v>23</v>
      </c>
      <c r="B24" s="20" t="s">
        <v>6</v>
      </c>
      <c r="C24" s="20" t="s">
        <v>143</v>
      </c>
      <c r="D24" s="20" t="s">
        <v>136</v>
      </c>
      <c r="E24" s="20" t="s">
        <v>170</v>
      </c>
      <c r="F24" s="20" t="s">
        <v>98</v>
      </c>
      <c r="G24" s="20" t="s">
        <v>111</v>
      </c>
      <c r="H24" s="1" t="s">
        <v>181</v>
      </c>
      <c r="I24" s="1">
        <v>39</v>
      </c>
      <c r="J24" s="1" t="str">
        <f t="shared" si="0"/>
        <v/>
      </c>
      <c r="K24" s="1">
        <f>INDEX(Nodes!$A:$A,MATCH(Arcs!F24,Nodes!$B:$B,0))</f>
        <v>30</v>
      </c>
      <c r="L24" s="1">
        <f>INDEX(Nodes!$A:$A,MATCH(Arcs!G24,Nodes!$B:$B,0))</f>
        <v>44</v>
      </c>
      <c r="M24" s="2">
        <v>1</v>
      </c>
      <c r="N24" s="3">
        <v>1</v>
      </c>
    </row>
    <row r="25" spans="1:14" x14ac:dyDescent="0.2">
      <c r="A25" s="1">
        <v>24</v>
      </c>
      <c r="B25" s="20" t="s">
        <v>182</v>
      </c>
      <c r="C25" s="20" t="s">
        <v>143</v>
      </c>
      <c r="D25" s="20" t="s">
        <v>136</v>
      </c>
      <c r="E25" s="20" t="s">
        <v>183</v>
      </c>
      <c r="F25" s="20" t="s">
        <v>107</v>
      </c>
      <c r="G25" s="20" t="s">
        <v>116</v>
      </c>
      <c r="H25" s="1" t="s">
        <v>184</v>
      </c>
      <c r="I25" s="1">
        <v>55</v>
      </c>
      <c r="J25" s="1" t="str">
        <f t="shared" si="0"/>
        <v/>
      </c>
      <c r="K25" s="1">
        <f>INDEX(Nodes!$A:$A,MATCH(Arcs!F25,Nodes!$B:$B,0))</f>
        <v>40</v>
      </c>
      <c r="L25" s="1">
        <f>INDEX(Nodes!$A:$A,MATCH(Arcs!G25,Nodes!$B:$B,0))</f>
        <v>49</v>
      </c>
      <c r="M25" s="2">
        <v>1</v>
      </c>
      <c r="N25" s="3">
        <v>1</v>
      </c>
    </row>
    <row r="26" spans="1:14" x14ac:dyDescent="0.2">
      <c r="A26" s="1">
        <v>25</v>
      </c>
      <c r="B26" s="20" t="s">
        <v>182</v>
      </c>
      <c r="C26" s="20" t="s">
        <v>143</v>
      </c>
      <c r="D26" s="20" t="s">
        <v>136</v>
      </c>
      <c r="E26" s="20" t="s">
        <v>183</v>
      </c>
      <c r="F26" s="20" t="s">
        <v>116</v>
      </c>
      <c r="G26" s="20" t="s">
        <v>123</v>
      </c>
      <c r="H26" s="1" t="s">
        <v>185</v>
      </c>
      <c r="I26" s="1">
        <v>42</v>
      </c>
      <c r="J26" s="1" t="str">
        <f t="shared" si="0"/>
        <v/>
      </c>
      <c r="K26" s="1">
        <f>INDEX(Nodes!$A:$A,MATCH(Arcs!F26,Nodes!$B:$B,0))</f>
        <v>49</v>
      </c>
      <c r="L26" s="1">
        <f>INDEX(Nodes!$A:$A,MATCH(Arcs!G26,Nodes!$B:$B,0))</f>
        <v>56</v>
      </c>
      <c r="M26" s="2">
        <v>1</v>
      </c>
      <c r="N26" s="3">
        <v>1</v>
      </c>
    </row>
    <row r="27" spans="1:14" x14ac:dyDescent="0.2">
      <c r="A27" s="1">
        <v>26</v>
      </c>
      <c r="B27" s="20" t="s">
        <v>8</v>
      </c>
      <c r="C27" s="20" t="s">
        <v>143</v>
      </c>
      <c r="D27" s="20" t="s">
        <v>136</v>
      </c>
      <c r="E27" s="20" t="s">
        <v>186</v>
      </c>
      <c r="F27" s="20" t="s">
        <v>93</v>
      </c>
      <c r="G27" s="20" t="s">
        <v>107</v>
      </c>
      <c r="H27" s="1" t="s">
        <v>187</v>
      </c>
      <c r="I27" s="1">
        <v>74</v>
      </c>
      <c r="J27" s="1" t="str">
        <f t="shared" si="0"/>
        <v/>
      </c>
      <c r="K27" s="1">
        <f>INDEX(Nodes!$A:$A,MATCH(Arcs!F27,Nodes!$B:$B,0))</f>
        <v>25</v>
      </c>
      <c r="L27" s="1">
        <f>INDEX(Nodes!$A:$A,MATCH(Arcs!G27,Nodes!$B:$B,0))</f>
        <v>40</v>
      </c>
      <c r="M27" s="2">
        <v>1</v>
      </c>
      <c r="N27" s="3">
        <v>1</v>
      </c>
    </row>
    <row r="28" spans="1:14" x14ac:dyDescent="0.2">
      <c r="A28" s="1">
        <v>27</v>
      </c>
      <c r="B28" s="20" t="s">
        <v>9</v>
      </c>
      <c r="C28" s="20" t="s">
        <v>143</v>
      </c>
      <c r="D28" s="20" t="s">
        <v>136</v>
      </c>
      <c r="E28" s="20" t="s">
        <v>188</v>
      </c>
      <c r="F28" s="20" t="s">
        <v>93</v>
      </c>
      <c r="G28" s="20" t="s">
        <v>108</v>
      </c>
      <c r="H28" s="1" t="s">
        <v>189</v>
      </c>
      <c r="I28" s="1">
        <v>73</v>
      </c>
      <c r="J28" s="1" t="str">
        <f t="shared" si="0"/>
        <v/>
      </c>
      <c r="K28" s="1">
        <f>INDEX(Nodes!$A:$A,MATCH(Arcs!F28,Nodes!$B:$B,0))</f>
        <v>25</v>
      </c>
      <c r="L28" s="1">
        <f>INDEX(Nodes!$A:$A,MATCH(Arcs!G28,Nodes!$B:$B,0))</f>
        <v>41</v>
      </c>
      <c r="M28" s="2">
        <v>1</v>
      </c>
      <c r="N28" s="3">
        <v>1</v>
      </c>
    </row>
    <row r="29" spans="1:14" x14ac:dyDescent="0.2">
      <c r="A29" s="1">
        <v>28</v>
      </c>
      <c r="B29" s="20" t="s">
        <v>237</v>
      </c>
      <c r="C29" s="20" t="s">
        <v>143</v>
      </c>
      <c r="D29" s="20" t="s">
        <v>136</v>
      </c>
      <c r="E29" s="20" t="s">
        <v>190</v>
      </c>
      <c r="F29" s="20" t="s">
        <v>238</v>
      </c>
      <c r="G29" s="20" t="s">
        <v>239</v>
      </c>
      <c r="H29" s="1" t="s">
        <v>191</v>
      </c>
      <c r="I29" s="1">
        <v>17</v>
      </c>
      <c r="J29" s="1" t="str">
        <f t="shared" si="0"/>
        <v/>
      </c>
      <c r="K29" s="1">
        <f>INDEX(Nodes!$A:$A,MATCH(Arcs!F29,Nodes!$B:$B,0))</f>
        <v>22</v>
      </c>
      <c r="L29" s="1">
        <f>INDEX(Nodes!$A:$A,MATCH(Arcs!G29,Nodes!$B:$B,0))</f>
        <v>16</v>
      </c>
      <c r="M29" s="2">
        <v>1</v>
      </c>
      <c r="N29" s="3">
        <v>1</v>
      </c>
    </row>
    <row r="30" spans="1:14" x14ac:dyDescent="0.2">
      <c r="A30" s="1">
        <v>29</v>
      </c>
      <c r="B30" s="20" t="s">
        <v>240</v>
      </c>
      <c r="C30" s="20" t="s">
        <v>192</v>
      </c>
      <c r="D30" s="20" t="s">
        <v>136</v>
      </c>
      <c r="E30" s="20" t="s">
        <v>193</v>
      </c>
      <c r="F30" s="20" t="s">
        <v>98</v>
      </c>
      <c r="G30" s="20" t="s">
        <v>102</v>
      </c>
      <c r="H30" s="1" t="s">
        <v>194</v>
      </c>
      <c r="I30" s="1">
        <v>10</v>
      </c>
      <c r="J30" s="1" t="str">
        <f t="shared" si="0"/>
        <v/>
      </c>
      <c r="K30" s="1">
        <f>INDEX(Nodes!$A:$A,MATCH(Arcs!F30,Nodes!$B:$B,0))</f>
        <v>30</v>
      </c>
      <c r="L30" s="1">
        <f>INDEX(Nodes!$A:$A,MATCH(Arcs!G30,Nodes!$B:$B,0))</f>
        <v>35</v>
      </c>
      <c r="M30" s="2">
        <v>1</v>
      </c>
      <c r="N30" s="3">
        <v>1</v>
      </c>
    </row>
    <row r="31" spans="1:14" x14ac:dyDescent="0.2">
      <c r="A31" s="1">
        <v>30</v>
      </c>
      <c r="B31" s="20" t="s">
        <v>241</v>
      </c>
      <c r="C31" s="20" t="s">
        <v>192</v>
      </c>
      <c r="D31" s="20" t="s">
        <v>136</v>
      </c>
      <c r="E31" s="20" t="s">
        <v>195</v>
      </c>
      <c r="F31" s="20" t="s">
        <v>103</v>
      </c>
      <c r="G31" s="20" t="s">
        <v>106</v>
      </c>
      <c r="H31" s="1" t="s">
        <v>196</v>
      </c>
      <c r="I31" s="16">
        <v>100</v>
      </c>
      <c r="J31" s="1" t="str">
        <f t="shared" si="0"/>
        <v>Capacity unknown</v>
      </c>
      <c r="K31" s="1">
        <f>INDEX(Nodes!$A:$A,MATCH(Arcs!F31,Nodes!$B:$B,0))</f>
        <v>36</v>
      </c>
      <c r="L31" s="1">
        <f>INDEX(Nodes!$A:$A,MATCH(Arcs!G31,Nodes!$B:$B,0))</f>
        <v>39</v>
      </c>
      <c r="M31" s="2">
        <v>1</v>
      </c>
      <c r="N31" s="3">
        <v>1</v>
      </c>
    </row>
    <row r="32" spans="1:14" x14ac:dyDescent="0.2">
      <c r="A32" s="1">
        <v>31</v>
      </c>
      <c r="B32" s="20" t="s">
        <v>197</v>
      </c>
      <c r="C32" s="20" t="s">
        <v>143</v>
      </c>
      <c r="D32" s="20" t="s">
        <v>136</v>
      </c>
      <c r="E32" s="20" t="s">
        <v>198</v>
      </c>
      <c r="F32" s="20" t="s">
        <v>79</v>
      </c>
      <c r="G32" s="20" t="s">
        <v>85</v>
      </c>
      <c r="H32" s="1" t="s">
        <v>199</v>
      </c>
      <c r="I32" s="1">
        <v>5</v>
      </c>
      <c r="J32" s="1" t="str">
        <f t="shared" si="0"/>
        <v/>
      </c>
      <c r="K32" s="1">
        <f>INDEX(Nodes!$A:$A,MATCH(Arcs!F32,Nodes!$B:$B,0))</f>
        <v>6</v>
      </c>
      <c r="L32" s="1">
        <f>INDEX(Nodes!$A:$A,MATCH(Arcs!G32,Nodes!$B:$B,0))</f>
        <v>13</v>
      </c>
      <c r="M32" s="2">
        <v>1</v>
      </c>
      <c r="N32" s="3">
        <v>1</v>
      </c>
    </row>
    <row r="33" spans="1:14" x14ac:dyDescent="0.2">
      <c r="A33" s="1">
        <v>32</v>
      </c>
      <c r="B33" s="20" t="s">
        <v>200</v>
      </c>
      <c r="C33" s="20" t="s">
        <v>192</v>
      </c>
      <c r="D33" s="20" t="s">
        <v>136</v>
      </c>
      <c r="E33" s="20" t="s">
        <v>160</v>
      </c>
      <c r="F33" s="20" t="s">
        <v>79</v>
      </c>
      <c r="G33" s="20" t="s">
        <v>80</v>
      </c>
      <c r="H33" s="1" t="s">
        <v>201</v>
      </c>
      <c r="I33" s="1">
        <v>11</v>
      </c>
      <c r="J33" s="1" t="str">
        <f t="shared" si="0"/>
        <v/>
      </c>
      <c r="K33" s="1">
        <f>INDEX(Nodes!$A:$A,MATCH(Arcs!F33,Nodes!$B:$B,0))</f>
        <v>6</v>
      </c>
      <c r="L33" s="1">
        <f>INDEX(Nodes!$A:$A,MATCH(Arcs!G33,Nodes!$B:$B,0))</f>
        <v>8</v>
      </c>
      <c r="M33" s="2">
        <v>1</v>
      </c>
      <c r="N33" s="3">
        <v>1</v>
      </c>
    </row>
    <row r="34" spans="1:14" x14ac:dyDescent="0.2">
      <c r="A34" s="1">
        <v>33</v>
      </c>
      <c r="B34" s="20" t="s">
        <v>242</v>
      </c>
      <c r="C34" s="20" t="s">
        <v>192</v>
      </c>
      <c r="D34" s="20" t="s">
        <v>136</v>
      </c>
      <c r="E34" s="20" t="s">
        <v>202</v>
      </c>
      <c r="F34" s="20" t="s">
        <v>101</v>
      </c>
      <c r="G34" s="20" t="s">
        <v>104</v>
      </c>
      <c r="H34" s="1" t="s">
        <v>203</v>
      </c>
      <c r="I34" s="1">
        <v>5</v>
      </c>
      <c r="J34" s="1" t="str">
        <f t="shared" si="0"/>
        <v/>
      </c>
      <c r="K34" s="1">
        <f>INDEX(Nodes!$A:$A,MATCH(Arcs!F34,Nodes!$B:$B,0))</f>
        <v>34</v>
      </c>
      <c r="L34" s="1">
        <f>INDEX(Nodes!$A:$A,MATCH(Arcs!G34,Nodes!$B:$B,0))</f>
        <v>37</v>
      </c>
      <c r="M34" s="2">
        <v>1</v>
      </c>
      <c r="N34" s="3">
        <v>1</v>
      </c>
    </row>
    <row r="35" spans="1:14" x14ac:dyDescent="0.2">
      <c r="A35" s="1">
        <v>34</v>
      </c>
      <c r="B35" s="20" t="s">
        <v>243</v>
      </c>
      <c r="C35" s="20" t="s">
        <v>192</v>
      </c>
      <c r="D35" s="20" t="s">
        <v>136</v>
      </c>
      <c r="E35" s="20" t="s">
        <v>204</v>
      </c>
      <c r="F35" s="20" t="s">
        <v>97</v>
      </c>
      <c r="G35" s="20" t="s">
        <v>95</v>
      </c>
      <c r="H35" s="1" t="s">
        <v>205</v>
      </c>
      <c r="I35" s="16">
        <v>100</v>
      </c>
      <c r="J35" s="1" t="str">
        <f t="shared" si="0"/>
        <v>Capacity unknown</v>
      </c>
      <c r="K35" s="1">
        <f>INDEX(Nodes!$A:$A,MATCH(Arcs!F35,Nodes!$B:$B,0))</f>
        <v>29</v>
      </c>
      <c r="L35" s="1">
        <f>INDEX(Nodes!$A:$A,MATCH(Arcs!G35,Nodes!$B:$B,0))</f>
        <v>27</v>
      </c>
      <c r="M35" s="2">
        <v>1</v>
      </c>
      <c r="N35" s="3">
        <v>1</v>
      </c>
    </row>
    <row r="36" spans="1:14" x14ac:dyDescent="0.2">
      <c r="A36" s="1">
        <v>35</v>
      </c>
      <c r="B36" s="20" t="s">
        <v>206</v>
      </c>
      <c r="C36" s="20" t="s">
        <v>208</v>
      </c>
      <c r="D36" s="20" t="s">
        <v>136</v>
      </c>
      <c r="E36" s="20" t="s">
        <v>155</v>
      </c>
      <c r="F36" s="20" t="s">
        <v>83</v>
      </c>
      <c r="G36" s="20" t="s">
        <v>86</v>
      </c>
      <c r="H36" s="1" t="s">
        <v>209</v>
      </c>
      <c r="I36" s="16">
        <v>100</v>
      </c>
      <c r="J36" s="1" t="str">
        <f t="shared" si="0"/>
        <v>Capacity unknown</v>
      </c>
      <c r="K36" s="1">
        <f>INDEX(Nodes!$A:$A,MATCH(Arcs!F36,Nodes!$B:$B,0))</f>
        <v>11</v>
      </c>
      <c r="L36" s="1">
        <f>INDEX(Nodes!$A:$A,MATCH(Arcs!G36,Nodes!$B:$B,0))</f>
        <v>14</v>
      </c>
      <c r="M36" s="2">
        <v>1</v>
      </c>
      <c r="N36" s="3">
        <v>1</v>
      </c>
    </row>
    <row r="37" spans="1:14" x14ac:dyDescent="0.2">
      <c r="A37" s="1">
        <v>36</v>
      </c>
      <c r="B37" s="20" t="s">
        <v>210</v>
      </c>
      <c r="C37" s="20" t="s">
        <v>208</v>
      </c>
      <c r="D37" s="20" t="s">
        <v>136</v>
      </c>
      <c r="E37" s="20" t="s">
        <v>155</v>
      </c>
      <c r="F37" s="20" t="s">
        <v>84</v>
      </c>
      <c r="G37" s="20" t="s">
        <v>86</v>
      </c>
      <c r="H37" s="1" t="s">
        <v>211</v>
      </c>
      <c r="I37" s="16">
        <v>100</v>
      </c>
      <c r="J37" s="1" t="str">
        <f t="shared" si="0"/>
        <v>Capacity unknown</v>
      </c>
      <c r="K37" s="1">
        <f>INDEX(Nodes!$A:$A,MATCH(Arcs!F37,Nodes!$B:$B,0))</f>
        <v>12</v>
      </c>
      <c r="L37" s="1">
        <f>INDEX(Nodes!$A:$A,MATCH(Arcs!G37,Nodes!$B:$B,0))</f>
        <v>14</v>
      </c>
      <c r="M37" s="2">
        <v>1</v>
      </c>
      <c r="N37" s="3">
        <v>1</v>
      </c>
    </row>
    <row r="38" spans="1:14" x14ac:dyDescent="0.2">
      <c r="A38" s="1">
        <v>37</v>
      </c>
      <c r="B38" s="20" t="s">
        <v>212</v>
      </c>
      <c r="C38" s="20" t="s">
        <v>143</v>
      </c>
      <c r="D38" s="20" t="s">
        <v>136</v>
      </c>
      <c r="E38" s="20" t="s">
        <v>213</v>
      </c>
      <c r="F38" s="20" t="s">
        <v>76</v>
      </c>
      <c r="G38" s="20" t="s">
        <v>86</v>
      </c>
      <c r="H38" s="1" t="s">
        <v>214</v>
      </c>
      <c r="I38" s="1">
        <v>70</v>
      </c>
      <c r="J38" s="1" t="str">
        <f t="shared" si="0"/>
        <v/>
      </c>
      <c r="K38" s="1">
        <f>INDEX(Nodes!$A:$A,MATCH(Arcs!F38,Nodes!$B:$B,0))</f>
        <v>3</v>
      </c>
      <c r="L38" s="1">
        <f>INDEX(Nodes!$A:$A,MATCH(Arcs!G38,Nodes!$B:$B,0))</f>
        <v>14</v>
      </c>
      <c r="M38" s="2">
        <v>1</v>
      </c>
      <c r="N38" s="3">
        <v>1</v>
      </c>
    </row>
    <row r="39" spans="1:14" x14ac:dyDescent="0.2">
      <c r="A39" s="1">
        <v>38</v>
      </c>
      <c r="B39" s="20" t="s">
        <v>244</v>
      </c>
      <c r="C39" s="20" t="s">
        <v>215</v>
      </c>
      <c r="D39" s="20" t="s">
        <v>136</v>
      </c>
      <c r="E39" s="20" t="s">
        <v>216</v>
      </c>
      <c r="F39" s="20" t="s">
        <v>78</v>
      </c>
      <c r="G39" s="20" t="s">
        <v>257</v>
      </c>
      <c r="H39" s="1" t="s">
        <v>217</v>
      </c>
      <c r="I39" s="16">
        <v>100</v>
      </c>
      <c r="J39" s="1" t="str">
        <f t="shared" si="0"/>
        <v>Capacity unknown</v>
      </c>
      <c r="K39" s="1">
        <f>INDEX(Nodes!$A:$A,MATCH(Arcs!F39,Nodes!$B:$B,0))</f>
        <v>5</v>
      </c>
      <c r="L39" s="1">
        <f>INDEX(Nodes!$A:$A,MATCH(Arcs!G39,Nodes!$B:$B,0))</f>
        <v>7</v>
      </c>
      <c r="M39" s="2">
        <v>1</v>
      </c>
      <c r="N39" s="3">
        <v>1</v>
      </c>
    </row>
    <row r="40" spans="1:14" x14ac:dyDescent="0.2">
      <c r="A40" s="1">
        <v>39</v>
      </c>
      <c r="B40" s="20" t="s">
        <v>245</v>
      </c>
      <c r="C40" s="20" t="s">
        <v>192</v>
      </c>
      <c r="D40" s="20" t="s">
        <v>136</v>
      </c>
      <c r="E40" s="20" t="s">
        <v>218</v>
      </c>
      <c r="F40" s="20" t="s">
        <v>246</v>
      </c>
      <c r="G40" s="20" t="s">
        <v>247</v>
      </c>
      <c r="H40" s="1" t="s">
        <v>219</v>
      </c>
      <c r="I40" s="16">
        <v>100</v>
      </c>
      <c r="J40" s="1" t="str">
        <f t="shared" si="0"/>
        <v>Capacity unknown</v>
      </c>
      <c r="K40" s="1">
        <f>INDEX(Nodes!$A:$A,MATCH(Arcs!F40,Nodes!$B:$B,0))</f>
        <v>2</v>
      </c>
      <c r="L40" s="1">
        <f>INDEX(Nodes!$A:$A,MATCH(Arcs!G40,Nodes!$B:$B,0))</f>
        <v>1</v>
      </c>
      <c r="M40" s="2">
        <v>1</v>
      </c>
      <c r="N40" s="3">
        <v>1</v>
      </c>
    </row>
    <row r="41" spans="1:14" x14ac:dyDescent="0.2">
      <c r="A41" s="1">
        <v>40</v>
      </c>
      <c r="B41" s="20" t="s">
        <v>248</v>
      </c>
      <c r="C41" s="20" t="s">
        <v>192</v>
      </c>
      <c r="D41" s="20" t="s">
        <v>136</v>
      </c>
      <c r="E41" s="20" t="s">
        <v>186</v>
      </c>
      <c r="F41" s="20" t="s">
        <v>92</v>
      </c>
      <c r="G41" s="20" t="s">
        <v>93</v>
      </c>
      <c r="H41" s="1" t="s">
        <v>220</v>
      </c>
      <c r="I41" s="16">
        <v>100</v>
      </c>
      <c r="J41" s="1" t="str">
        <f t="shared" si="0"/>
        <v>Capacity unknown</v>
      </c>
      <c r="K41" s="1">
        <f>INDEX(Nodes!$A:$A,MATCH(Arcs!F41,Nodes!$B:$B,0))</f>
        <v>24</v>
      </c>
      <c r="L41" s="1">
        <f>INDEX(Nodes!$A:$A,MATCH(Arcs!G41,Nodes!$B:$B,0))</f>
        <v>25</v>
      </c>
      <c r="M41" s="2">
        <v>1</v>
      </c>
      <c r="N41" s="3">
        <v>1</v>
      </c>
    </row>
    <row r="42" spans="1:14" x14ac:dyDescent="0.2">
      <c r="A42" s="1">
        <v>41</v>
      </c>
      <c r="B42" s="20" t="s">
        <v>249</v>
      </c>
      <c r="C42" s="20" t="s">
        <v>192</v>
      </c>
      <c r="D42" s="20" t="s">
        <v>136</v>
      </c>
      <c r="E42" s="20" t="s">
        <v>188</v>
      </c>
      <c r="F42" s="20" t="s">
        <v>92</v>
      </c>
      <c r="G42" s="20" t="s">
        <v>93</v>
      </c>
      <c r="H42" s="1" t="s">
        <v>221</v>
      </c>
      <c r="I42" s="16">
        <v>100</v>
      </c>
      <c r="J42" s="1" t="str">
        <f t="shared" si="0"/>
        <v>Capacity unknown</v>
      </c>
      <c r="K42" s="1">
        <f>INDEX(Nodes!$A:$A,MATCH(Arcs!F42,Nodes!$B:$B,0))</f>
        <v>24</v>
      </c>
      <c r="L42" s="1">
        <f>INDEX(Nodes!$A:$A,MATCH(Arcs!G42,Nodes!$B:$B,0))</f>
        <v>25</v>
      </c>
      <c r="M42" s="2">
        <v>1</v>
      </c>
      <c r="N42" s="3">
        <v>1</v>
      </c>
    </row>
    <row r="43" spans="1:14" x14ac:dyDescent="0.2">
      <c r="A43" s="1">
        <v>42</v>
      </c>
      <c r="B43" s="20" t="s">
        <v>250</v>
      </c>
      <c r="C43" s="20" t="s">
        <v>192</v>
      </c>
      <c r="D43" s="20" t="s">
        <v>136</v>
      </c>
      <c r="E43" s="20" t="s">
        <v>222</v>
      </c>
      <c r="F43" s="20" t="s">
        <v>92</v>
      </c>
      <c r="G43" s="20" t="s">
        <v>93</v>
      </c>
      <c r="H43" s="1" t="s">
        <v>223</v>
      </c>
      <c r="I43" s="16">
        <v>100</v>
      </c>
      <c r="J43" s="1" t="str">
        <f t="shared" si="0"/>
        <v>Capacity unknown</v>
      </c>
      <c r="K43" s="1">
        <f>INDEX(Nodes!$A:$A,MATCH(Arcs!F43,Nodes!$B:$B,0))</f>
        <v>24</v>
      </c>
      <c r="L43" s="1">
        <f>INDEX(Nodes!$A:$A,MATCH(Arcs!G43,Nodes!$B:$B,0))</f>
        <v>25</v>
      </c>
      <c r="M43" s="2">
        <v>1</v>
      </c>
      <c r="N43" s="3">
        <v>1</v>
      </c>
    </row>
    <row r="44" spans="1:14" x14ac:dyDescent="0.2">
      <c r="A44" s="1">
        <v>43</v>
      </c>
      <c r="B44" s="20" t="s">
        <v>251</v>
      </c>
      <c r="C44" s="20" t="s">
        <v>143</v>
      </c>
      <c r="D44" s="20" t="s">
        <v>136</v>
      </c>
      <c r="E44" s="20" t="s">
        <v>224</v>
      </c>
      <c r="F44" s="20" t="s">
        <v>100</v>
      </c>
      <c r="G44" s="20" t="s">
        <v>105</v>
      </c>
      <c r="H44" s="1" t="s">
        <v>225</v>
      </c>
      <c r="I44" s="1">
        <v>5</v>
      </c>
      <c r="J44" s="1" t="str">
        <f t="shared" si="0"/>
        <v/>
      </c>
      <c r="K44" s="1">
        <f>INDEX(Nodes!$A:$A,MATCH(Arcs!F44,Nodes!$B:$B,0))</f>
        <v>32</v>
      </c>
      <c r="L44" s="1">
        <f>INDEX(Nodes!$A:$A,MATCH(Arcs!G44,Nodes!$B:$B,0))</f>
        <v>38</v>
      </c>
      <c r="M44" s="2">
        <v>1</v>
      </c>
      <c r="N44" s="3">
        <v>1</v>
      </c>
    </row>
    <row r="45" spans="1:14" x14ac:dyDescent="0.2">
      <c r="A45" s="1">
        <v>44</v>
      </c>
      <c r="B45" s="20" t="s">
        <v>182</v>
      </c>
      <c r="C45" s="20" t="s">
        <v>143</v>
      </c>
      <c r="D45" s="20" t="s">
        <v>136</v>
      </c>
      <c r="E45" s="20" t="s">
        <v>183</v>
      </c>
      <c r="F45" s="20" t="s">
        <v>107</v>
      </c>
      <c r="G45" s="20" t="s">
        <v>109</v>
      </c>
      <c r="H45" s="1" t="s">
        <v>226</v>
      </c>
      <c r="I45" s="1">
        <v>55</v>
      </c>
      <c r="J45" s="1" t="str">
        <f t="shared" si="0"/>
        <v/>
      </c>
      <c r="K45" s="1">
        <f>INDEX(Nodes!$A:$A,MATCH(Arcs!F45,Nodes!$B:$B,0))</f>
        <v>40</v>
      </c>
      <c r="L45" s="1">
        <f>INDEX(Nodes!$A:$A,MATCH(Arcs!G45,Nodes!$B:$B,0))</f>
        <v>42</v>
      </c>
      <c r="M45" s="2">
        <v>1</v>
      </c>
      <c r="N45" s="3">
        <v>1</v>
      </c>
    </row>
    <row r="46" spans="1:14" x14ac:dyDescent="0.2">
      <c r="A46" s="1">
        <v>45</v>
      </c>
      <c r="B46" s="20" t="s">
        <v>227</v>
      </c>
      <c r="C46" s="20"/>
      <c r="D46" s="20"/>
      <c r="E46" s="20"/>
      <c r="F46" s="21" t="s">
        <v>114</v>
      </c>
      <c r="G46" s="21" t="s">
        <v>125</v>
      </c>
      <c r="H46" s="22" t="s">
        <v>228</v>
      </c>
      <c r="I46" s="22">
        <v>100</v>
      </c>
      <c r="J46" s="1" t="str">
        <f t="shared" si="0"/>
        <v>Capacity unknown</v>
      </c>
      <c r="K46" s="1">
        <f>INDEX(Nodes!$A:$A,MATCH(Arcs!F46,Nodes!$B:$B,0))</f>
        <v>47</v>
      </c>
      <c r="L46" s="1">
        <f>INDEX(Nodes!$A:$A,MATCH(Arcs!G46,Nodes!$B:$B,0))</f>
        <v>58</v>
      </c>
      <c r="M46" s="2">
        <v>1</v>
      </c>
      <c r="N46" s="3">
        <v>1</v>
      </c>
    </row>
    <row r="47" spans="1:14" x14ac:dyDescent="0.2">
      <c r="A47" s="1">
        <v>46</v>
      </c>
      <c r="B47" s="20" t="s">
        <v>227</v>
      </c>
      <c r="C47" s="20"/>
      <c r="D47" s="20"/>
      <c r="E47" s="20"/>
      <c r="F47" s="21" t="s">
        <v>126</v>
      </c>
      <c r="G47" s="21" t="s">
        <v>127</v>
      </c>
      <c r="H47" s="22" t="s">
        <v>229</v>
      </c>
      <c r="I47" s="22">
        <v>100</v>
      </c>
      <c r="J47" s="1" t="str">
        <f t="shared" si="0"/>
        <v>Capacity unknown</v>
      </c>
      <c r="K47" s="1">
        <f>INDEX(Nodes!$A:$A,MATCH(Arcs!F47,Nodes!$B:$B,0))</f>
        <v>59</v>
      </c>
      <c r="L47" s="1">
        <f>INDEX(Nodes!$A:$A,MATCH(Arcs!G47,Nodes!$B:$B,0))</f>
        <v>60</v>
      </c>
      <c r="M47" s="2">
        <v>1</v>
      </c>
      <c r="N47" s="3">
        <v>1</v>
      </c>
    </row>
    <row r="48" spans="1:14" x14ac:dyDescent="0.2">
      <c r="A48" s="1">
        <v>47</v>
      </c>
      <c r="B48" s="20" t="s">
        <v>227</v>
      </c>
      <c r="C48" s="20"/>
      <c r="D48" s="20"/>
      <c r="E48" s="20"/>
      <c r="F48" s="21" t="s">
        <v>128</v>
      </c>
      <c r="G48" s="21" t="s">
        <v>119</v>
      </c>
      <c r="H48" s="22" t="s">
        <v>230</v>
      </c>
      <c r="I48" s="22">
        <v>100</v>
      </c>
      <c r="J48" s="1" t="str">
        <f t="shared" si="0"/>
        <v>Capacity unknown</v>
      </c>
      <c r="K48" s="1">
        <f>INDEX(Nodes!$A:$A,MATCH(Arcs!F48,Nodes!$B:$B,0))</f>
        <v>61</v>
      </c>
      <c r="L48" s="1">
        <f>INDEX(Nodes!$A:$A,MATCH(Arcs!G48,Nodes!$B:$B,0))</f>
        <v>52</v>
      </c>
      <c r="M48" s="2">
        <v>1</v>
      </c>
      <c r="N48" s="3">
        <v>1</v>
      </c>
    </row>
    <row r="49" spans="1:14" x14ac:dyDescent="0.2">
      <c r="A49" s="1">
        <v>48</v>
      </c>
      <c r="B49" s="20" t="s">
        <v>231</v>
      </c>
      <c r="C49" s="20"/>
      <c r="D49" s="20"/>
      <c r="E49" s="20"/>
      <c r="F49" s="20" t="s">
        <v>117</v>
      </c>
      <c r="G49" s="20" t="s">
        <v>110</v>
      </c>
      <c r="H49" s="22" t="s">
        <v>232</v>
      </c>
      <c r="I49" s="22">
        <v>100</v>
      </c>
      <c r="J49" s="1" t="str">
        <f t="shared" si="0"/>
        <v>Capacity unknown</v>
      </c>
      <c r="K49" s="1">
        <f>INDEX(Nodes!$A:$A,MATCH(Arcs!F49,Nodes!$B:$B,0))</f>
        <v>50</v>
      </c>
      <c r="L49" s="1">
        <f>INDEX(Nodes!$A:$A,MATCH(Arcs!G49,Nodes!$B:$B,0))</f>
        <v>43</v>
      </c>
      <c r="M49" s="2">
        <v>1</v>
      </c>
      <c r="N49" s="3">
        <v>1</v>
      </c>
    </row>
    <row r="50" spans="1:14" x14ac:dyDescent="0.2">
      <c r="A50" s="1">
        <v>49</v>
      </c>
      <c r="B50" s="20" t="s">
        <v>233</v>
      </c>
      <c r="C50" s="20"/>
      <c r="D50" s="20"/>
      <c r="E50" s="20"/>
      <c r="F50" s="20" t="s">
        <v>89</v>
      </c>
      <c r="G50" s="20" t="s">
        <v>111</v>
      </c>
      <c r="H50" s="22" t="s">
        <v>234</v>
      </c>
      <c r="I50" s="22">
        <v>100</v>
      </c>
      <c r="J50" s="1" t="str">
        <f t="shared" si="0"/>
        <v>Capacity unknown</v>
      </c>
      <c r="K50" s="1">
        <f>INDEX(Nodes!$A:$A,MATCH(Arcs!F50,Nodes!$B:$B,0))</f>
        <v>20</v>
      </c>
      <c r="L50" s="1">
        <f>INDEX(Nodes!$A:$A,MATCH(Arcs!G50,Nodes!$B:$B,0))</f>
        <v>44</v>
      </c>
      <c r="M50" s="2">
        <v>1</v>
      </c>
      <c r="N50" s="3">
        <v>1</v>
      </c>
    </row>
  </sheetData>
  <phoneticPr fontId="1"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99A445-15C0-AB40-A0A7-7DAECA950535}">
  <dimension ref="A1:I63"/>
  <sheetViews>
    <sheetView zoomScale="200" zoomScaleNormal="200" workbookViewId="0">
      <selection activeCell="F29" sqref="F29"/>
    </sheetView>
  </sheetViews>
  <sheetFormatPr baseColWidth="10" defaultRowHeight="16" x14ac:dyDescent="0.2"/>
  <cols>
    <col min="1" max="1" width="30" bestFit="1" customWidth="1"/>
    <col min="2" max="2" width="15" bestFit="1" customWidth="1"/>
    <col min="3" max="3" width="13.83203125" bestFit="1" customWidth="1"/>
    <col min="4" max="4" width="26.5" bestFit="1" customWidth="1"/>
    <col min="5" max="5" width="30" bestFit="1" customWidth="1"/>
    <col min="6" max="6" width="22.6640625" bestFit="1" customWidth="1"/>
    <col min="7" max="7" width="22.83203125" bestFit="1" customWidth="1"/>
    <col min="8" max="8" width="17.5" bestFit="1" customWidth="1"/>
    <col min="9" max="9" width="23.1640625" bestFit="1" customWidth="1"/>
  </cols>
  <sheetData>
    <row r="1" spans="1:9" x14ac:dyDescent="0.2">
      <c r="A1" s="28" t="s">
        <v>269</v>
      </c>
      <c r="B1" s="28" t="s">
        <v>208</v>
      </c>
      <c r="C1" s="28" t="s">
        <v>215</v>
      </c>
      <c r="D1" s="28" t="s">
        <v>262</v>
      </c>
      <c r="E1" s="28" t="s">
        <v>192</v>
      </c>
      <c r="F1" s="28" t="s">
        <v>264</v>
      </c>
      <c r="G1" s="28" t="s">
        <v>265</v>
      </c>
      <c r="H1" s="28" t="s">
        <v>267</v>
      </c>
      <c r="I1" s="28" t="s">
        <v>266</v>
      </c>
    </row>
    <row r="2" spans="1:9" x14ac:dyDescent="0.2">
      <c r="A2" t="s">
        <v>247</v>
      </c>
      <c r="B2" t="s">
        <v>207</v>
      </c>
      <c r="C2" t="s">
        <v>100</v>
      </c>
      <c r="D2" t="s">
        <v>112</v>
      </c>
      <c r="E2" s="27" t="s">
        <v>76</v>
      </c>
      <c r="F2" s="27" t="s">
        <v>100</v>
      </c>
      <c r="G2" s="27" t="s">
        <v>239</v>
      </c>
      <c r="H2" s="27" t="s">
        <v>80</v>
      </c>
      <c r="I2" s="27" t="s">
        <v>94</v>
      </c>
    </row>
    <row r="3" spans="1:9" x14ac:dyDescent="0.2">
      <c r="A3" t="s">
        <v>246</v>
      </c>
      <c r="C3" t="s">
        <v>112</v>
      </c>
      <c r="E3" s="27" t="s">
        <v>103</v>
      </c>
      <c r="I3" s="27" t="s">
        <v>239</v>
      </c>
    </row>
    <row r="4" spans="1:9" x14ac:dyDescent="0.2">
      <c r="A4" t="s">
        <v>76</v>
      </c>
      <c r="C4" t="s">
        <v>78</v>
      </c>
      <c r="E4" s="27" t="s">
        <v>79</v>
      </c>
    </row>
    <row r="5" spans="1:9" x14ac:dyDescent="0.2">
      <c r="A5" t="s">
        <v>77</v>
      </c>
      <c r="C5" s="13"/>
      <c r="E5" s="27" t="s">
        <v>104</v>
      </c>
    </row>
    <row r="6" spans="1:9" x14ac:dyDescent="0.2">
      <c r="A6" t="s">
        <v>78</v>
      </c>
      <c r="E6" s="27" t="s">
        <v>236</v>
      </c>
    </row>
    <row r="7" spans="1:9" x14ac:dyDescent="0.2">
      <c r="A7" t="s">
        <v>79</v>
      </c>
      <c r="E7" s="27" t="s">
        <v>97</v>
      </c>
    </row>
    <row r="8" spans="1:9" x14ac:dyDescent="0.2">
      <c r="A8" t="s">
        <v>257</v>
      </c>
      <c r="E8" s="27" t="s">
        <v>96</v>
      </c>
    </row>
    <row r="9" spans="1:9" x14ac:dyDescent="0.2">
      <c r="A9" t="s">
        <v>80</v>
      </c>
      <c r="E9" s="27" t="s">
        <v>106</v>
      </c>
    </row>
    <row r="10" spans="1:9" x14ac:dyDescent="0.2">
      <c r="A10" t="s">
        <v>81</v>
      </c>
      <c r="E10" s="27" t="s">
        <v>87</v>
      </c>
    </row>
    <row r="11" spans="1:9" x14ac:dyDescent="0.2">
      <c r="A11" t="s">
        <v>82</v>
      </c>
      <c r="E11" s="27" t="s">
        <v>92</v>
      </c>
    </row>
    <row r="12" spans="1:9" x14ac:dyDescent="0.2">
      <c r="A12" t="s">
        <v>83</v>
      </c>
      <c r="E12" s="27" t="s">
        <v>263</v>
      </c>
    </row>
    <row r="13" spans="1:9" x14ac:dyDescent="0.2">
      <c r="A13" t="s">
        <v>84</v>
      </c>
    </row>
    <row r="14" spans="1:9" x14ac:dyDescent="0.2">
      <c r="A14" t="s">
        <v>85</v>
      </c>
    </row>
    <row r="15" spans="1:9" x14ac:dyDescent="0.2">
      <c r="A15" t="s">
        <v>86</v>
      </c>
    </row>
    <row r="16" spans="1:9" x14ac:dyDescent="0.2">
      <c r="A16" t="s">
        <v>258</v>
      </c>
    </row>
    <row r="17" spans="1:1" x14ac:dyDescent="0.2">
      <c r="A17" t="s">
        <v>239</v>
      </c>
    </row>
    <row r="18" spans="1:1" x14ac:dyDescent="0.2">
      <c r="A18" t="s">
        <v>87</v>
      </c>
    </row>
    <row r="19" spans="1:1" x14ac:dyDescent="0.2">
      <c r="A19" t="s">
        <v>88</v>
      </c>
    </row>
    <row r="20" spans="1:1" x14ac:dyDescent="0.2">
      <c r="A20" t="s">
        <v>236</v>
      </c>
    </row>
    <row r="21" spans="1:1" x14ac:dyDescent="0.2">
      <c r="A21" t="s">
        <v>89</v>
      </c>
    </row>
    <row r="22" spans="1:1" x14ac:dyDescent="0.2">
      <c r="A22" t="s">
        <v>90</v>
      </c>
    </row>
    <row r="23" spans="1:1" x14ac:dyDescent="0.2">
      <c r="A23" t="s">
        <v>238</v>
      </c>
    </row>
    <row r="24" spans="1:1" x14ac:dyDescent="0.2">
      <c r="A24" t="s">
        <v>91</v>
      </c>
    </row>
    <row r="25" spans="1:1" x14ac:dyDescent="0.2">
      <c r="A25" t="s">
        <v>92</v>
      </c>
    </row>
    <row r="26" spans="1:1" x14ac:dyDescent="0.2">
      <c r="A26" t="s">
        <v>93</v>
      </c>
    </row>
    <row r="27" spans="1:1" x14ac:dyDescent="0.2">
      <c r="A27" t="s">
        <v>94</v>
      </c>
    </row>
    <row r="28" spans="1:1" x14ac:dyDescent="0.2">
      <c r="A28" t="s">
        <v>95</v>
      </c>
    </row>
    <row r="29" spans="1:1" x14ac:dyDescent="0.2">
      <c r="A29" t="s">
        <v>96</v>
      </c>
    </row>
    <row r="30" spans="1:1" x14ac:dyDescent="0.2">
      <c r="A30" t="s">
        <v>97</v>
      </c>
    </row>
    <row r="31" spans="1:1" x14ac:dyDescent="0.2">
      <c r="A31" t="s">
        <v>98</v>
      </c>
    </row>
    <row r="32" spans="1:1" x14ac:dyDescent="0.2">
      <c r="A32" t="s">
        <v>99</v>
      </c>
    </row>
    <row r="33" spans="1:1" x14ac:dyDescent="0.2">
      <c r="A33" t="s">
        <v>100</v>
      </c>
    </row>
    <row r="34" spans="1:1" x14ac:dyDescent="0.2">
      <c r="A34" t="s">
        <v>259</v>
      </c>
    </row>
    <row r="35" spans="1:1" x14ac:dyDescent="0.2">
      <c r="A35" t="s">
        <v>101</v>
      </c>
    </row>
    <row r="36" spans="1:1" x14ac:dyDescent="0.2">
      <c r="A36" t="s">
        <v>102</v>
      </c>
    </row>
    <row r="37" spans="1:1" x14ac:dyDescent="0.2">
      <c r="A37" t="s">
        <v>103</v>
      </c>
    </row>
    <row r="38" spans="1:1" x14ac:dyDescent="0.2">
      <c r="A38" t="s">
        <v>104</v>
      </c>
    </row>
    <row r="39" spans="1:1" x14ac:dyDescent="0.2">
      <c r="A39" t="s">
        <v>105</v>
      </c>
    </row>
    <row r="40" spans="1:1" x14ac:dyDescent="0.2">
      <c r="A40" t="s">
        <v>106</v>
      </c>
    </row>
    <row r="41" spans="1:1" x14ac:dyDescent="0.2">
      <c r="A41" t="s">
        <v>107</v>
      </c>
    </row>
    <row r="42" spans="1:1" x14ac:dyDescent="0.2">
      <c r="A42" t="s">
        <v>108</v>
      </c>
    </row>
    <row r="43" spans="1:1" x14ac:dyDescent="0.2">
      <c r="A43" t="s">
        <v>109</v>
      </c>
    </row>
    <row r="44" spans="1:1" x14ac:dyDescent="0.2">
      <c r="A44" t="s">
        <v>110</v>
      </c>
    </row>
    <row r="45" spans="1:1" x14ac:dyDescent="0.2">
      <c r="A45" t="s">
        <v>111</v>
      </c>
    </row>
    <row r="46" spans="1:1" x14ac:dyDescent="0.2">
      <c r="A46" t="s">
        <v>112</v>
      </c>
    </row>
    <row r="47" spans="1:1" x14ac:dyDescent="0.2">
      <c r="A47" t="s">
        <v>113</v>
      </c>
    </row>
    <row r="48" spans="1:1" x14ac:dyDescent="0.2">
      <c r="A48" t="s">
        <v>114</v>
      </c>
    </row>
    <row r="49" spans="1:1" x14ac:dyDescent="0.2">
      <c r="A49" t="s">
        <v>115</v>
      </c>
    </row>
    <row r="50" spans="1:1" x14ac:dyDescent="0.2">
      <c r="A50" t="s">
        <v>116</v>
      </c>
    </row>
    <row r="51" spans="1:1" x14ac:dyDescent="0.2">
      <c r="A51" t="s">
        <v>117</v>
      </c>
    </row>
    <row r="52" spans="1:1" x14ac:dyDescent="0.2">
      <c r="A52" t="s">
        <v>118</v>
      </c>
    </row>
    <row r="53" spans="1:1" x14ac:dyDescent="0.2">
      <c r="A53" t="s">
        <v>119</v>
      </c>
    </row>
    <row r="54" spans="1:1" x14ac:dyDescent="0.2">
      <c r="A54" t="s">
        <v>120</v>
      </c>
    </row>
    <row r="55" spans="1:1" x14ac:dyDescent="0.2">
      <c r="A55" t="s">
        <v>121</v>
      </c>
    </row>
    <row r="56" spans="1:1" x14ac:dyDescent="0.2">
      <c r="A56" t="s">
        <v>122</v>
      </c>
    </row>
    <row r="57" spans="1:1" x14ac:dyDescent="0.2">
      <c r="A57" t="s">
        <v>123</v>
      </c>
    </row>
    <row r="58" spans="1:1" x14ac:dyDescent="0.2">
      <c r="A58" t="s">
        <v>124</v>
      </c>
    </row>
    <row r="59" spans="1:1" x14ac:dyDescent="0.2">
      <c r="A59" t="s">
        <v>125</v>
      </c>
    </row>
    <row r="60" spans="1:1" x14ac:dyDescent="0.2">
      <c r="A60" t="s">
        <v>126</v>
      </c>
    </row>
    <row r="61" spans="1:1" x14ac:dyDescent="0.2">
      <c r="A61" t="s">
        <v>127</v>
      </c>
    </row>
    <row r="62" spans="1:1" x14ac:dyDescent="0.2">
      <c r="A62" t="s">
        <v>128</v>
      </c>
    </row>
    <row r="63" spans="1:1" x14ac:dyDescent="0.2">
      <c r="A63" t="s">
        <v>129</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1F2103-BB5B-1146-8172-40BAC814D614}">
  <dimension ref="A1:B3"/>
  <sheetViews>
    <sheetView zoomScale="200" zoomScaleNormal="200" workbookViewId="0">
      <selection activeCell="B3" sqref="B3"/>
    </sheetView>
  </sheetViews>
  <sheetFormatPr baseColWidth="10" defaultRowHeight="16" x14ac:dyDescent="0.2"/>
  <sheetData>
    <row r="1" spans="1:2" x14ac:dyDescent="0.2">
      <c r="A1" s="4" t="s">
        <v>0</v>
      </c>
      <c r="B1" s="4" t="s">
        <v>1</v>
      </c>
    </row>
    <row r="2" spans="1:2" x14ac:dyDescent="0.2">
      <c r="A2" s="1">
        <v>1</v>
      </c>
      <c r="B2" s="1" t="s">
        <v>16</v>
      </c>
    </row>
    <row r="3" spans="1:2" x14ac:dyDescent="0.2">
      <c r="A3" s="1">
        <v>2</v>
      </c>
      <c r="B3" s="1" t="s">
        <v>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Werkbladen</vt:lpstr>
      </vt:variant>
      <vt:variant>
        <vt:i4>12</vt:i4>
      </vt:variant>
    </vt:vector>
  </HeadingPairs>
  <TitlesOfParts>
    <vt:vector size="12" baseType="lpstr">
      <vt:lpstr>Visualisation</vt:lpstr>
      <vt:lpstr>Units</vt:lpstr>
      <vt:lpstr>Nodes</vt:lpstr>
      <vt:lpstr>Demand Stage 1</vt:lpstr>
      <vt:lpstr>Demand Stage 2</vt:lpstr>
      <vt:lpstr>Demand Stage 3</vt:lpstr>
      <vt:lpstr>SalesPriceGasMix</vt:lpstr>
      <vt:lpstr>SalesPricePureHydrogen</vt:lpstr>
      <vt:lpstr>Parameters</vt:lpstr>
      <vt:lpstr>Arcs</vt:lpstr>
      <vt:lpstr>Traders</vt:lpstr>
      <vt:lpstr>Commodities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Markhorst, B.T. (Berend)</dc:creator>
  <cp:lastModifiedBy>Markhorst, B.T. (Berend)</cp:lastModifiedBy>
  <dcterms:created xsi:type="dcterms:W3CDTF">2024-08-20T19:36:56Z</dcterms:created>
  <dcterms:modified xsi:type="dcterms:W3CDTF">2024-11-05T15:46:51Z</dcterms:modified>
</cp:coreProperties>
</file>