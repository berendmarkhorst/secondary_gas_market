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4A2F4D76-AB32-274D-9C0D-5C3CA9577F19}" xr6:coauthVersionLast="47" xr6:coauthVersionMax="47" xr10:uidLastSave="{00000000-0000-0000-0000-000000000000}"/>
  <bookViews>
    <workbookView xWindow="0" yWindow="0" windowWidth="51200" windowHeight="28800" activeTab="10" xr2:uid="{D82E7092-1A4C-0041-9612-C431AA3B912B}"/>
  </bookViews>
  <sheets>
    <sheet name="Visualisation" sheetId="7" r:id="rId1"/>
    <sheet name="Units" sheetId="6" r:id="rId2"/>
    <sheet name="Nodes" sheetId="2" r:id="rId3"/>
    <sheet name="ProductionCapacities" sheetId="15" r:id="rId4"/>
    <sheet name="Demand Stage 1" sheetId="13" r:id="rId5"/>
    <sheet name="Demand Stage 2" sheetId="5" r:id="rId6"/>
    <sheet name="Demand Stage 3" sheetId="9" r:id="rId7"/>
    <sheet name="SalesPriceGasMix" sheetId="11" r:id="rId8"/>
    <sheet name="SalesPricePureHydrogen" sheetId="12" r:id="rId9"/>
    <sheet name="Parameters" sheetId="8" r:id="rId10"/>
    <sheet name="Arcs" sheetId="1" r:id="rId11"/>
    <sheet name="Traders" sheetId="3" r:id="rId12"/>
    <sheet name="TraderPercentages" sheetId="16" r:id="rId13"/>
    <sheet name="Commodities" sheetId="4" r:id="rId14"/>
    <sheet name="Probabilities" sheetId="14" r:id="rId15"/>
    <sheet name="Extra" sheetId="17" r:id="rId16"/>
  </sheets>
  <definedNames>
    <definedName name="_xlnm._FilterDatabase" localSheetId="10" hidden="1">Arcs!$A$1:$N$53</definedName>
    <definedName name="_xlnm._FilterDatabase" localSheetId="2" hidden="1">Nodes!$A$2:$AI$2</definedName>
    <definedName name="_xlnm._FilterDatabase" localSheetId="3"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K52" i="1" l="1"/>
  <c r="L52" i="1"/>
  <c r="K53" i="1"/>
  <c r="L53" i="1"/>
  <c r="L8" i="1"/>
  <c r="K8" i="1"/>
  <c r="J8" i="1"/>
  <c r="C10" i="16" l="1"/>
  <c r="D10" i="16"/>
  <c r="E10" i="16"/>
  <c r="F10" i="16"/>
  <c r="G10" i="16"/>
  <c r="H10" i="16"/>
  <c r="I10" i="16"/>
  <c r="B10" i="16"/>
  <c r="I45" i="2"/>
  <c r="I16" i="2"/>
  <c r="I49" i="2"/>
  <c r="I61" i="2"/>
  <c r="I47" i="2"/>
  <c r="I4" i="2"/>
  <c r="I29" i="2"/>
  <c r="I58" i="2"/>
  <c r="I43" i="2"/>
  <c r="I26" i="2"/>
  <c r="I39" i="2"/>
  <c r="I9" i="2"/>
  <c r="I27" i="2"/>
  <c r="I35" i="2"/>
  <c r="I38" i="2"/>
  <c r="I30" i="2"/>
  <c r="I31" i="2"/>
  <c r="I37" i="2"/>
  <c r="I52" i="2"/>
  <c r="I55" i="2"/>
  <c r="I17" i="2"/>
  <c r="I18" i="2"/>
  <c r="I10" i="2"/>
  <c r="I57" i="2"/>
  <c r="I46" i="2"/>
  <c r="I7" i="2"/>
  <c r="I6" i="2"/>
  <c r="I64" i="2"/>
  <c r="I60" i="2"/>
  <c r="I32" i="2"/>
  <c r="I51" i="2"/>
  <c r="I25" i="2"/>
  <c r="I20" i="2"/>
  <c r="I23" i="2"/>
  <c r="I63" i="2"/>
  <c r="I19" i="2"/>
  <c r="I11" i="2"/>
  <c r="I12" i="2"/>
  <c r="I13" i="2"/>
  <c r="I14" i="2"/>
  <c r="I24" i="2"/>
  <c r="I42" i="2"/>
  <c r="F3" i="15"/>
  <c r="F4" i="15"/>
  <c r="F5" i="15"/>
  <c r="F6" i="15"/>
  <c r="I8" i="2" s="1"/>
  <c r="F7" i="15"/>
  <c r="I15" i="2" s="1"/>
  <c r="F8" i="15"/>
  <c r="F9" i="15"/>
  <c r="F10" i="15"/>
  <c r="F11" i="15"/>
  <c r="F12" i="15"/>
  <c r="F13" i="15"/>
  <c r="F14" i="15"/>
  <c r="F15" i="15"/>
  <c r="I54" i="2" s="1"/>
  <c r="F16" i="15"/>
  <c r="F17" i="15"/>
  <c r="F18" i="15"/>
  <c r="I33" i="2" s="1"/>
  <c r="F19" i="15"/>
  <c r="I34" i="2" s="1"/>
  <c r="F20" i="15"/>
  <c r="F21" i="15"/>
  <c r="F22" i="15"/>
  <c r="I36" i="2" s="1"/>
  <c r="F23" i="15"/>
  <c r="F24" i="15"/>
  <c r="F25" i="15"/>
  <c r="I41" i="2" s="1"/>
  <c r="F26" i="15"/>
  <c r="I44" i="2" s="1"/>
  <c r="F27" i="15"/>
  <c r="F28" i="15"/>
  <c r="F29" i="15"/>
  <c r="F30" i="15"/>
  <c r="I48" i="2" s="1"/>
  <c r="F31" i="15"/>
  <c r="F32" i="15"/>
  <c r="F33" i="15"/>
  <c r="F34" i="15"/>
  <c r="I53" i="2" s="1"/>
  <c r="F35" i="15"/>
  <c r="F36" i="15"/>
  <c r="F37" i="15"/>
  <c r="I56" i="2" s="1"/>
  <c r="F38" i="15"/>
  <c r="F39" i="15"/>
  <c r="F40" i="15"/>
  <c r="F41" i="15"/>
  <c r="F42" i="15"/>
  <c r="F43" i="15"/>
  <c r="F44" i="15"/>
  <c r="F45" i="15"/>
  <c r="F46" i="15"/>
  <c r="F47" i="15"/>
  <c r="F48" i="15"/>
  <c r="F49" i="15"/>
  <c r="F50" i="15"/>
  <c r="F51" i="15"/>
  <c r="F2" i="15"/>
  <c r="I3" i="2" s="1"/>
  <c r="I50" i="2" l="1"/>
  <c r="I22" i="2"/>
  <c r="I59" i="2"/>
  <c r="I40" i="2"/>
  <c r="I28" i="2"/>
  <c r="I62" i="2"/>
  <c r="I5" i="2"/>
  <c r="I21" i="2"/>
  <c r="J53" i="1"/>
  <c r="J52"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B6" i="13"/>
  <c r="B7" i="13"/>
  <c r="B8" i="13"/>
  <c r="B5" i="13"/>
  <c r="Q4" i="13"/>
  <c r="P4" i="13"/>
  <c r="O4" i="13"/>
  <c r="N4" i="13"/>
  <c r="M4" i="13"/>
  <c r="L4" i="13"/>
  <c r="K4" i="13"/>
  <c r="J4" i="13"/>
  <c r="I4" i="13"/>
  <c r="H4" i="13"/>
  <c r="G4" i="13"/>
  <c r="F4" i="13"/>
  <c r="E4" i="13"/>
  <c r="D4" i="13"/>
  <c r="C4" i="13"/>
  <c r="B4" i="13"/>
  <c r="IQ5" i="9"/>
  <c r="IR5" i="9"/>
  <c r="IS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L5" i="9"/>
  <c r="IM5" i="9"/>
  <c r="IN5" i="9"/>
  <c r="IO5" i="9"/>
  <c r="IH5" i="9"/>
  <c r="IA5" i="9"/>
  <c r="IB5" i="9"/>
  <c r="IC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V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M5" i="9"/>
  <c r="HN5" i="9"/>
  <c r="HO5" i="9"/>
  <c r="HP5" i="9"/>
  <c r="HQ5" i="9"/>
  <c r="HJ5" i="9"/>
  <c r="HC5" i="9"/>
  <c r="HD5" i="9"/>
  <c r="HE5" i="9"/>
  <c r="HF5" i="9"/>
  <c r="HG5" i="9"/>
  <c r="HH5" i="9"/>
  <c r="HI5" i="9"/>
  <c r="HB5" i="9"/>
  <c r="GU5" i="9"/>
  <c r="GV5" i="9"/>
  <c r="GW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P5" i="9"/>
  <c r="GQ5" i="9"/>
  <c r="GR5" i="9"/>
  <c r="GS5" i="9"/>
  <c r="GL5" i="9"/>
  <c r="GE5" i="9"/>
  <c r="GF5" i="9"/>
  <c r="GG5" i="9"/>
  <c r="GH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FZ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R5" i="9"/>
  <c r="FS5" i="9"/>
  <c r="FT5" i="9"/>
  <c r="FU5" i="9"/>
  <c r="FN5" i="9"/>
  <c r="FG5" i="9"/>
  <c r="FH5" i="9"/>
  <c r="FI5" i="9"/>
  <c r="FJ5" i="9"/>
  <c r="FK5" i="9"/>
  <c r="FL5" i="9"/>
  <c r="FM5" i="9"/>
  <c r="FF5" i="9"/>
  <c r="EY5" i="9"/>
  <c r="EZ5" i="9"/>
  <c r="FA5" i="9"/>
  <c r="FB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T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EM5" i="9"/>
  <c r="EN5" i="9"/>
  <c r="EO5" i="9"/>
  <c r="EH5" i="9"/>
  <c r="EA5" i="9"/>
  <c r="EB5" i="9"/>
  <c r="EC5" i="9"/>
  <c r="ED5" i="9"/>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V5" i="9"/>
  <c r="DW5" i="9"/>
  <c r="DX5" i="9"/>
  <c r="DY5" i="9"/>
  <c r="DR5" i="9"/>
  <c r="DK5" i="9"/>
  <c r="DL5" i="9"/>
  <c r="DM5" i="9"/>
  <c r="DN5" i="9"/>
  <c r="DO5" i="9"/>
  <c r="DP5" i="9"/>
  <c r="DQ5" i="9"/>
  <c r="DC5" i="9"/>
  <c r="DD5" i="9"/>
  <c r="DE5" i="9"/>
  <c r="DF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X5" i="9"/>
  <c r="CY5" i="9"/>
  <c r="CZ5" i="9"/>
  <c r="DA5" i="9"/>
  <c r="CM5" i="9"/>
  <c r="CN5" i="9"/>
  <c r="CO5" i="9"/>
  <c r="CP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H5" i="9"/>
  <c r="CI5" i="9"/>
  <c r="CJ5" i="9"/>
  <c r="CK5" i="9"/>
  <c r="BO5" i="9"/>
  <c r="BP5" i="9"/>
  <c r="BQ5" i="9"/>
  <c r="BR5" i="9"/>
  <c r="BS5" i="9"/>
  <c r="BT5" i="9"/>
  <c r="BU5" i="9"/>
  <c r="BV5" i="9"/>
  <c r="BW5" i="9"/>
  <c r="BX5" i="9"/>
  <c r="BY5" i="9"/>
  <c r="BZ5" i="9"/>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E8" i="9"/>
  <c r="BF8" i="9"/>
  <c r="BG8" i="9"/>
  <c r="BH8" i="9"/>
  <c r="BI8" i="9"/>
  <c r="BJ8" i="9"/>
  <c r="BK8" i="9"/>
  <c r="BL8" i="9"/>
  <c r="BM8" i="9"/>
  <c r="BF9" i="9"/>
  <c r="BG9" i="9"/>
  <c r="BH9" i="9"/>
  <c r="BI9" i="9"/>
  <c r="BJ9" i="9"/>
  <c r="BK9" i="9"/>
  <c r="BL9" i="9"/>
  <c r="BM9" i="9"/>
  <c r="AY5" i="9"/>
  <c r="AZ5" i="9"/>
  <c r="BA5" i="9"/>
  <c r="BB5" i="9"/>
  <c r="BC5" i="9"/>
  <c r="BD5" i="9"/>
  <c r="BE5" i="9"/>
  <c r="BF5" i="9"/>
  <c r="BG5" i="9"/>
  <c r="BH5" i="9"/>
  <c r="BI5" i="9"/>
  <c r="BJ5" i="9"/>
  <c r="BK5" i="9"/>
  <c r="BL5" i="9"/>
  <c r="BM5" i="9"/>
  <c r="AX5" i="9"/>
  <c r="AQ5" i="9"/>
  <c r="AR5" i="9"/>
  <c r="AS5" i="9"/>
  <c r="AT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D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I4" i="5"/>
  <c r="BJ4" i="5"/>
  <c r="BK4" i="5"/>
  <c r="BL4" i="5"/>
  <c r="BM4" i="5"/>
  <c r="BF4" i="5"/>
  <c r="AY4" i="5"/>
  <c r="AZ4" i="5"/>
  <c r="BA4" i="5"/>
  <c r="BB4" i="5"/>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2"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3" i="1"/>
  <c r="L4" i="1"/>
  <c r="L5" i="1"/>
  <c r="L6" i="1"/>
  <c r="L7" i="1"/>
  <c r="L9" i="1"/>
  <c r="L10" i="1"/>
  <c r="L11" i="1"/>
  <c r="L12" i="1"/>
  <c r="L13" i="1"/>
  <c r="L14" i="1"/>
  <c r="L15" i="1"/>
  <c r="L16" i="1"/>
  <c r="L17" i="1"/>
  <c r="L18" i="1"/>
  <c r="L19" i="1"/>
  <c r="L20" i="1"/>
  <c r="L21" i="1"/>
  <c r="L22" i="1"/>
  <c r="L23" i="1"/>
  <c r="L2"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3" i="1"/>
  <c r="K4" i="1"/>
  <c r="K5" i="1"/>
  <c r="K6" i="1"/>
  <c r="K7" i="1"/>
  <c r="K9" i="1"/>
  <c r="K10" i="1"/>
  <c r="K11" i="1"/>
  <c r="K12" i="1"/>
  <c r="K13" i="1"/>
  <c r="K14" i="1"/>
  <c r="K15" i="1"/>
  <c r="K16" i="1"/>
  <c r="K17" i="1"/>
  <c r="K18" i="1"/>
  <c r="K19" i="1"/>
  <c r="K20" i="1"/>
  <c r="K21" i="1"/>
  <c r="K22" i="1"/>
  <c r="K23" i="1"/>
  <c r="K2" i="1"/>
  <c r="B9" i="9" l="1"/>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A9" i="6" l="1"/>
  <c r="A8" i="6"/>
  <c r="A7" i="6"/>
  <c r="A6" i="6"/>
  <c r="A5" i="6"/>
  <c r="A4" i="6"/>
  <c r="A3" i="6"/>
  <c r="A2" i="6"/>
</calcChain>
</file>

<file path=xl/sharedStrings.xml><?xml version="1.0" encoding="utf-8"?>
<sst xmlns="http://schemas.openxmlformats.org/spreadsheetml/2006/main" count="742" uniqueCount="359">
  <si>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</si>
  <si>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</si>
  <si>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</si>
  <si>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</si>
  <si>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</si>
  <si>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</si>
  <si>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</si>
  <si>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</si>
  <si>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</si>
  <si>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</si>
  <si>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</si>
  <si>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</si>
  <si>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</si>
  <si>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</si>
  <si>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</si>
  <si>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</si>
  <si>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</si>
  <si>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</si>
  <si>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</si>
  <si>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</si>
  <si>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</si>
  <si>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</si>
  <si>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</si>
  <si>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</si>
  <si>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</si>
  <si>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</si>
  <si>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</si>
  <si>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</si>
  <si>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</si>
  <si>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</si>
  <si>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Allowed percentage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</si>
  <si>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</si>
  <si>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</si>
  <si>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</si>
  <si>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</si>
  <si>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</si>
  <si>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</si>
  <si>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</si>
  <si>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</si>
  <si>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</si>
  <si>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</si>
  <si>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</si>
  <si>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</si>
  <si>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</si>
  <si>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</si>
  <si>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</si>
  <si>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</si>
  <si>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</si>
  <si>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</si>
  <si>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</si>
  <si>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</si>
  <si>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</si>
  <si>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</si>
  <si>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</si>
  <si>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</si>
  <si>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</si>
  <si>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</si>
  <si>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</si>
  <si>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</si>
  <si>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</si>
  <si>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</si>
  <si>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</si>
  <si>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</si>
  <si>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</si>
  <si>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</si>
  <si>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</si>
  <si>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</si>
  <si>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</si>
  <si>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</si>
  <si>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</si>
  <si>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</si>
  <si>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</si>
  <si>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</si>
  <si>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</si>
  <si>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</si>
  <si>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</si>
  <si>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</si>
  <si>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</si>
  <si>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</si>
  <si>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</si>
  <si>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</si>
  <si>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</si>
  <si>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</si>
  <si>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</si>
  <si>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</si>
  <si>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</si>
  <si>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</si>
  <si>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</si>
  <si>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</si>
  <si>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</si>
  <si>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</si>
  <si>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</si>
  <si>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</si>
  <si>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</si>
  <si>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</si>
  <si>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</si>
  <si>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</si>
  <si>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</si>
  <si>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</si>
  <si>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</si>
  <si>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</si>
  <si>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</si>
  <si>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</si>
  <si>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</si>
  <si>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</si>
  <si>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</si>
  <si>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</si>
  <si>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</si>
  <si>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</si>
  <si>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</si>
  <si>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</si>
  <si>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</si>
  <si>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</si>
  <si>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</si>
  <si>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</si>
  <si>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</si>
  <si>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</si>
  <si>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</si>
  <si>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</si>
  <si>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</si>
  <si>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</si>
  <si>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</si>
  <si>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</si>
  <si>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</si>
  <si>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</si>
  <si>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</si>
  <si>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</si>
  <si>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</si>
  <si>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</si>
  <si>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</si>
  <si>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</si>
  <si>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</si>
  <si>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</si>
  <si>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</si>
  <si>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</si>
  <si>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</si>
  <si>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</si>
  <si>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</si>
  <si>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LINESTRING (2.8963509232204276 60.56011387499288, 3.0081770764843703 60.54330065370974, 3.0361264151934804 60.54281098835386)</t>
  </si>
  <si>
    <t>Draugen Gasseksport</t>
  </si>
  <si>
    <t>2000-10-10</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</si>
  <si>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</si>
  <si>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Gassco AS</t>
  </si>
  <si>
    <t>2000-10-04</t>
  </si>
  <si>
    <t>LINESTRING (4.686853131474261 62.302302667129126, 4.718448369792201 62.33153457574122, 4.688439971644288 62.3037851068389, 4.686853131474261 62.302302667129126)</t>
  </si>
  <si>
    <t>1995-10-01</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</si>
  <si>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</si>
  <si>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</si>
  <si>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</si>
  <si>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</si>
  <si>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</si>
  <si>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</si>
  <si>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2004-09-26</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</si>
  <si>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</si>
  <si>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2007-09-13</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</si>
  <si>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</si>
  <si>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2006-10-01</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</si>
  <si>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</si>
  <si>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Norne Gasstransport</t>
  </si>
  <si>
    <t>2001-02-05</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</si>
  <si>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</si>
  <si>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Norpipe Gassledning</t>
  </si>
  <si>
    <t>1998-08-18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</si>
  <si>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</si>
  <si>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1977-09-17</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</si>
  <si>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</si>
  <si>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</si>
  <si>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</si>
  <si>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Oseberg Gasstransport</t>
  </si>
  <si>
    <t>2001-09-30</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</si>
  <si>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</si>
  <si>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1985-10-01</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</si>
  <si>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</si>
  <si>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1985-10-15</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</si>
  <si>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</si>
  <si>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</si>
  <si>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</si>
  <si>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LINESTRING (1.8297556432426154 61.20193692457381, 1.844167218716536 61.185321420985844)</t>
  </si>
  <si>
    <t>2007-10-12</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</si>
  <si>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</si>
  <si>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</si>
  <si>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Zeepipe I</t>
  </si>
  <si>
    <t>1993-10-01</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</si>
  <si>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</si>
  <si>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</si>
  <si>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1996-10-01</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</si>
  <si>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</si>
  <si>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1997-10-01</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</si>
  <si>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</si>
  <si>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2010-10-10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</si>
  <si>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</si>
  <si>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Equinor Energy AS</t>
  </si>
  <si>
    <t>2003-09-23</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</si>
  <si>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</si>
  <si>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2014-04-07</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</si>
  <si>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</si>
  <si>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Haltenpipe</t>
  </si>
  <si>
    <t>1996-11-11</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</si>
  <si>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</si>
  <si>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Heidrun Gasstransport</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</si>
  <si>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</si>
  <si>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2019-10-05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</si>
  <si>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</si>
  <si>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2021-06-30</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</si>
  <si>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</si>
  <si>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Ormen Lange PL-A</t>
  </si>
  <si>
    <t>ORMEN LANGE</t>
  </si>
  <si>
    <t>A/S Norske Shell</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</si>
  <si>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</si>
  <si>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</si>
  <si>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</si>
  <si>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</si>
  <si>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</si>
  <si>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</si>
  <si>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Aker BP ASA</t>
  </si>
  <si>
    <t>2012-11-10</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</si>
  <si>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</si>
  <si>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2007-08-21</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</si>
  <si>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</si>
  <si>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</si>
  <si>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</si>
  <si>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</si>
  <si>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</si>
  <si>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</si>
  <si>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</si>
  <si>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LINESTRING (1.9143993643152986 58.364468438442366, 1.9173904614043764 58.36293314114221, 2.002333380060846 58.32729991768154, 2.2304039685719563 58.251683041865476, 2.2683414693356005 58.241147135854945, 2.4627678978090968 58.19033356020892)</t>
  </si>
  <si>
    <t>LINESTRING (8.40599954145113 55.744355829654246, 8.177592315602979 55.77635410385294, 6.518139759559453 55.71135025950466, 6.502439404798719 55.70935001634503)</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</si>
  <si>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</si>
  <si>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</si>
  <si>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CATS</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</si>
  <si>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</si>
  <si>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FLAGS</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</si>
  <si>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</si>
  <si>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Kvitebjorn Gassror</t>
  </si>
  <si>
    <t>KVITEBJoRN</t>
  </si>
  <si>
    <t>Gjoa Gassror</t>
  </si>
  <si>
    <t>GJoA</t>
  </si>
  <si>
    <t>GJoA-T</t>
  </si>
  <si>
    <t>Grane Gassror</t>
  </si>
  <si>
    <t>Gudrun Gassror</t>
  </si>
  <si>
    <t>Johan Sverdrup Gassror</t>
  </si>
  <si>
    <t>Martin Linge Gassror</t>
  </si>
  <si>
    <t>Skarv Gassror</t>
  </si>
  <si>
    <t>Snohvit Gassror</t>
  </si>
  <si>
    <t>SNoHVIT PLEM-1</t>
  </si>
  <si>
    <t>MELKoYA</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</si>
  <si>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</si>
  <si>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</si>
  <si>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</si>
  <si>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</si>
  <si>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</si>
  <si>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</si>
  <si>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</si>
  <si>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</si>
  <si>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</si>
  <si>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</si>
  <si>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</si>
  <si>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</si>
  <si>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</si>
  <si>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</si>
  <si>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</si>
  <si>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SLEINER R</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</si>
  <si>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</si>
  <si>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</si>
  <si>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</si>
  <si>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</si>
  <si>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</si>
  <si>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</si>
  <si>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</si>
  <si>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</si>
  <si>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</si>
  <si>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</si>
  <si>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</si>
  <si>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</si>
  <si>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</si>
  <si>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</si>
  <si>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</si>
  <si>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</si>
  <si>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</si>
  <si>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</si>
  <si>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</si>
  <si>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</si>
  <si>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</si>
  <si>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</si>
  <si>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</si>
  <si>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</si>
  <si>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</si>
  <si>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</si>
  <si>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</si>
  <si>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</si>
  <si>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</si>
  <si>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</si>
  <si>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</si>
  <si>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</si>
  <si>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</si>
  <si>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</si>
  <si>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</si>
  <si>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</si>
  <si>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</si>
  <si>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</si>
  <si>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</si>
  <si>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</si>
  <si>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</si>
  <si>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</si>
  <si>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</si>
  <si>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</si>
  <si>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</si>
  <si>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</si>
  <si>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</si>
  <si>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</si>
  <si>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</si>
  <si>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</si>
  <si>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</si>
  <si>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</si>
  <si>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</si>
  <si>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</si>
  <si>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</si>
  <si>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</si>
  <si>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</si>
  <si>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</si>
  <si>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</si>
  <si>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</si>
  <si>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</si>
  <si>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</si>
  <si>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</si>
  <si>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</si>
  <si>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</si>
  <si>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</si>
  <si>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</si>
  <si>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</si>
  <si>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</si>
  <si>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</si>
  <si>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</si>
  <si>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</si>
  <si>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</si>
  <si>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</si>
  <si>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</si>
  <si>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</si>
  <si>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</si>
  <si>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</si>
  <si>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</si>
  <si>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</si>
  <si>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</si>
  <si>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</si>
  <si>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</si>
  <si>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</si>
  <si>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</si>
  <si>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</si>
  <si>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</si>
  <si>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</si>
  <si>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</si>
  <si>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</si>
  <si>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</si>
  <si>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</si>
  <si>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LINESTRING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</si>
  <si>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Baltic Pipe 1</t>
  </si>
  <si>
    <t>Baltic Pipe 2</t>
  </si>
  <si>
    <t>Baltic Pipe 3</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</si>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</sst>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54">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0" fillId="0" borderId="1" xfId="0" applyFill="1" applyBorder="1"/>
    <xf numFmtId="0" fontId="16" fillId="0" borderId="1" xfId="0" applyFont="1" applyBorder="1"/>
    <xf numFmtId="2" fontId="0" fillId="0" borderId="0" xfId="0" applyNumberFormat="1" applyBorder="1" applyAlignment="1">
      <alignment horizontal="right"/>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7"/>
  <sheetViews>
    <sheetView zoomScale="180" zoomScaleNormal="180" workbookViewId="0">
      <selection activeCell="B7" sqref="B7"/>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39" t="s">
        <v>137</v>
      </c>
      <c r="H1" s="39"/>
      <c r="I1" s="39"/>
      <c r="J1" s="39"/>
      <c r="K1" s="39"/>
      <c r="L1" s="39"/>
      <c r="M1" s="39"/>
      <c r="N1" s="39"/>
      <c r="O1" s="39"/>
      <c r="P1" s="39"/>
      <c r="Q1" s="39"/>
      <c r="R1" s="39"/>
      <c r="S1" s="39"/>
      <c r="T1" s="39"/>
      <c r="U1" s="39"/>
      <c r="V1" s="40" t="s">
        <v>266</v>
      </c>
      <c r="W1" s="40"/>
      <c r="X1" s="40"/>
      <c r="Y1" s="40"/>
      <c r="Z1" s="40"/>
      <c r="AA1" s="40"/>
      <c r="AB1" s="40"/>
      <c r="AC1" s="40"/>
      <c r="AD1" s="40"/>
      <c r="AE1" s="40"/>
      <c r="AF1" s="40"/>
      <c r="AG1" s="40"/>
      <c r="AH1" s="40"/>
      <c r="AI1" s="40"/>
    </row>
    <row r="2" spans="1:35" x14ac:dyDescent="0.2">
      <c r="A2" s="4" t="s">
        <v>0</v>
      </c>
      <c r="B2" s="4" t="s">
        <v>1</v>
      </c>
      <c r="C2" s="4" t="s">
        <v>4</v>
      </c>
      <c r="D2" s="15" t="s">
        <v>67</v>
      </c>
      <c r="E2" s="15" t="s">
        <v>68</v>
      </c>
      <c r="F2" s="4" t="s">
        <v>129</v>
      </c>
      <c r="G2" s="5" t="s">
        <v>70</v>
      </c>
      <c r="H2" s="5" t="s">
        <v>71</v>
      </c>
      <c r="I2" s="5" t="s">
        <v>38</v>
      </c>
      <c r="J2" s="5" t="s">
        <v>327</v>
      </c>
      <c r="K2" s="5" t="s">
        <v>39</v>
      </c>
      <c r="L2" s="5" t="s">
        <v>40</v>
      </c>
      <c r="M2" s="5" t="s">
        <v>41</v>
      </c>
      <c r="N2" s="5" t="s">
        <v>42</v>
      </c>
      <c r="O2" s="5" t="s">
        <v>43</v>
      </c>
      <c r="P2" s="5" t="s">
        <v>44</v>
      </c>
      <c r="Q2" s="5" t="s">
        <v>45</v>
      </c>
      <c r="R2" s="5" t="s">
        <v>46</v>
      </c>
      <c r="S2" s="5" t="s">
        <v>47</v>
      </c>
      <c r="T2" s="5" t="s">
        <v>48</v>
      </c>
      <c r="U2" s="5" t="s">
        <v>49</v>
      </c>
      <c r="V2" s="6" t="s">
        <v>72</v>
      </c>
      <c r="W2" s="6" t="s">
        <v>73</v>
      </c>
      <c r="X2" s="6" t="s">
        <v>50</v>
      </c>
      <c r="Y2" s="6" t="s">
        <v>51</v>
      </c>
      <c r="Z2" s="6" t="s">
        <v>52</v>
      </c>
      <c r="AA2" s="6" t="s">
        <v>53</v>
      </c>
      <c r="AB2" s="6" t="s">
        <v>54</v>
      </c>
      <c r="AC2" s="6" t="s">
        <v>55</v>
      </c>
      <c r="AD2" s="6" t="s">
        <v>56</v>
      </c>
      <c r="AE2" s="6" t="s">
        <v>57</v>
      </c>
      <c r="AF2" s="6" t="s">
        <v>58</v>
      </c>
      <c r="AG2" s="6" t="s">
        <v>59</v>
      </c>
      <c r="AH2" s="6" t="s">
        <v>60</v>
      </c>
      <c r="AI2" s="6" t="s">
        <v>61</v>
      </c>
    </row>
    <row r="3" spans="1:35" x14ac:dyDescent="0.2">
      <c r="A3" s="1">
        <v>3</v>
      </c>
      <c r="B3" s="1" t="s">
        <v>75</v>
      </c>
      <c r="C3" s="1"/>
      <c r="D3" s="16">
        <v>7.1072270000000231</v>
      </c>
      <c r="E3" s="16">
        <v>67.055610000000058</v>
      </c>
      <c r="F3" s="1"/>
      <c r="G3" s="2">
        <v>5</v>
      </c>
      <c r="H3" s="2">
        <v>5</v>
      </c>
      <c r="I3" s="2">
        <f>SUMIFS(ProductionCapacities!$F$2:$F$51,ProductionCapacities!$E$2:$E$51,Nodes!B5)</f>
        <v>10.05705205479452</v>
      </c>
      <c r="J3" s="2">
        <v>8889.5949999999993</v>
      </c>
      <c r="K3" s="11">
        <v>500</v>
      </c>
      <c r="L3" s="11">
        <v>500</v>
      </c>
      <c r="M3" s="2">
        <v>1</v>
      </c>
      <c r="N3" s="2">
        <v>0</v>
      </c>
      <c r="O3" s="2">
        <v>0</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15</v>
      </c>
      <c r="B4" s="1" t="s">
        <v>256</v>
      </c>
      <c r="C4" s="1"/>
      <c r="D4" s="16">
        <v>4.6885411271899056</v>
      </c>
      <c r="E4" s="16">
        <v>62.302728638549418</v>
      </c>
      <c r="F4" s="1"/>
      <c r="G4" s="2">
        <v>5</v>
      </c>
      <c r="H4" s="2">
        <v>5</v>
      </c>
      <c r="I4" s="2">
        <f>SUMIFS(ProductionCapacities!$F$2:$F$51,ProductionCapacities!$E$2:$E$51,Nodes!B17)</f>
        <v>0</v>
      </c>
      <c r="J4" s="2">
        <v>0</v>
      </c>
      <c r="K4" s="11">
        <v>500</v>
      </c>
      <c r="L4" s="11">
        <v>500</v>
      </c>
      <c r="M4" s="2">
        <v>1</v>
      </c>
      <c r="N4" s="2">
        <v>0</v>
      </c>
      <c r="O4" s="2">
        <v>0</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7</v>
      </c>
      <c r="B5" s="1" t="s">
        <v>255</v>
      </c>
      <c r="C5" s="1"/>
      <c r="D5" s="16">
        <v>6.8036598360000653</v>
      </c>
      <c r="E5" s="16">
        <v>65.094471500000054</v>
      </c>
      <c r="F5" s="1"/>
      <c r="G5" s="2">
        <v>5</v>
      </c>
      <c r="H5" s="2">
        <v>5</v>
      </c>
      <c r="I5" s="2">
        <f>SUMIFS(ProductionCapacities!$F$2:$F$51,ProductionCapacities!$E$2:$E$51,Nodes!B9)</f>
        <v>0</v>
      </c>
      <c r="J5" s="2">
        <v>0</v>
      </c>
      <c r="K5" s="11">
        <v>500</v>
      </c>
      <c r="L5" s="11">
        <v>500</v>
      </c>
      <c r="M5" s="2">
        <v>1</v>
      </c>
      <c r="N5" s="2">
        <v>0</v>
      </c>
      <c r="O5" s="2">
        <v>0</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48</v>
      </c>
      <c r="B6" s="1" t="s">
        <v>114</v>
      </c>
      <c r="C6" s="1"/>
      <c r="D6" s="22">
        <v>4.5569471181611378</v>
      </c>
      <c r="E6" s="22">
        <v>55.458982371638299</v>
      </c>
      <c r="F6" s="1"/>
      <c r="G6" s="2">
        <v>5</v>
      </c>
      <c r="H6" s="2">
        <v>5</v>
      </c>
      <c r="I6" s="2">
        <f>SUMIFS(ProductionCapacities!$F$2:$F$51,ProductionCapacities!$E$2:$E$51,Nodes!B50)</f>
        <v>35.775961643835615</v>
      </c>
      <c r="J6" s="2">
        <v>0</v>
      </c>
      <c r="K6" s="11">
        <v>500</v>
      </c>
      <c r="L6" s="11">
        <v>500</v>
      </c>
      <c r="M6" s="2">
        <v>1</v>
      </c>
      <c r="N6" s="2">
        <v>0</v>
      </c>
      <c r="O6" s="2">
        <v>0</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47</v>
      </c>
      <c r="B7" s="1" t="s">
        <v>113</v>
      </c>
      <c r="C7" s="1"/>
      <c r="D7" s="22">
        <v>6.5038</v>
      </c>
      <c r="E7" s="22">
        <v>55.71</v>
      </c>
      <c r="F7" s="1"/>
      <c r="G7" s="2">
        <v>5</v>
      </c>
      <c r="H7" s="2">
        <v>5</v>
      </c>
      <c r="I7" s="2">
        <f>SUMIFS(ProductionCapacities!$F$2:$F$51,ProductionCapacities!$E$2:$E$51,Nodes!B49)</f>
        <v>0</v>
      </c>
      <c r="J7" s="29">
        <v>0</v>
      </c>
      <c r="K7" s="11">
        <v>500</v>
      </c>
      <c r="L7" s="11">
        <v>500</v>
      </c>
      <c r="M7" s="2">
        <v>1</v>
      </c>
      <c r="N7" s="2">
        <v>0</v>
      </c>
      <c r="O7" s="2">
        <v>0</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23</v>
      </c>
      <c r="B8" s="1" t="s">
        <v>90</v>
      </c>
      <c r="C8" s="1"/>
      <c r="D8" s="16">
        <v>2.8980550000000558</v>
      </c>
      <c r="E8" s="16">
        <v>60.560633000000053</v>
      </c>
      <c r="F8" s="1"/>
      <c r="G8" s="2">
        <v>5</v>
      </c>
      <c r="H8" s="2">
        <v>5</v>
      </c>
      <c r="I8" s="2">
        <f>SUMIFS(ProductionCapacities!$F$2:$F$51,ProductionCapacities!$E$2:$E$51,Nodes!B25)</f>
        <v>0</v>
      </c>
      <c r="J8" s="2">
        <v>0</v>
      </c>
      <c r="K8" s="11">
        <v>500</v>
      </c>
      <c r="L8" s="11">
        <v>500</v>
      </c>
      <c r="M8" s="2">
        <v>1</v>
      </c>
      <c r="N8" s="2">
        <v>0</v>
      </c>
      <c r="O8" s="2">
        <v>0</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26</v>
      </c>
      <c r="B9" s="1" t="s">
        <v>93</v>
      </c>
      <c r="C9" s="1"/>
      <c r="D9" s="16">
        <v>3.037825494927695</v>
      </c>
      <c r="E9" s="16">
        <v>60.543328997897447</v>
      </c>
      <c r="F9" s="1"/>
      <c r="G9" s="2">
        <v>5</v>
      </c>
      <c r="H9" s="2">
        <v>5</v>
      </c>
      <c r="I9" s="2">
        <f>SUMIFS(ProductionCapacities!$F$2:$F$51,ProductionCapacities!$E$2:$E$51,Nodes!B28)</f>
        <v>11.147753424657534</v>
      </c>
      <c r="J9" s="2">
        <v>48.064999999999998</v>
      </c>
      <c r="K9" s="11">
        <v>500</v>
      </c>
      <c r="L9" s="11">
        <v>500</v>
      </c>
      <c r="M9" s="2">
        <v>1</v>
      </c>
      <c r="N9" s="2">
        <v>0</v>
      </c>
      <c r="O9" s="2">
        <v>0</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43</v>
      </c>
      <c r="B10" s="1" t="s">
        <v>109</v>
      </c>
      <c r="C10" s="1"/>
      <c r="D10" s="22">
        <v>1.803328</v>
      </c>
      <c r="E10" s="22">
        <v>57.758068999999999</v>
      </c>
      <c r="F10" s="1"/>
      <c r="G10" s="2">
        <v>5</v>
      </c>
      <c r="H10" s="2">
        <v>5</v>
      </c>
      <c r="I10" s="2">
        <f>SUMIFS(ProductionCapacities!$F$2:$F$51,ProductionCapacities!$E$2:$E$51,Nodes!B45)</f>
        <v>0</v>
      </c>
      <c r="J10" s="2">
        <v>1282.3420000000001</v>
      </c>
      <c r="K10" s="11">
        <v>500</v>
      </c>
      <c r="L10" s="11">
        <v>500</v>
      </c>
      <c r="M10" s="2">
        <v>1</v>
      </c>
      <c r="N10" s="2">
        <v>0</v>
      </c>
      <c r="O10" s="2">
        <v>0</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58</v>
      </c>
      <c r="B11" s="1" t="s">
        <v>124</v>
      </c>
      <c r="C11" s="1"/>
      <c r="D11" s="22">
        <v>8.4072999999999993</v>
      </c>
      <c r="E11" s="22">
        <v>55.744999999999997</v>
      </c>
      <c r="F11" s="1"/>
      <c r="G11" s="2">
        <v>5</v>
      </c>
      <c r="H11" s="2">
        <v>5</v>
      </c>
      <c r="I11" s="2">
        <f>SUMIFS(ProductionCapacities!$F$2:$F$51,ProductionCapacities!$E$2:$E$51,Nodes!B60)</f>
        <v>0</v>
      </c>
      <c r="J11" s="2">
        <v>0</v>
      </c>
      <c r="K11" s="11">
        <v>500</v>
      </c>
      <c r="L11" s="11">
        <v>500</v>
      </c>
      <c r="M11" s="2">
        <v>1</v>
      </c>
      <c r="N11" s="2">
        <v>0</v>
      </c>
      <c r="O11" s="2">
        <v>0</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59</v>
      </c>
      <c r="B12" s="1" t="s">
        <v>125</v>
      </c>
      <c r="C12" s="1"/>
      <c r="D12" s="22">
        <v>9.3108000000000004</v>
      </c>
      <c r="E12" s="22">
        <v>55.616999999999997</v>
      </c>
      <c r="F12" s="1"/>
      <c r="G12" s="2">
        <v>5</v>
      </c>
      <c r="H12" s="2">
        <v>5</v>
      </c>
      <c r="I12" s="2">
        <f>SUMIFS(ProductionCapacities!$F$2:$F$51,ProductionCapacities!$E$2:$E$51,Nodes!B61)</f>
        <v>0</v>
      </c>
      <c r="J12" s="2">
        <v>0</v>
      </c>
      <c r="K12" s="11">
        <v>500</v>
      </c>
      <c r="L12" s="11">
        <v>500</v>
      </c>
      <c r="M12" s="2">
        <v>1</v>
      </c>
      <c r="N12" s="2">
        <v>0</v>
      </c>
      <c r="O12" s="2">
        <v>0</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60</v>
      </c>
      <c r="B13" s="1" t="s">
        <v>126</v>
      </c>
      <c r="C13" s="1"/>
      <c r="D13" s="22">
        <v>10.7951</v>
      </c>
      <c r="E13" s="22">
        <v>55.286999999999999</v>
      </c>
      <c r="F13" s="1"/>
      <c r="G13" s="2">
        <v>5</v>
      </c>
      <c r="H13" s="2">
        <v>5</v>
      </c>
      <c r="I13" s="2">
        <f>SUMIFS(ProductionCapacities!$F$2:$F$51,ProductionCapacities!$E$2:$E$51,Nodes!B62)</f>
        <v>112.51944931506848</v>
      </c>
      <c r="J13" s="2">
        <v>0</v>
      </c>
      <c r="K13" s="11">
        <v>500</v>
      </c>
      <c r="L13" s="11">
        <v>500</v>
      </c>
      <c r="M13" s="2">
        <v>1</v>
      </c>
      <c r="N13" s="2">
        <v>0</v>
      </c>
      <c r="O13" s="2">
        <v>0</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61</v>
      </c>
      <c r="B14" s="1" t="s">
        <v>127</v>
      </c>
      <c r="C14" s="1"/>
      <c r="D14" s="22">
        <v>11.2102</v>
      </c>
      <c r="E14" s="22">
        <v>55.389000000000003</v>
      </c>
      <c r="F14" s="1"/>
      <c r="G14" s="2">
        <v>5</v>
      </c>
      <c r="H14" s="2">
        <v>5</v>
      </c>
      <c r="I14" s="2">
        <f>SUMIFS(ProductionCapacities!$F$2:$F$51,ProductionCapacities!$E$2:$E$51,Nodes!B63)</f>
        <v>0</v>
      </c>
      <c r="J14" s="2">
        <v>0</v>
      </c>
      <c r="K14" s="11">
        <v>500</v>
      </c>
      <c r="L14" s="11">
        <v>500</v>
      </c>
      <c r="M14" s="2">
        <v>1</v>
      </c>
      <c r="N14" s="2">
        <v>0</v>
      </c>
      <c r="O14" s="2">
        <v>0</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10</v>
      </c>
      <c r="B15" s="1" t="s">
        <v>81</v>
      </c>
      <c r="C15" s="1"/>
      <c r="D15" s="16">
        <v>6.4412580000000617</v>
      </c>
      <c r="E15" s="16">
        <v>64.233255000000042</v>
      </c>
      <c r="F15" s="1"/>
      <c r="G15" s="2">
        <v>5</v>
      </c>
      <c r="H15" s="2">
        <v>5</v>
      </c>
      <c r="I15" s="2">
        <f>SUMIFS(ProductionCapacities!$F$2:$F$51,ProductionCapacities!$E$2:$E$51,Nodes!B12)</f>
        <v>0</v>
      </c>
      <c r="J15" s="2">
        <v>48.064999999999998</v>
      </c>
      <c r="K15" s="11">
        <v>500</v>
      </c>
      <c r="L15" s="11">
        <v>500</v>
      </c>
      <c r="M15" s="2">
        <v>1</v>
      </c>
      <c r="N15" s="2">
        <v>0</v>
      </c>
      <c r="O15" s="2">
        <v>0</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9</v>
      </c>
      <c r="B16" s="1" t="s">
        <v>80</v>
      </c>
      <c r="C16" s="1"/>
      <c r="D16" s="16">
        <v>7.7910261052919596</v>
      </c>
      <c r="E16" s="16">
        <v>64.350567591210293</v>
      </c>
      <c r="F16" s="1"/>
      <c r="G16" s="2">
        <v>5</v>
      </c>
      <c r="H16" s="2">
        <v>5</v>
      </c>
      <c r="I16" s="2">
        <f>SUMIFS(ProductionCapacities!$F$2:$F$51,ProductionCapacities!$E$2:$E$51,Nodes!B11)</f>
        <v>0</v>
      </c>
      <c r="J16" s="2">
        <v>48.064999999999998</v>
      </c>
      <c r="K16" s="11">
        <v>500</v>
      </c>
      <c r="L16" s="11">
        <v>500</v>
      </c>
      <c r="M16" s="2">
        <v>1</v>
      </c>
      <c r="N16" s="2">
        <v>0</v>
      </c>
      <c r="O16" s="2">
        <v>0</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41</v>
      </c>
      <c r="B17" s="1" t="s">
        <v>107</v>
      </c>
      <c r="C17" s="1"/>
      <c r="D17" s="22">
        <v>2.4644041660536331</v>
      </c>
      <c r="E17" s="22">
        <v>58.188149017412513</v>
      </c>
      <c r="F17" s="1"/>
      <c r="G17" s="2">
        <v>5</v>
      </c>
      <c r="H17" s="2">
        <v>5</v>
      </c>
      <c r="I17" s="2">
        <f>SUMIFS(ProductionCapacities!$F$2:$F$51,ProductionCapacities!$E$2:$E$51,Nodes!B43)</f>
        <v>0</v>
      </c>
      <c r="J17" s="2">
        <v>0</v>
      </c>
      <c r="K17" s="11">
        <v>500</v>
      </c>
      <c r="L17" s="11">
        <v>500</v>
      </c>
      <c r="M17" s="2">
        <v>1</v>
      </c>
      <c r="N17" s="2">
        <v>0</v>
      </c>
      <c r="O17" s="2">
        <v>0</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42</v>
      </c>
      <c r="B18" s="1" t="s">
        <v>108</v>
      </c>
      <c r="C18" s="1"/>
      <c r="D18" s="22">
        <v>2.4737329746028802</v>
      </c>
      <c r="E18" s="22">
        <v>58.184409229014761</v>
      </c>
      <c r="F18" s="1"/>
      <c r="G18" s="2">
        <v>5</v>
      </c>
      <c r="H18" s="2">
        <v>5</v>
      </c>
      <c r="I18" s="2">
        <f>SUMIFS(ProductionCapacities!$F$2:$F$51,ProductionCapacities!$E$2:$E$51,Nodes!B44)</f>
        <v>1.560150684931507</v>
      </c>
      <c r="J18" s="2">
        <v>0</v>
      </c>
      <c r="K18" s="11">
        <v>500</v>
      </c>
      <c r="L18" s="11">
        <v>500</v>
      </c>
      <c r="M18" s="2">
        <v>1</v>
      </c>
      <c r="N18" s="2">
        <v>0</v>
      </c>
      <c r="O18" s="2">
        <v>0</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57</v>
      </c>
      <c r="B19" s="1" t="s">
        <v>123</v>
      </c>
      <c r="C19" s="1"/>
      <c r="D19" s="22">
        <v>2.252709000000038</v>
      </c>
      <c r="E19" s="22">
        <v>51.046406000000047</v>
      </c>
      <c r="F19" s="1"/>
      <c r="G19" s="2">
        <v>5</v>
      </c>
      <c r="H19" s="2">
        <v>5</v>
      </c>
      <c r="I19" s="2">
        <f>SUMIFS(ProductionCapacities!$F$2:$F$51,ProductionCapacities!$E$2:$E$51,Nodes!B59)</f>
        <v>17.376356164383559</v>
      </c>
      <c r="J19" s="29">
        <v>1214.5999999999999</v>
      </c>
      <c r="K19" s="11">
        <v>500</v>
      </c>
      <c r="L19" s="11">
        <v>500</v>
      </c>
      <c r="M19" s="2">
        <v>1</v>
      </c>
      <c r="N19" s="2">
        <v>0</v>
      </c>
      <c r="O19" s="2">
        <v>0</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54</v>
      </c>
      <c r="B20" s="1" t="s">
        <v>120</v>
      </c>
      <c r="C20" s="1"/>
      <c r="D20" s="22">
        <v>0.1160310000000209</v>
      </c>
      <c r="E20" s="22">
        <v>53.659231000000027</v>
      </c>
      <c r="F20" s="1"/>
      <c r="G20" s="2">
        <v>5</v>
      </c>
      <c r="H20" s="2">
        <v>5</v>
      </c>
      <c r="I20" s="2">
        <f>SUMIFS(ProductionCapacities!$F$2:$F$51,ProductionCapacities!$E$2:$E$51,Nodes!B56)</f>
        <v>10.108852054794522</v>
      </c>
      <c r="J20" s="2">
        <v>0</v>
      </c>
      <c r="K20" s="11">
        <v>500</v>
      </c>
      <c r="L20" s="11">
        <v>500</v>
      </c>
      <c r="M20" s="2">
        <v>1</v>
      </c>
      <c r="N20" s="2">
        <v>0</v>
      </c>
      <c r="O20" s="2">
        <v>0</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32</v>
      </c>
      <c r="B21" s="1" t="s">
        <v>99</v>
      </c>
      <c r="C21" s="1"/>
      <c r="D21" s="16">
        <v>1.3911370790000319</v>
      </c>
      <c r="E21" s="16">
        <v>59.47797846900005</v>
      </c>
      <c r="F21" s="1"/>
      <c r="G21" s="2">
        <v>5</v>
      </c>
      <c r="H21" s="2">
        <v>5</v>
      </c>
      <c r="I21" s="2">
        <f>SUMIFS(ProductionCapacities!$F$2:$F$51,ProductionCapacities!$E$2:$E$51,Nodes!B34)</f>
        <v>0</v>
      </c>
      <c r="J21" s="2">
        <v>48.064999999999998</v>
      </c>
      <c r="K21" s="11">
        <v>500</v>
      </c>
      <c r="L21" s="11">
        <v>500</v>
      </c>
      <c r="M21" s="2">
        <v>1</v>
      </c>
      <c r="N21" s="2">
        <v>0</v>
      </c>
      <c r="O21" s="2">
        <v>0</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45</v>
      </c>
      <c r="B22" s="1" t="s">
        <v>111</v>
      </c>
      <c r="C22" s="1"/>
      <c r="D22" s="52">
        <v>3.23</v>
      </c>
      <c r="E22" s="52">
        <v>56.55</v>
      </c>
      <c r="F22" s="1"/>
      <c r="G22" s="2">
        <v>5</v>
      </c>
      <c r="H22" s="2">
        <v>5</v>
      </c>
      <c r="I22" s="2">
        <f>SUMIFS(ProductionCapacities!$F$2:$F$51,ProductionCapacities!$E$2:$E$51,Nodes!B47)</f>
        <v>0</v>
      </c>
      <c r="J22" s="2">
        <v>578.78499999999997</v>
      </c>
      <c r="K22" s="11">
        <v>500</v>
      </c>
      <c r="L22" s="11">
        <v>500</v>
      </c>
      <c r="M22" s="2">
        <v>1</v>
      </c>
      <c r="N22" s="2">
        <v>0</v>
      </c>
      <c r="O22" s="2">
        <v>0</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55</v>
      </c>
      <c r="B23" s="1" t="s">
        <v>121</v>
      </c>
      <c r="C23" s="1"/>
      <c r="D23" s="22">
        <v>7.3264200000000406</v>
      </c>
      <c r="E23" s="22">
        <v>53.679700000000082</v>
      </c>
      <c r="F23" s="1"/>
      <c r="G23" s="2">
        <v>5</v>
      </c>
      <c r="H23" s="2">
        <v>5</v>
      </c>
      <c r="I23" s="2">
        <f>SUMIFS(ProductionCapacities!$F$2:$F$51,ProductionCapacities!$E$2:$E$51,Nodes!B57)</f>
        <v>0</v>
      </c>
      <c r="J23" s="2">
        <v>0</v>
      </c>
      <c r="K23" s="11">
        <v>500</v>
      </c>
      <c r="L23" s="11">
        <v>500</v>
      </c>
      <c r="M23" s="2">
        <v>1</v>
      </c>
      <c r="N23" s="2">
        <v>0</v>
      </c>
      <c r="O23" s="2">
        <v>0</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62</v>
      </c>
      <c r="B24" s="1" t="s">
        <v>128</v>
      </c>
      <c r="C24" s="1"/>
      <c r="D24" s="16">
        <v>7.1892900000000282</v>
      </c>
      <c r="E24" s="16">
        <v>53.346200000000067</v>
      </c>
      <c r="F24" s="1"/>
      <c r="G24" s="2">
        <v>5</v>
      </c>
      <c r="H24" s="2">
        <v>5</v>
      </c>
      <c r="I24" s="2">
        <f>SUMIFS(ProductionCapacities!$F$2:$F$51,ProductionCapacities!$E$2:$E$51,Nodes!B64)</f>
        <v>0</v>
      </c>
      <c r="J24" s="2">
        <v>0</v>
      </c>
      <c r="K24" s="11">
        <v>500</v>
      </c>
      <c r="L24" s="11">
        <v>500</v>
      </c>
      <c r="M24" s="2">
        <v>1</v>
      </c>
      <c r="N24" s="2">
        <v>0</v>
      </c>
      <c r="O24" s="2">
        <v>0</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53</v>
      </c>
      <c r="B25" s="1" t="s">
        <v>119</v>
      </c>
      <c r="C25" s="1"/>
      <c r="D25" s="23">
        <v>4.2226220000000581</v>
      </c>
      <c r="E25" s="23">
        <v>55.706969000000072</v>
      </c>
      <c r="F25" s="1"/>
      <c r="G25" s="2">
        <v>5</v>
      </c>
      <c r="H25" s="2">
        <v>5</v>
      </c>
      <c r="I25" s="2">
        <f>SUMIFS(ProductionCapacities!$F$2:$F$51,ProductionCapacities!$E$2:$E$51,Nodes!B55)</f>
        <v>0</v>
      </c>
      <c r="J25" s="2">
        <v>0</v>
      </c>
      <c r="K25" s="11">
        <v>500</v>
      </c>
      <c r="L25" s="11">
        <v>500</v>
      </c>
      <c r="M25" s="2">
        <v>1</v>
      </c>
      <c r="N25" s="2">
        <v>0</v>
      </c>
      <c r="O25" s="2">
        <v>0</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21</v>
      </c>
      <c r="B26" s="1" t="s">
        <v>89</v>
      </c>
      <c r="C26" s="1"/>
      <c r="D26" s="16">
        <v>1.700189114000068</v>
      </c>
      <c r="E26" s="16">
        <v>61.022018433000028</v>
      </c>
      <c r="F26" s="1"/>
      <c r="G26" s="2">
        <v>5</v>
      </c>
      <c r="H26" s="2">
        <v>5</v>
      </c>
      <c r="I26" s="2">
        <f>SUMIFS(ProductionCapacities!$F$2:$F$51,ProductionCapacities!$E$2:$E$51,Nodes!B23)</f>
        <v>0</v>
      </c>
      <c r="J26" s="2">
        <v>0</v>
      </c>
      <c r="K26" s="11">
        <v>500</v>
      </c>
      <c r="L26" s="11">
        <v>500</v>
      </c>
      <c r="M26" s="2">
        <v>1</v>
      </c>
      <c r="N26" s="2">
        <v>0</v>
      </c>
      <c r="O26" s="2">
        <v>0</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27</v>
      </c>
      <c r="B27" s="1" t="s">
        <v>94</v>
      </c>
      <c r="C27" s="1"/>
      <c r="D27" s="16">
        <v>2.011387666028313</v>
      </c>
      <c r="E27" s="16">
        <v>60.502035307044537</v>
      </c>
      <c r="F27" s="1"/>
      <c r="G27" s="2">
        <v>5</v>
      </c>
      <c r="H27" s="2">
        <v>5</v>
      </c>
      <c r="I27" s="2">
        <f>SUMIFS(ProductionCapacities!$F$2:$F$51,ProductionCapacities!$E$2:$E$51,Nodes!B29)</f>
        <v>0</v>
      </c>
      <c r="J27" s="2">
        <v>0</v>
      </c>
      <c r="K27" s="11">
        <v>500</v>
      </c>
      <c r="L27" s="11">
        <v>500</v>
      </c>
      <c r="M27" s="2">
        <v>1</v>
      </c>
      <c r="N27" s="2">
        <v>0</v>
      </c>
      <c r="O27" s="2">
        <v>0</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22</v>
      </c>
      <c r="B28" s="1" t="s">
        <v>236</v>
      </c>
      <c r="C28" s="1"/>
      <c r="D28" s="16">
        <v>1.6999852660000561</v>
      </c>
      <c r="E28" s="16">
        <v>61.020797730000027</v>
      </c>
      <c r="F28" s="1"/>
      <c r="G28" s="2">
        <v>5</v>
      </c>
      <c r="H28" s="2">
        <v>5</v>
      </c>
      <c r="I28" s="2">
        <f>SUMIFS(ProductionCapacities!$F$2:$F$51,ProductionCapacities!$E$2:$E$51,Nodes!B24)</f>
        <v>0</v>
      </c>
      <c r="J28" s="2">
        <v>2588.0810000000001</v>
      </c>
      <c r="K28" s="11">
        <v>500</v>
      </c>
      <c r="L28" s="11">
        <v>500</v>
      </c>
      <c r="M28" s="2">
        <v>1</v>
      </c>
      <c r="N28" s="2">
        <v>0</v>
      </c>
      <c r="O28" s="2">
        <v>0</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16</v>
      </c>
      <c r="B29" s="1" t="s">
        <v>237</v>
      </c>
      <c r="C29" s="1"/>
      <c r="D29" s="16">
        <v>3.9049897926673558</v>
      </c>
      <c r="E29" s="16">
        <v>61.330193776287437</v>
      </c>
      <c r="F29" s="1"/>
      <c r="G29" s="2">
        <v>5</v>
      </c>
      <c r="H29" s="2">
        <v>5</v>
      </c>
      <c r="I29" s="2">
        <f>SUMIFS(ProductionCapacities!$F$2:$F$51,ProductionCapacities!$E$2:$E$51,Nodes!B18)</f>
        <v>0</v>
      </c>
      <c r="J29" s="2">
        <v>2588.0810000000001</v>
      </c>
      <c r="K29" s="11">
        <v>500</v>
      </c>
      <c r="L29" s="11">
        <v>500</v>
      </c>
      <c r="M29" s="2">
        <v>1</v>
      </c>
      <c r="N29" s="2">
        <v>0</v>
      </c>
      <c r="O29" s="2">
        <v>0</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35</v>
      </c>
      <c r="B30" s="1" t="s">
        <v>101</v>
      </c>
      <c r="C30" s="1"/>
      <c r="D30" s="16">
        <v>2.487335300560932</v>
      </c>
      <c r="E30" s="16">
        <v>59.169726343631233</v>
      </c>
      <c r="F30" s="1"/>
      <c r="G30" s="2">
        <v>5</v>
      </c>
      <c r="H30" s="2">
        <v>5</v>
      </c>
      <c r="I30" s="2">
        <f>SUMIFS(ProductionCapacities!$F$2:$F$51,ProductionCapacities!$E$2:$E$51,Nodes!B37)</f>
        <v>0</v>
      </c>
      <c r="J30" s="2">
        <v>48.064999999999998</v>
      </c>
      <c r="K30" s="11">
        <v>500</v>
      </c>
      <c r="L30" s="11">
        <v>500</v>
      </c>
      <c r="M30" s="2">
        <v>1</v>
      </c>
      <c r="N30" s="2">
        <v>0</v>
      </c>
      <c r="O30" s="2">
        <v>0</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36</v>
      </c>
      <c r="B31" s="1" t="s">
        <v>102</v>
      </c>
      <c r="C31" s="1"/>
      <c r="D31" s="16">
        <v>1.750470074427396</v>
      </c>
      <c r="E31" s="16">
        <v>58.84241056287069</v>
      </c>
      <c r="F31" s="1"/>
      <c r="G31" s="2">
        <v>5</v>
      </c>
      <c r="H31" s="2">
        <v>5</v>
      </c>
      <c r="I31" s="2">
        <f>SUMIFS(ProductionCapacities!$F$2:$F$51,ProductionCapacities!$E$2:$E$51,Nodes!B38)</f>
        <v>0</v>
      </c>
      <c r="J31" s="2">
        <v>667.00199999999995</v>
      </c>
      <c r="K31" s="11">
        <v>500</v>
      </c>
      <c r="L31" s="11">
        <v>500</v>
      </c>
      <c r="M31" s="2">
        <v>1</v>
      </c>
      <c r="N31" s="2">
        <v>0</v>
      </c>
      <c r="O31" s="2">
        <v>0</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51</v>
      </c>
      <c r="B32" s="1" t="s">
        <v>117</v>
      </c>
      <c r="C32" s="1"/>
      <c r="D32" s="22">
        <v>6.0406335538870612</v>
      </c>
      <c r="E32" s="22">
        <v>54.505801334185612</v>
      </c>
      <c r="F32" s="1"/>
      <c r="G32" s="2">
        <v>5</v>
      </c>
      <c r="H32" s="2">
        <v>5</v>
      </c>
      <c r="I32" s="2">
        <f>SUMIFS(ProductionCapacities!$F$2:$F$51,ProductionCapacities!$E$2:$E$51,Nodes!B53)</f>
        <v>16.88434794520548</v>
      </c>
      <c r="J32" s="2">
        <v>0</v>
      </c>
      <c r="K32" s="11">
        <v>500</v>
      </c>
      <c r="L32" s="11">
        <v>500</v>
      </c>
      <c r="M32" s="2">
        <v>1</v>
      </c>
      <c r="N32" s="2">
        <v>0</v>
      </c>
      <c r="O32" s="2">
        <v>0</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6</v>
      </c>
      <c r="B33" s="1" t="s">
        <v>78</v>
      </c>
      <c r="C33" s="1"/>
      <c r="D33" s="16">
        <v>7.3202454238671333</v>
      </c>
      <c r="E33" s="16">
        <v>65.321499578632455</v>
      </c>
      <c r="F33" s="1"/>
      <c r="G33" s="2">
        <v>5</v>
      </c>
      <c r="H33" s="2">
        <v>5</v>
      </c>
      <c r="I33" s="2">
        <f>SUMIFS(ProductionCapacities!$F$2:$F$51,ProductionCapacities!$E$2:$E$51,Nodes!B8)</f>
        <v>0.13168493150684932</v>
      </c>
      <c r="J33" s="2">
        <v>1214.5999999999999</v>
      </c>
      <c r="K33" s="11">
        <v>500</v>
      </c>
      <c r="L33" s="11">
        <v>500</v>
      </c>
      <c r="M33" s="2">
        <v>1</v>
      </c>
      <c r="N33" s="2">
        <v>0</v>
      </c>
      <c r="O33" s="2">
        <v>0</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31</v>
      </c>
      <c r="B34" s="1" t="s">
        <v>98</v>
      </c>
      <c r="C34" s="1"/>
      <c r="D34" s="16">
        <v>2.2345225779689399</v>
      </c>
      <c r="E34" s="16">
        <v>59.570737872744949</v>
      </c>
      <c r="F34" s="1"/>
      <c r="G34" s="2">
        <v>5</v>
      </c>
      <c r="H34" s="2">
        <v>5</v>
      </c>
      <c r="I34" s="2">
        <f>SUMIFS(ProductionCapacities!$F$2:$F$51,ProductionCapacities!$E$2:$E$51,Nodes!B33)</f>
        <v>5.23487397260274</v>
      </c>
      <c r="J34" s="2">
        <v>1329.308</v>
      </c>
      <c r="K34" s="11">
        <v>500</v>
      </c>
      <c r="L34" s="11">
        <v>500</v>
      </c>
      <c r="M34" s="2">
        <v>1</v>
      </c>
      <c r="N34" s="2">
        <v>0</v>
      </c>
      <c r="O34" s="2">
        <v>0</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30</v>
      </c>
      <c r="B35" s="1" t="s">
        <v>97</v>
      </c>
      <c r="C35" s="1"/>
      <c r="D35" s="16">
        <v>2.2352254874930928</v>
      </c>
      <c r="E35" s="16">
        <v>59.571075351213203</v>
      </c>
      <c r="F35" s="1"/>
      <c r="G35" s="2">
        <v>5</v>
      </c>
      <c r="H35" s="2">
        <v>5</v>
      </c>
      <c r="I35" s="2">
        <f>SUMIFS(ProductionCapacities!$F$2:$F$51,ProductionCapacities!$E$2:$E$51,Nodes!B32)</f>
        <v>0</v>
      </c>
      <c r="J35" s="2">
        <v>1329.308</v>
      </c>
      <c r="K35" s="11">
        <v>500</v>
      </c>
      <c r="L35" s="11">
        <v>500</v>
      </c>
      <c r="M35" s="2">
        <v>1</v>
      </c>
      <c r="N35" s="2">
        <v>0</v>
      </c>
      <c r="O35" s="2">
        <v>0</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100</v>
      </c>
      <c r="C36" s="1"/>
      <c r="D36" s="16">
        <v>5.0541760000000409</v>
      </c>
      <c r="E36" s="16">
        <v>59.326808000000028</v>
      </c>
      <c r="F36" s="1"/>
      <c r="G36" s="2">
        <v>5</v>
      </c>
      <c r="H36" s="2">
        <v>5</v>
      </c>
      <c r="I36" s="2">
        <f>SUMIFS(ProductionCapacities!$F$2:$F$51,ProductionCapacities!$E$2:$E$51,Nodes!B36)</f>
        <v>2.8521945205479451</v>
      </c>
      <c r="J36" s="2">
        <v>8889.5949999999993</v>
      </c>
      <c r="K36" s="11">
        <v>500</v>
      </c>
      <c r="L36" s="11">
        <v>500</v>
      </c>
      <c r="M36" s="2">
        <v>1</v>
      </c>
      <c r="N36" s="2">
        <v>0</v>
      </c>
      <c r="O36" s="2">
        <v>0</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37</v>
      </c>
      <c r="B37" s="1" t="s">
        <v>103</v>
      </c>
      <c r="C37" s="1"/>
      <c r="D37" s="16">
        <v>2.5577715130093028</v>
      </c>
      <c r="E37" s="16">
        <v>58.841931072335058</v>
      </c>
      <c r="F37" s="1"/>
      <c r="G37" s="2">
        <v>5</v>
      </c>
      <c r="H37" s="2">
        <v>5</v>
      </c>
      <c r="I37" s="2">
        <f>SUMIFS(ProductionCapacities!$F$2:$F$51,ProductionCapacities!$E$2:$E$51,Nodes!B39)</f>
        <v>0</v>
      </c>
      <c r="J37" s="2">
        <v>8889.5949999999993</v>
      </c>
      <c r="K37" s="11">
        <v>500</v>
      </c>
      <c r="L37" s="11">
        <v>500</v>
      </c>
      <c r="M37" s="2">
        <v>1</v>
      </c>
      <c r="N37" s="2">
        <v>0</v>
      </c>
      <c r="O37" s="2">
        <v>0</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33</v>
      </c>
      <c r="B38" s="1" t="s">
        <v>257</v>
      </c>
      <c r="C38" s="1"/>
      <c r="D38" s="16">
        <v>5.5129213334435638</v>
      </c>
      <c r="E38" s="16">
        <v>59.272115627836378</v>
      </c>
      <c r="F38" s="1"/>
      <c r="G38" s="2">
        <v>5</v>
      </c>
      <c r="H38" s="2">
        <v>5</v>
      </c>
      <c r="I38" s="2">
        <f>SUMIFS(ProductionCapacities!$F$2:$F$51,ProductionCapacities!$E$2:$E$51,Nodes!B35)</f>
        <v>0</v>
      </c>
      <c r="J38" s="2">
        <v>0</v>
      </c>
      <c r="K38" s="11">
        <v>500</v>
      </c>
      <c r="L38" s="11">
        <v>500</v>
      </c>
      <c r="M38" s="2">
        <v>1</v>
      </c>
      <c r="N38" s="2">
        <v>0</v>
      </c>
      <c r="O38" s="2">
        <v>0</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25</v>
      </c>
      <c r="B39" s="1" t="s">
        <v>92</v>
      </c>
      <c r="C39" s="1"/>
      <c r="D39" s="16">
        <v>4.8385970033810022</v>
      </c>
      <c r="E39" s="16">
        <v>60.545348486364603</v>
      </c>
      <c r="F39" s="1"/>
      <c r="G39" s="2">
        <v>5</v>
      </c>
      <c r="H39" s="2">
        <v>5</v>
      </c>
      <c r="I39" s="2">
        <f>SUMIFS(ProductionCapacities!$F$2:$F$51,ProductionCapacities!$E$2:$E$51,Nodes!B27)</f>
        <v>0</v>
      </c>
      <c r="J39" s="2">
        <v>0</v>
      </c>
      <c r="K39" s="11">
        <v>500</v>
      </c>
      <c r="L39" s="11">
        <v>500</v>
      </c>
      <c r="M39" s="2">
        <v>1</v>
      </c>
      <c r="N39" s="2">
        <v>0</v>
      </c>
      <c r="O39" s="2">
        <v>0</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19</v>
      </c>
      <c r="B40" s="1" t="s">
        <v>234</v>
      </c>
      <c r="C40" s="1"/>
      <c r="D40" s="16">
        <v>2.5070780834093052</v>
      </c>
      <c r="E40" s="16">
        <v>61.077581935633752</v>
      </c>
      <c r="F40" s="1"/>
      <c r="G40" s="2">
        <v>5</v>
      </c>
      <c r="H40" s="2">
        <v>5</v>
      </c>
      <c r="I40" s="2">
        <f>SUMIFS(ProductionCapacities!$F$2:$F$51,ProductionCapacities!$E$2:$E$51,Nodes!B21)</f>
        <v>5.7335671232876706</v>
      </c>
      <c r="J40" s="2">
        <v>508.40300000000002</v>
      </c>
      <c r="K40" s="11">
        <v>500</v>
      </c>
      <c r="L40" s="11">
        <v>500</v>
      </c>
      <c r="M40" s="2">
        <v>1</v>
      </c>
      <c r="N40" s="2">
        <v>0</v>
      </c>
      <c r="O40" s="2">
        <v>0</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29</v>
      </c>
      <c r="B41" s="1" t="s">
        <v>96</v>
      </c>
      <c r="C41" s="1"/>
      <c r="D41" s="16">
        <v>2.0175154810000322</v>
      </c>
      <c r="E41" s="16">
        <v>59.894961973000079</v>
      </c>
      <c r="F41" s="1"/>
      <c r="G41" s="2">
        <v>5</v>
      </c>
      <c r="H41" s="2">
        <v>5</v>
      </c>
      <c r="I41" s="2">
        <f>SUMIFS(ProductionCapacities!$F$2:$F$51,ProductionCapacities!$E$2:$E$51,Nodes!B31)</f>
        <v>0</v>
      </c>
      <c r="J41" s="2">
        <v>48.064999999999998</v>
      </c>
      <c r="K41" s="11">
        <v>500</v>
      </c>
      <c r="L41" s="11">
        <v>500</v>
      </c>
      <c r="M41" s="2">
        <v>1</v>
      </c>
      <c r="N41" s="2">
        <v>0</v>
      </c>
      <c r="O41" s="2">
        <v>0</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1</v>
      </c>
      <c r="B42" s="1" t="s">
        <v>245</v>
      </c>
      <c r="C42" s="1"/>
      <c r="D42" s="16">
        <v>23.58734798579594</v>
      </c>
      <c r="E42" s="16">
        <v>70.685443717529964</v>
      </c>
      <c r="F42" s="1"/>
      <c r="G42" s="2">
        <v>5</v>
      </c>
      <c r="H42" s="2">
        <v>5</v>
      </c>
      <c r="I42" s="2">
        <f>SUMIFS(ProductionCapacities!$F$2:$F$51,ProductionCapacities!$E$2:$E$51,Nodes!B3)</f>
        <v>24.355054794520544</v>
      </c>
      <c r="J42" s="2">
        <v>119.05</v>
      </c>
      <c r="K42" s="11">
        <v>500</v>
      </c>
      <c r="L42" s="11">
        <v>500</v>
      </c>
      <c r="M42" s="2">
        <v>1</v>
      </c>
      <c r="N42" s="2">
        <v>0</v>
      </c>
      <c r="O42" s="2">
        <v>0</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20</v>
      </c>
      <c r="B43" s="1" t="s">
        <v>88</v>
      </c>
      <c r="C43" s="1"/>
      <c r="D43" s="16">
        <v>1.7050129999999999</v>
      </c>
      <c r="E43" s="16">
        <v>61.034477000000003</v>
      </c>
      <c r="F43" s="1"/>
      <c r="G43" s="2">
        <v>5</v>
      </c>
      <c r="H43" s="2">
        <v>5</v>
      </c>
      <c r="I43" s="2">
        <f>SUMIFS(ProductionCapacities!$F$2:$F$51,ProductionCapacities!$E$2:$E$51,Nodes!B22)</f>
        <v>3.2527835616438354</v>
      </c>
      <c r="J43" s="2">
        <v>68.573999999999998</v>
      </c>
      <c r="K43" s="11">
        <v>500</v>
      </c>
      <c r="L43" s="11">
        <v>500</v>
      </c>
      <c r="M43" s="2">
        <v>1</v>
      </c>
      <c r="N43" s="2">
        <v>0</v>
      </c>
      <c r="O43" s="2">
        <v>0</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v>
      </c>
      <c r="B44" s="1" t="s">
        <v>76</v>
      </c>
      <c r="C44" s="1"/>
      <c r="D44" s="16">
        <v>8.0785441179034034</v>
      </c>
      <c r="E44" s="16">
        <v>66.029330899408933</v>
      </c>
      <c r="F44" s="1"/>
      <c r="G44" s="2">
        <v>5</v>
      </c>
      <c r="H44" s="2">
        <v>5</v>
      </c>
      <c r="I44" s="2">
        <f>SUMIFS(ProductionCapacities!$F$2:$F$51,ProductionCapacities!$E$2:$E$51,Nodes!B6)</f>
        <v>0</v>
      </c>
      <c r="J44" s="2">
        <v>1041.0509999999999</v>
      </c>
      <c r="K44" s="11">
        <v>500</v>
      </c>
      <c r="L44" s="11">
        <v>500</v>
      </c>
      <c r="M44" s="2">
        <v>1</v>
      </c>
      <c r="N44" s="2">
        <v>0</v>
      </c>
      <c r="O44" s="2">
        <v>0</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8</v>
      </c>
      <c r="B45" s="1" t="s">
        <v>79</v>
      </c>
      <c r="C45" s="1"/>
      <c r="D45" s="16">
        <v>6.8014610000000744</v>
      </c>
      <c r="E45" s="16">
        <v>65.084516000000065</v>
      </c>
      <c r="F45" s="1"/>
      <c r="G45" s="2">
        <v>5</v>
      </c>
      <c r="H45" s="2">
        <v>5</v>
      </c>
      <c r="I45" s="2">
        <f>SUMIFS(ProductionCapacities!$F$2:$F$51,ProductionCapacities!$E$2:$E$51,Nodes!B10)</f>
        <v>0</v>
      </c>
      <c r="J45" s="2">
        <v>1214.5999999999999</v>
      </c>
      <c r="K45" s="11">
        <v>500</v>
      </c>
      <c r="L45" s="11">
        <v>500</v>
      </c>
      <c r="M45" s="2">
        <v>1</v>
      </c>
      <c r="N45" s="2">
        <v>0</v>
      </c>
      <c r="O45" s="2">
        <v>0</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46</v>
      </c>
      <c r="B46" s="1" t="s">
        <v>112</v>
      </c>
      <c r="C46" s="1"/>
      <c r="D46" s="22">
        <v>3.330503000000022</v>
      </c>
      <c r="E46" s="22">
        <v>56.490369000000037</v>
      </c>
      <c r="F46" s="1"/>
      <c r="G46" s="2">
        <v>5</v>
      </c>
      <c r="H46" s="2">
        <v>5</v>
      </c>
      <c r="I46" s="2">
        <f>SUMIFS(ProductionCapacities!$F$2:$F$51,ProductionCapacities!$E$2:$E$51,Nodes!B48)</f>
        <v>26.190715068493152</v>
      </c>
      <c r="J46" s="2">
        <v>933.85500000000002</v>
      </c>
      <c r="K46" s="11">
        <v>500</v>
      </c>
      <c r="L46" s="11">
        <v>500</v>
      </c>
      <c r="M46" s="2">
        <v>1</v>
      </c>
      <c r="N46" s="2">
        <v>0</v>
      </c>
      <c r="O46" s="2">
        <v>0</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14</v>
      </c>
      <c r="B47" s="1" t="s">
        <v>85</v>
      </c>
      <c r="C47" s="1"/>
      <c r="D47" s="53">
        <v>6.9457712170000718</v>
      </c>
      <c r="E47" s="53">
        <v>62.851558685000043</v>
      </c>
      <c r="F47" s="1"/>
      <c r="G47" s="2">
        <v>5</v>
      </c>
      <c r="H47" s="2">
        <v>5</v>
      </c>
      <c r="I47" s="2">
        <f>SUMIFS(ProductionCapacities!$F$2:$F$51,ProductionCapacities!$E$2:$E$51,Nodes!B16)</f>
        <v>0</v>
      </c>
      <c r="J47" s="2">
        <v>3093.8470000000002</v>
      </c>
      <c r="K47" s="11">
        <v>500</v>
      </c>
      <c r="L47" s="11">
        <v>500</v>
      </c>
      <c r="M47" s="2">
        <v>1</v>
      </c>
      <c r="N47" s="2">
        <v>0</v>
      </c>
      <c r="O47" s="2">
        <v>0</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11</v>
      </c>
      <c r="B48" s="1" t="s">
        <v>82</v>
      </c>
      <c r="C48" s="1"/>
      <c r="D48" s="16">
        <v>5.3867635720000644</v>
      </c>
      <c r="E48" s="16">
        <v>63.528081670000063</v>
      </c>
      <c r="F48" s="1"/>
      <c r="G48" s="2">
        <v>5</v>
      </c>
      <c r="H48" s="2">
        <v>5</v>
      </c>
      <c r="I48" s="2">
        <f>SUMIFS(ProductionCapacities!$F$2:$F$51,ProductionCapacities!$E$2:$E$51,Nodes!B13)</f>
        <v>0</v>
      </c>
      <c r="J48" s="2">
        <v>48.064999999999998</v>
      </c>
      <c r="K48" s="11">
        <v>500</v>
      </c>
      <c r="L48" s="11">
        <v>500</v>
      </c>
      <c r="M48" s="2">
        <v>1</v>
      </c>
      <c r="N48" s="2">
        <v>0</v>
      </c>
      <c r="O48" s="2">
        <v>0</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12</v>
      </c>
      <c r="B49" s="1" t="s">
        <v>83</v>
      </c>
      <c r="C49" s="1"/>
      <c r="D49" s="16">
        <v>5.3865159610000433</v>
      </c>
      <c r="E49" s="16">
        <v>63.528076290000058</v>
      </c>
      <c r="F49" s="1"/>
      <c r="G49" s="2">
        <v>5</v>
      </c>
      <c r="H49" s="2">
        <v>5</v>
      </c>
      <c r="I49" s="2">
        <f>SUMIFS(ProductionCapacities!$F$2:$F$51,ProductionCapacities!$E$2:$E$51,Nodes!B14)</f>
        <v>0</v>
      </c>
      <c r="J49" s="2">
        <v>0</v>
      </c>
      <c r="K49" s="11">
        <v>500</v>
      </c>
      <c r="L49" s="11">
        <v>500</v>
      </c>
      <c r="M49" s="2">
        <v>1</v>
      </c>
      <c r="N49" s="2">
        <v>0</v>
      </c>
      <c r="O49" s="2">
        <v>0</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28</v>
      </c>
      <c r="B50" s="1" t="s">
        <v>95</v>
      </c>
      <c r="C50" s="1"/>
      <c r="D50" s="16">
        <v>2.8240461869792348</v>
      </c>
      <c r="E50" s="16">
        <v>60.486900453608072</v>
      </c>
      <c r="F50" s="1"/>
      <c r="G50" s="2">
        <v>5</v>
      </c>
      <c r="H50" s="2">
        <v>5</v>
      </c>
      <c r="I50" s="2">
        <f>SUMIFS(ProductionCapacities!$F$2:$F$51,ProductionCapacities!$E$2:$E$51,Nodes!B30)</f>
        <v>0</v>
      </c>
      <c r="J50" s="2">
        <v>48.064999999999998</v>
      </c>
      <c r="K50" s="11">
        <v>500</v>
      </c>
      <c r="L50" s="11">
        <v>500</v>
      </c>
      <c r="M50" s="2">
        <v>1</v>
      </c>
      <c r="N50" s="2">
        <v>0</v>
      </c>
      <c r="O50" s="2">
        <v>0</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52</v>
      </c>
      <c r="B51" s="1" t="s">
        <v>118</v>
      </c>
      <c r="C51" s="1"/>
      <c r="D51" s="22">
        <v>15.2599</v>
      </c>
      <c r="E51" s="22">
        <v>53.8</v>
      </c>
      <c r="F51" s="1"/>
      <c r="G51" s="2">
        <v>5</v>
      </c>
      <c r="H51" s="2">
        <v>5</v>
      </c>
      <c r="I51" s="2">
        <f>SUMIFS(ProductionCapacities!$F$2:$F$51,ProductionCapacities!$E$2:$E$51,Nodes!B54)</f>
        <v>14.892852054794522</v>
      </c>
      <c r="J51" s="29">
        <v>1041.0509999999999</v>
      </c>
      <c r="K51" s="11">
        <v>500</v>
      </c>
      <c r="L51" s="11">
        <v>500</v>
      </c>
      <c r="M51" s="2">
        <v>1</v>
      </c>
      <c r="N51" s="2">
        <v>0</v>
      </c>
      <c r="O51" s="2">
        <v>0</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38</v>
      </c>
      <c r="B52" s="1" t="s">
        <v>104</v>
      </c>
      <c r="C52" s="1"/>
      <c r="D52" s="16">
        <v>2.254149831737414</v>
      </c>
      <c r="E52" s="16">
        <v>58.839405675350093</v>
      </c>
      <c r="F52" s="1"/>
      <c r="G52" s="2">
        <v>5</v>
      </c>
      <c r="H52" s="2">
        <v>5</v>
      </c>
      <c r="I52" s="2">
        <f>SUMIFS(ProductionCapacities!$F$2:$F$51,ProductionCapacities!$E$2:$E$51,Nodes!B40)</f>
        <v>24.954542465753427</v>
      </c>
      <c r="J52" s="2">
        <v>0</v>
      </c>
      <c r="K52" s="11">
        <v>500</v>
      </c>
      <c r="L52" s="11">
        <v>500</v>
      </c>
      <c r="M52" s="2">
        <v>1</v>
      </c>
      <c r="N52" s="2">
        <v>0</v>
      </c>
      <c r="O52" s="2">
        <v>0</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v>
      </c>
      <c r="B53" s="1" t="s">
        <v>77</v>
      </c>
      <c r="C53" s="1"/>
      <c r="D53" s="16">
        <v>7.6558328198016818</v>
      </c>
      <c r="E53" s="16">
        <v>65.693743899121472</v>
      </c>
      <c r="F53" s="1"/>
      <c r="G53" s="2">
        <v>5</v>
      </c>
      <c r="H53" s="2">
        <v>5</v>
      </c>
      <c r="I53" s="2">
        <f>SUMIFS(ProductionCapacities!$F$2:$F$51,ProductionCapacities!$E$2:$E$51,Nodes!B7)</f>
        <v>0</v>
      </c>
      <c r="J53" s="2">
        <v>48.064999999999998</v>
      </c>
      <c r="K53" s="11">
        <v>500</v>
      </c>
      <c r="L53" s="11">
        <v>500</v>
      </c>
      <c r="M53" s="2">
        <v>1</v>
      </c>
      <c r="N53" s="2">
        <v>0</v>
      </c>
      <c r="O53" s="2">
        <v>0</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39</v>
      </c>
      <c r="B54" s="1" t="s">
        <v>105</v>
      </c>
      <c r="C54" s="1"/>
      <c r="D54" s="22">
        <v>1.898765933579508</v>
      </c>
      <c r="E54" s="22">
        <v>58.370533807717997</v>
      </c>
      <c r="F54" s="1"/>
      <c r="G54" s="2">
        <v>5</v>
      </c>
      <c r="H54" s="2">
        <v>5</v>
      </c>
      <c r="I54" s="2">
        <f>SUMIFS(ProductionCapacities!$F$2:$F$51,ProductionCapacities!$E$2:$E$51,Nodes!B41)</f>
        <v>7.2003424657534243</v>
      </c>
      <c r="J54" s="2">
        <v>291.70999999999998</v>
      </c>
      <c r="K54" s="11">
        <v>500</v>
      </c>
      <c r="L54" s="11">
        <v>500</v>
      </c>
      <c r="M54" s="2">
        <v>1</v>
      </c>
      <c r="N54" s="2">
        <v>0</v>
      </c>
      <c r="O54" s="2">
        <v>0</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40</v>
      </c>
      <c r="B55" s="1" t="s">
        <v>106</v>
      </c>
      <c r="C55" s="1"/>
      <c r="D55" s="22">
        <v>1.915866396996226</v>
      </c>
      <c r="E55" s="22">
        <v>58.364944173837479</v>
      </c>
      <c r="F55" s="1"/>
      <c r="G55" s="2">
        <v>5</v>
      </c>
      <c r="H55" s="2">
        <v>5</v>
      </c>
      <c r="I55" s="2">
        <f>SUMIFS(ProductionCapacities!$F$2:$F$51,ProductionCapacities!$E$2:$E$51,Nodes!B42)</f>
        <v>0</v>
      </c>
      <c r="J55" s="2">
        <v>1.974</v>
      </c>
      <c r="K55" s="11">
        <v>500</v>
      </c>
      <c r="L55" s="11">
        <v>500</v>
      </c>
      <c r="M55" s="2">
        <v>1</v>
      </c>
      <c r="N55" s="2">
        <v>0</v>
      </c>
      <c r="O55" s="2">
        <v>0</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2</v>
      </c>
      <c r="B56" s="1" t="s">
        <v>244</v>
      </c>
      <c r="C56" s="1"/>
      <c r="D56" s="16">
        <v>21.226541519000019</v>
      </c>
      <c r="E56" s="16">
        <v>71.571334839000031</v>
      </c>
      <c r="F56" s="1"/>
      <c r="G56" s="2">
        <v>5</v>
      </c>
      <c r="H56" s="2">
        <v>5</v>
      </c>
      <c r="I56" s="2">
        <f>SUMIFS(ProductionCapacities!$F$2:$F$51,ProductionCapacities!$E$2:$E$51,Nodes!B4)</f>
        <v>0</v>
      </c>
      <c r="J56" s="2">
        <v>8889.5949999999993</v>
      </c>
      <c r="K56" s="11">
        <v>500</v>
      </c>
      <c r="L56" s="11">
        <v>500</v>
      </c>
      <c r="M56" s="2">
        <v>1</v>
      </c>
      <c r="N56" s="2">
        <v>0</v>
      </c>
      <c r="O56" s="2">
        <v>0</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44</v>
      </c>
      <c r="B57" s="1" t="s">
        <v>110</v>
      </c>
      <c r="C57" s="1"/>
      <c r="D57" s="22">
        <v>-1.8256509999999999</v>
      </c>
      <c r="E57" s="22">
        <v>57.579971</v>
      </c>
      <c r="F57" s="1"/>
      <c r="G57" s="2">
        <v>5</v>
      </c>
      <c r="H57" s="2">
        <v>5</v>
      </c>
      <c r="I57" s="2">
        <f>SUMIFS(ProductionCapacities!$F$2:$F$51,ProductionCapacities!$E$2:$E$51,Nodes!B46)</f>
        <v>0</v>
      </c>
      <c r="J57" s="2">
        <v>0</v>
      </c>
      <c r="K57" s="11">
        <v>500</v>
      </c>
      <c r="L57" s="11">
        <v>500</v>
      </c>
      <c r="M57" s="2">
        <v>1</v>
      </c>
      <c r="N57" s="2">
        <v>0</v>
      </c>
      <c r="O57" s="2">
        <v>0</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18</v>
      </c>
      <c r="B58" s="1" t="s">
        <v>87</v>
      </c>
      <c r="C58" s="1"/>
      <c r="D58" s="16">
        <v>1.845936000000052</v>
      </c>
      <c r="E58" s="16">
        <v>61.185830000000067</v>
      </c>
      <c r="F58" s="1"/>
      <c r="G58" s="2">
        <v>5</v>
      </c>
      <c r="H58" s="2">
        <v>5</v>
      </c>
      <c r="I58" s="2">
        <f>SUMIFS(ProductionCapacities!$F$2:$F$51,ProductionCapacities!$E$2:$E$51,Nodes!B20)</f>
        <v>0</v>
      </c>
      <c r="J58" s="2">
        <v>0</v>
      </c>
      <c r="K58" s="11">
        <v>500</v>
      </c>
      <c r="L58" s="11">
        <v>500</v>
      </c>
      <c r="M58" s="2">
        <v>1</v>
      </c>
      <c r="N58" s="2">
        <v>0</v>
      </c>
      <c r="O58" s="2">
        <v>0</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17</v>
      </c>
      <c r="B59" s="1" t="s">
        <v>86</v>
      </c>
      <c r="C59" s="1"/>
      <c r="D59" s="16">
        <v>1.8315257775840801</v>
      </c>
      <c r="E59" s="16">
        <v>61.20244504760155</v>
      </c>
      <c r="F59" s="1"/>
      <c r="G59" s="2">
        <v>5</v>
      </c>
      <c r="H59" s="2">
        <v>5</v>
      </c>
      <c r="I59" s="2">
        <f>SUMIFS(ProductionCapacities!$F$2:$F$51,ProductionCapacities!$E$2:$E$51,Nodes!B19)</f>
        <v>0</v>
      </c>
      <c r="J59" s="2">
        <v>0</v>
      </c>
      <c r="K59" s="11">
        <v>500</v>
      </c>
      <c r="L59" s="11">
        <v>500</v>
      </c>
      <c r="M59" s="2">
        <v>1</v>
      </c>
      <c r="N59" s="2">
        <v>0</v>
      </c>
      <c r="O59" s="2">
        <v>0</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50</v>
      </c>
      <c r="B60" s="1" t="s">
        <v>116</v>
      </c>
      <c r="C60" s="1"/>
      <c r="D60" s="22">
        <v>-1.104584</v>
      </c>
      <c r="E60" s="22">
        <v>54.624600000000001</v>
      </c>
      <c r="F60" s="1"/>
      <c r="G60" s="2">
        <v>5</v>
      </c>
      <c r="H60" s="2">
        <v>5</v>
      </c>
      <c r="I60" s="2">
        <f>SUMIFS(ProductionCapacities!$F$2:$F$51,ProductionCapacities!$E$2:$E$51,Nodes!B52)</f>
        <v>0</v>
      </c>
      <c r="J60" s="2">
        <v>222.233</v>
      </c>
      <c r="K60" s="11">
        <v>500</v>
      </c>
      <c r="L60" s="11">
        <v>500</v>
      </c>
      <c r="M60" s="2">
        <v>1</v>
      </c>
      <c r="N60" s="2">
        <v>0</v>
      </c>
      <c r="O60" s="2">
        <v>0</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13</v>
      </c>
      <c r="B61" s="1" t="s">
        <v>84</v>
      </c>
      <c r="C61" s="1"/>
      <c r="D61" s="16">
        <v>8.6582155394689266</v>
      </c>
      <c r="E61" s="16">
        <v>63.398890962560763</v>
      </c>
      <c r="F61" s="1"/>
      <c r="G61" s="2">
        <v>5</v>
      </c>
      <c r="H61" s="2">
        <v>5</v>
      </c>
      <c r="I61" s="2">
        <f>SUMIFS(ProductionCapacities!$F$2:$F$51,ProductionCapacities!$E$2:$E$51,Nodes!B15)</f>
        <v>0</v>
      </c>
      <c r="J61" s="2">
        <v>0</v>
      </c>
      <c r="K61" s="11">
        <v>500</v>
      </c>
      <c r="L61" s="11">
        <v>500</v>
      </c>
      <c r="M61" s="2">
        <v>1</v>
      </c>
      <c r="N61" s="2">
        <v>0</v>
      </c>
      <c r="O61" s="2">
        <v>0</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2" spans="1:35" x14ac:dyDescent="0.2">
      <c r="A62" s="1">
        <v>24</v>
      </c>
      <c r="B62" s="1" t="s">
        <v>91</v>
      </c>
      <c r="C62" s="1"/>
      <c r="D62" s="16">
        <v>4.835830000000044</v>
      </c>
      <c r="E62" s="16">
        <v>60.550175000000081</v>
      </c>
      <c r="F62" s="1"/>
      <c r="G62" s="2">
        <v>5</v>
      </c>
      <c r="H62" s="2">
        <v>5</v>
      </c>
      <c r="I62" s="2">
        <f>SUMIFS(ProductionCapacities!$F$2:$F$51,ProductionCapacities!$E$2:$E$51,Nodes!B26)</f>
        <v>0</v>
      </c>
      <c r="J62" s="2">
        <v>2628.125</v>
      </c>
      <c r="K62" s="11">
        <v>500</v>
      </c>
      <c r="L62" s="11">
        <v>500</v>
      </c>
      <c r="M62" s="2">
        <v>1</v>
      </c>
      <c r="N62" s="2">
        <v>0</v>
      </c>
      <c r="O62" s="2">
        <v>0</v>
      </c>
      <c r="P62" s="2">
        <v>1</v>
      </c>
      <c r="Q62" s="2">
        <v>1</v>
      </c>
      <c r="R62" s="2">
        <v>0.1</v>
      </c>
      <c r="S62" s="2">
        <v>0.1</v>
      </c>
      <c r="T62" s="2">
        <v>0.35</v>
      </c>
      <c r="U62" s="2">
        <v>0.35</v>
      </c>
      <c r="V62" s="3">
        <v>5</v>
      </c>
      <c r="W62" s="3">
        <v>5</v>
      </c>
      <c r="X62" s="3">
        <v>0</v>
      </c>
      <c r="Y62" s="3">
        <v>0</v>
      </c>
      <c r="Z62" s="3">
        <v>0</v>
      </c>
      <c r="AA62" s="3">
        <v>1</v>
      </c>
      <c r="AB62" s="3">
        <v>0</v>
      </c>
      <c r="AC62" s="3">
        <v>1</v>
      </c>
      <c r="AD62" s="3">
        <v>1</v>
      </c>
      <c r="AE62" s="3">
        <v>1</v>
      </c>
      <c r="AF62" s="3">
        <v>3</v>
      </c>
      <c r="AG62" s="3">
        <v>3</v>
      </c>
      <c r="AH62" s="3">
        <v>5</v>
      </c>
      <c r="AI62" s="3">
        <v>5</v>
      </c>
    </row>
    <row r="63" spans="1:35" x14ac:dyDescent="0.2">
      <c r="A63" s="1">
        <v>56</v>
      </c>
      <c r="B63" s="1" t="s">
        <v>122</v>
      </c>
      <c r="C63" s="1"/>
      <c r="D63" s="22">
        <v>3.229797000000076</v>
      </c>
      <c r="E63" s="22">
        <v>51.350508000000048</v>
      </c>
      <c r="F63" s="1"/>
      <c r="G63" s="2">
        <v>5</v>
      </c>
      <c r="H63" s="2">
        <v>5</v>
      </c>
      <c r="I63" s="2">
        <f>SUMIFS(ProductionCapacities!$F$2:$F$51,ProductionCapacities!$E$2:$E$51,Nodes!B58)</f>
        <v>0</v>
      </c>
      <c r="J63" s="2">
        <v>48.064999999999998</v>
      </c>
      <c r="K63" s="11">
        <v>500</v>
      </c>
      <c r="L63" s="11">
        <v>500</v>
      </c>
      <c r="M63" s="2">
        <v>1</v>
      </c>
      <c r="N63" s="2">
        <v>0</v>
      </c>
      <c r="O63" s="2">
        <v>0</v>
      </c>
      <c r="P63" s="2">
        <v>1</v>
      </c>
      <c r="Q63" s="2">
        <v>1</v>
      </c>
      <c r="R63" s="2">
        <v>0.1</v>
      </c>
      <c r="S63" s="2">
        <v>0.1</v>
      </c>
      <c r="T63" s="2">
        <v>0.35</v>
      </c>
      <c r="U63" s="2">
        <v>0.35</v>
      </c>
      <c r="V63" s="3">
        <v>5</v>
      </c>
      <c r="W63" s="3">
        <v>5</v>
      </c>
      <c r="X63" s="3">
        <v>0</v>
      </c>
      <c r="Y63" s="3">
        <v>0</v>
      </c>
      <c r="Z63" s="3">
        <v>0</v>
      </c>
      <c r="AA63" s="3">
        <v>1</v>
      </c>
      <c r="AB63" s="3">
        <v>0</v>
      </c>
      <c r="AC63" s="3">
        <v>1</v>
      </c>
      <c r="AD63" s="3">
        <v>1</v>
      </c>
      <c r="AE63" s="3">
        <v>1</v>
      </c>
      <c r="AF63" s="3">
        <v>3</v>
      </c>
      <c r="AG63" s="3">
        <v>3</v>
      </c>
      <c r="AH63" s="3">
        <v>5</v>
      </c>
      <c r="AI63" s="3">
        <v>5</v>
      </c>
    </row>
    <row r="64" spans="1:35" x14ac:dyDescent="0.2">
      <c r="A64" s="1">
        <v>49</v>
      </c>
      <c r="B64" s="1" t="s">
        <v>115</v>
      </c>
      <c r="C64" s="1"/>
      <c r="D64" s="22">
        <v>3.2998160000000212</v>
      </c>
      <c r="E64" s="22">
        <v>54.789494000000047</v>
      </c>
      <c r="F64" s="1"/>
      <c r="G64" s="2">
        <v>5</v>
      </c>
      <c r="H64" s="2">
        <v>5</v>
      </c>
      <c r="I64" s="2">
        <f>SUMIFS(ProductionCapacities!$F$2:$F$51,ProductionCapacities!$E$2:$E$51,Nodes!B51)</f>
        <v>0</v>
      </c>
      <c r="J64" s="2">
        <v>0</v>
      </c>
      <c r="K64" s="11">
        <v>500</v>
      </c>
      <c r="L64" s="11">
        <v>500</v>
      </c>
      <c r="M64" s="2">
        <v>1</v>
      </c>
      <c r="N64" s="2">
        <v>0</v>
      </c>
      <c r="O64" s="2">
        <v>0</v>
      </c>
      <c r="P64" s="2">
        <v>1</v>
      </c>
      <c r="Q64" s="2">
        <v>1</v>
      </c>
      <c r="R64" s="2">
        <v>0.1</v>
      </c>
      <c r="S64" s="2">
        <v>0.1</v>
      </c>
      <c r="T64" s="2">
        <v>0.35</v>
      </c>
      <c r="U64" s="2">
        <v>0.35</v>
      </c>
      <c r="V64" s="3">
        <v>5</v>
      </c>
      <c r="W64" s="3">
        <v>5</v>
      </c>
      <c r="X64" s="3">
        <v>0</v>
      </c>
      <c r="Y64" s="3">
        <v>0</v>
      </c>
      <c r="Z64" s="3">
        <v>0</v>
      </c>
      <c r="AA64" s="3">
        <v>1</v>
      </c>
      <c r="AB64" s="3">
        <v>0</v>
      </c>
      <c r="AC64" s="3">
        <v>1</v>
      </c>
      <c r="AD64" s="3">
        <v>1</v>
      </c>
      <c r="AE64" s="3">
        <v>1</v>
      </c>
      <c r="AF64" s="3">
        <v>3</v>
      </c>
      <c r="AG64" s="3">
        <v>3</v>
      </c>
      <c r="AH64" s="3">
        <v>5</v>
      </c>
      <c r="AI64" s="3">
        <v>5</v>
      </c>
    </row>
    <row r="67" spans="10:10" x14ac:dyDescent="0.2">
      <c r="J67" t="s">
        <v>267</v>
      </c>
    </row>
  </sheetData>
  <autoFilter ref="A2:AI2" xr:uid="{DA3F5746-A1B1-6F4F-9762-CACD4A91B5F2}">
    <sortState xmlns:xlrd2="http://schemas.microsoft.com/office/spreadsheetml/2017/richdata2" ref="A3:AI64">
      <sortCondition ref="B2:B64"/>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1"/>
  <sheetViews>
    <sheetView zoomScale="180" zoomScaleNormal="180" workbookViewId="0">
      <selection activeCell="F2" sqref="F2"/>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273</v>
      </c>
      <c r="B1" s="34" t="s">
        <v>274</v>
      </c>
      <c r="C1" s="34" t="s">
        <v>274</v>
      </c>
      <c r="D1" s="34" t="s">
        <v>274</v>
      </c>
      <c r="E1" s="36" t="s">
        <v>325</v>
      </c>
      <c r="F1" s="36" t="s">
        <v>326</v>
      </c>
      <c r="H1" s="36" t="s">
        <v>2</v>
      </c>
    </row>
    <row r="2" spans="1:8" x14ac:dyDescent="0.2">
      <c r="A2" t="s">
        <v>275</v>
      </c>
      <c r="B2" s="35">
        <v>8889.5949999999993</v>
      </c>
      <c r="C2" s="35">
        <v>8919.5750000000007</v>
      </c>
      <c r="D2" s="35">
        <v>8749.3649999999998</v>
      </c>
      <c r="E2" s="37" t="s">
        <v>75</v>
      </c>
      <c r="F2">
        <f>B2/365</f>
        <v>24.355054794520544</v>
      </c>
    </row>
    <row r="3" spans="1:8" x14ac:dyDescent="0.2">
      <c r="A3" t="s">
        <v>276</v>
      </c>
      <c r="B3" s="35">
        <v>1329.308</v>
      </c>
      <c r="C3" s="35">
        <v>683.63900000000001</v>
      </c>
      <c r="D3" s="35">
        <v>593.24699999999996</v>
      </c>
      <c r="E3" t="s">
        <v>99</v>
      </c>
      <c r="F3">
        <f t="shared" ref="F3:F51" si="0">B3/365</f>
        <v>3.6419397260273971</v>
      </c>
      <c r="H3" s="38" t="s">
        <v>329</v>
      </c>
    </row>
    <row r="4" spans="1:8" x14ac:dyDescent="0.2">
      <c r="A4" t="s">
        <v>277</v>
      </c>
      <c r="B4" s="35"/>
      <c r="C4" s="35"/>
      <c r="D4" s="35">
        <v>6606.7179999999998</v>
      </c>
      <c r="E4" s="1" t="s">
        <v>255</v>
      </c>
      <c r="F4">
        <f t="shared" si="0"/>
        <v>0</v>
      </c>
    </row>
    <row r="5" spans="1:8" x14ac:dyDescent="0.2">
      <c r="A5" t="s">
        <v>278</v>
      </c>
      <c r="B5" s="35">
        <v>0</v>
      </c>
      <c r="C5" s="35">
        <v>0</v>
      </c>
      <c r="D5" s="35">
        <v>3.9390000000000001</v>
      </c>
      <c r="F5">
        <f t="shared" si="0"/>
        <v>0</v>
      </c>
      <c r="H5" t="s">
        <v>330</v>
      </c>
    </row>
    <row r="6" spans="1:8" x14ac:dyDescent="0.2">
      <c r="A6" t="s">
        <v>279</v>
      </c>
      <c r="B6" s="35">
        <v>48.064999999999998</v>
      </c>
      <c r="C6" s="35">
        <v>81.236000000000004</v>
      </c>
      <c r="D6" s="35">
        <v>130.86000000000001</v>
      </c>
      <c r="E6" s="1" t="s">
        <v>90</v>
      </c>
      <c r="F6">
        <f t="shared" si="0"/>
        <v>0.13168493150684932</v>
      </c>
    </row>
    <row r="7" spans="1:8" x14ac:dyDescent="0.2">
      <c r="A7" t="s">
        <v>280</v>
      </c>
      <c r="B7" s="35">
        <v>0</v>
      </c>
      <c r="C7" s="35">
        <v>0</v>
      </c>
      <c r="D7" s="35">
        <v>3.72</v>
      </c>
      <c r="E7" s="1" t="s">
        <v>81</v>
      </c>
      <c r="F7">
        <f t="shared" si="0"/>
        <v>0</v>
      </c>
    </row>
    <row r="8" spans="1:8" x14ac:dyDescent="0.2">
      <c r="A8" t="s">
        <v>281</v>
      </c>
      <c r="B8" s="35">
        <v>0</v>
      </c>
      <c r="C8" s="35">
        <v>0</v>
      </c>
      <c r="D8" s="35"/>
      <c r="E8" t="s">
        <v>236</v>
      </c>
      <c r="F8">
        <f t="shared" si="0"/>
        <v>0</v>
      </c>
      <c r="H8" s="38" t="s">
        <v>331</v>
      </c>
    </row>
    <row r="9" spans="1:8" x14ac:dyDescent="0.2">
      <c r="A9" t="s">
        <v>282</v>
      </c>
      <c r="B9" s="35">
        <v>471.73399999999998</v>
      </c>
      <c r="C9" s="35">
        <v>491.40300000000002</v>
      </c>
      <c r="D9" s="35">
        <v>449.49099999999999</v>
      </c>
      <c r="E9" s="1" t="s">
        <v>99</v>
      </c>
      <c r="F9">
        <f t="shared" si="0"/>
        <v>1.292421917808219</v>
      </c>
    </row>
    <row r="10" spans="1:8" x14ac:dyDescent="0.2">
      <c r="A10" t="s">
        <v>283</v>
      </c>
      <c r="B10" s="35">
        <v>578.78499999999997</v>
      </c>
      <c r="C10" s="35">
        <v>656.80499999999995</v>
      </c>
      <c r="D10" s="35">
        <v>738.14400000000001</v>
      </c>
      <c r="E10" t="s">
        <v>111</v>
      </c>
      <c r="F10">
        <f t="shared" si="0"/>
        <v>1.5857123287671231</v>
      </c>
    </row>
    <row r="11" spans="1:8" x14ac:dyDescent="0.2">
      <c r="A11" t="s">
        <v>284</v>
      </c>
      <c r="B11" s="35">
        <v>222.233</v>
      </c>
      <c r="C11" s="35">
        <v>302.17500000000001</v>
      </c>
      <c r="D11" s="35">
        <v>247.51400000000001</v>
      </c>
      <c r="E11" t="s">
        <v>111</v>
      </c>
      <c r="F11">
        <f t="shared" si="0"/>
        <v>0.6088575342465754</v>
      </c>
      <c r="H11" t="s">
        <v>332</v>
      </c>
    </row>
    <row r="12" spans="1:8" x14ac:dyDescent="0.2">
      <c r="A12" t="s">
        <v>285</v>
      </c>
      <c r="B12" s="35">
        <v>1282.3420000000001</v>
      </c>
      <c r="C12" s="35">
        <v>1073.472</v>
      </c>
      <c r="D12" s="35">
        <v>1162.1959999999999</v>
      </c>
      <c r="E12" t="s">
        <v>91</v>
      </c>
      <c r="F12">
        <f t="shared" si="0"/>
        <v>3.5132657534246579</v>
      </c>
      <c r="H12" t="s">
        <v>333</v>
      </c>
    </row>
    <row r="13" spans="1:8" x14ac:dyDescent="0.2">
      <c r="A13" t="s">
        <v>286</v>
      </c>
      <c r="B13" s="35">
        <v>2811.1990000000001</v>
      </c>
      <c r="C13" s="35">
        <v>726.50099999999998</v>
      </c>
      <c r="D13" s="35">
        <v>247.86099999999999</v>
      </c>
      <c r="E13" t="s">
        <v>105</v>
      </c>
      <c r="F13">
        <f t="shared" si="0"/>
        <v>7.7019150684931512</v>
      </c>
      <c r="H13" t="s">
        <v>334</v>
      </c>
    </row>
    <row r="14" spans="1:8" x14ac:dyDescent="0.2">
      <c r="A14" t="s">
        <v>287</v>
      </c>
      <c r="B14" s="35">
        <v>2588.0810000000001</v>
      </c>
      <c r="C14" s="35">
        <v>2436.7339999999999</v>
      </c>
      <c r="D14" s="35">
        <v>2344.2719999999999</v>
      </c>
      <c r="E14" s="1" t="s">
        <v>236</v>
      </c>
      <c r="F14">
        <f t="shared" si="0"/>
        <v>7.0906328767123288</v>
      </c>
    </row>
    <row r="15" spans="1:8" x14ac:dyDescent="0.2">
      <c r="A15" t="s">
        <v>288</v>
      </c>
      <c r="B15" s="35">
        <v>1214.5999999999999</v>
      </c>
      <c r="C15" s="35">
        <v>1206.1949999999999</v>
      </c>
      <c r="D15" s="35">
        <v>1325.316</v>
      </c>
      <c r="E15" t="s">
        <v>105</v>
      </c>
      <c r="F15">
        <f t="shared" si="0"/>
        <v>3.3276712328767122</v>
      </c>
      <c r="H15" t="s">
        <v>328</v>
      </c>
    </row>
    <row r="16" spans="1:8" x14ac:dyDescent="0.2">
      <c r="A16" t="s">
        <v>289</v>
      </c>
      <c r="B16" s="35">
        <v>0</v>
      </c>
      <c r="C16" s="35">
        <v>0</v>
      </c>
      <c r="D16" s="35">
        <v>0</v>
      </c>
      <c r="F16">
        <f t="shared" si="0"/>
        <v>0</v>
      </c>
      <c r="H16" t="s">
        <v>335</v>
      </c>
    </row>
    <row r="17" spans="1:8" x14ac:dyDescent="0.2">
      <c r="A17" t="s">
        <v>290</v>
      </c>
      <c r="B17" s="35">
        <v>5570.9179999999997</v>
      </c>
      <c r="C17" s="35">
        <v>5745.72</v>
      </c>
      <c r="D17" s="35">
        <v>4876.4679999999998</v>
      </c>
      <c r="E17" s="19" t="s">
        <v>86</v>
      </c>
      <c r="F17">
        <f t="shared" si="0"/>
        <v>15.262789041095889</v>
      </c>
      <c r="H17" t="s">
        <v>336</v>
      </c>
    </row>
    <row r="18" spans="1:8" x14ac:dyDescent="0.2">
      <c r="A18" t="s">
        <v>291</v>
      </c>
      <c r="B18" s="35">
        <v>1910.729</v>
      </c>
      <c r="C18" s="35">
        <v>1626.653</v>
      </c>
      <c r="D18" s="35">
        <v>1540.9349999999999</v>
      </c>
      <c r="E18" s="37" t="s">
        <v>78</v>
      </c>
      <c r="F18">
        <f t="shared" si="0"/>
        <v>5.23487397260274</v>
      </c>
    </row>
    <row r="19" spans="1:8" x14ac:dyDescent="0.2">
      <c r="A19" t="s">
        <v>292</v>
      </c>
      <c r="B19" s="35">
        <v>0</v>
      </c>
      <c r="C19" s="35">
        <v>0.20399999999999999</v>
      </c>
      <c r="D19" s="35">
        <v>26.434999999999999</v>
      </c>
      <c r="E19" t="s">
        <v>98</v>
      </c>
      <c r="F19">
        <f t="shared" si="0"/>
        <v>0</v>
      </c>
    </row>
    <row r="20" spans="1:8" x14ac:dyDescent="0.2">
      <c r="A20" t="s">
        <v>293</v>
      </c>
      <c r="B20" s="35">
        <v>35.110999999999997</v>
      </c>
      <c r="C20" s="35">
        <v>3.0259999999999998</v>
      </c>
      <c r="D20" s="35">
        <v>4.6120000000000001</v>
      </c>
      <c r="E20" t="s">
        <v>111</v>
      </c>
      <c r="F20">
        <f t="shared" si="0"/>
        <v>9.6194520547945195E-2</v>
      </c>
      <c r="H20" t="s">
        <v>337</v>
      </c>
    </row>
    <row r="21" spans="1:8" x14ac:dyDescent="0.2">
      <c r="A21" t="s">
        <v>294</v>
      </c>
      <c r="B21" s="35">
        <v>291.70999999999998</v>
      </c>
      <c r="C21" s="35">
        <v>410.226</v>
      </c>
      <c r="D21" s="35">
        <v>440.81099999999998</v>
      </c>
      <c r="E21" t="s">
        <v>99</v>
      </c>
      <c r="F21">
        <f t="shared" si="0"/>
        <v>0.79920547945205478</v>
      </c>
      <c r="H21" t="s">
        <v>338</v>
      </c>
    </row>
    <row r="22" spans="1:8" x14ac:dyDescent="0.2">
      <c r="A22" t="s">
        <v>295</v>
      </c>
      <c r="B22" s="35">
        <v>1041.0509999999999</v>
      </c>
      <c r="C22" s="35">
        <v>1012.068</v>
      </c>
      <c r="D22" s="35">
        <v>841.24800000000005</v>
      </c>
      <c r="E22" s="1" t="s">
        <v>100</v>
      </c>
      <c r="F22">
        <f t="shared" si="0"/>
        <v>2.8521945205479451</v>
      </c>
    </row>
    <row r="23" spans="1:8" x14ac:dyDescent="0.2">
      <c r="A23" t="s">
        <v>296</v>
      </c>
      <c r="B23" s="35">
        <v>508.40300000000002</v>
      </c>
      <c r="C23" s="35">
        <v>566.721</v>
      </c>
      <c r="D23" s="35">
        <v>657.03899999999999</v>
      </c>
      <c r="E23" t="s">
        <v>255</v>
      </c>
      <c r="F23">
        <f t="shared" si="0"/>
        <v>1.3928849315068494</v>
      </c>
      <c r="H23" t="s">
        <v>339</v>
      </c>
    </row>
    <row r="24" spans="1:8" x14ac:dyDescent="0.2">
      <c r="A24" t="s">
        <v>297</v>
      </c>
      <c r="B24" s="35">
        <v>2844.82</v>
      </c>
      <c r="C24" s="35">
        <v>3478.627</v>
      </c>
      <c r="D24" s="35">
        <v>4181.5940000000001</v>
      </c>
      <c r="E24" s="1" t="s">
        <v>234</v>
      </c>
      <c r="F24">
        <f t="shared" si="0"/>
        <v>7.7940273972602743</v>
      </c>
    </row>
    <row r="25" spans="1:8" x14ac:dyDescent="0.2">
      <c r="A25" t="s">
        <v>298</v>
      </c>
      <c r="B25" s="35">
        <v>2628.125</v>
      </c>
      <c r="C25" s="35">
        <v>913.13300000000004</v>
      </c>
      <c r="D25" s="35"/>
      <c r="E25" s="1" t="s">
        <v>96</v>
      </c>
      <c r="F25">
        <f t="shared" si="0"/>
        <v>7.2003424657534243</v>
      </c>
    </row>
    <row r="26" spans="1:8" x14ac:dyDescent="0.2">
      <c r="A26" t="s">
        <v>299</v>
      </c>
      <c r="B26" s="35">
        <v>569.45500000000004</v>
      </c>
      <c r="C26" s="35">
        <v>576.18600000000004</v>
      </c>
      <c r="D26" s="35">
        <v>577.52499999999998</v>
      </c>
      <c r="E26" t="s">
        <v>76</v>
      </c>
      <c r="F26">
        <f t="shared" si="0"/>
        <v>1.560150684931507</v>
      </c>
      <c r="H26" t="s">
        <v>340</v>
      </c>
    </row>
    <row r="27" spans="1:8" x14ac:dyDescent="0.2">
      <c r="A27" t="s">
        <v>300</v>
      </c>
      <c r="B27" s="35">
        <v>68.573999999999998</v>
      </c>
      <c r="C27" s="35">
        <v>82.480999999999995</v>
      </c>
      <c r="D27" s="35">
        <v>326.358</v>
      </c>
      <c r="E27" t="s">
        <v>255</v>
      </c>
      <c r="F27">
        <f t="shared" si="0"/>
        <v>0.18787397260273972</v>
      </c>
      <c r="H27" t="s">
        <v>341</v>
      </c>
    </row>
    <row r="28" spans="1:8" x14ac:dyDescent="0.2">
      <c r="A28" t="s">
        <v>301</v>
      </c>
      <c r="B28" s="35">
        <v>0</v>
      </c>
      <c r="C28" s="35">
        <v>0</v>
      </c>
      <c r="D28" s="35"/>
      <c r="F28">
        <f t="shared" si="0"/>
        <v>0</v>
      </c>
    </row>
    <row r="29" spans="1:8" x14ac:dyDescent="0.2">
      <c r="A29" t="s">
        <v>302</v>
      </c>
      <c r="B29" s="35">
        <v>0</v>
      </c>
      <c r="C29" s="35">
        <v>0</v>
      </c>
      <c r="D29" s="35"/>
      <c r="F29">
        <f t="shared" si="0"/>
        <v>0</v>
      </c>
    </row>
    <row r="30" spans="1:8" x14ac:dyDescent="0.2">
      <c r="A30" t="s">
        <v>303</v>
      </c>
      <c r="B30" s="35">
        <v>9559.6110000000008</v>
      </c>
      <c r="C30" s="35">
        <v>11204.512000000001</v>
      </c>
      <c r="D30" s="35">
        <v>11911.325000000001</v>
      </c>
      <c r="E30" s="1" t="s">
        <v>82</v>
      </c>
      <c r="F30">
        <f t="shared" si="0"/>
        <v>26.190715068493152</v>
      </c>
    </row>
    <row r="31" spans="1:8" x14ac:dyDescent="0.2">
      <c r="A31" t="s">
        <v>304</v>
      </c>
      <c r="B31" s="35">
        <v>6523.8289999999997</v>
      </c>
      <c r="C31" s="35">
        <v>8158.1670000000004</v>
      </c>
      <c r="D31" s="35">
        <v>3468.5250000000001</v>
      </c>
      <c r="E31" s="1" t="s">
        <v>95</v>
      </c>
      <c r="F31">
        <f t="shared" si="0"/>
        <v>17.873504109589039</v>
      </c>
    </row>
    <row r="32" spans="1:8" x14ac:dyDescent="0.2">
      <c r="A32" t="s">
        <v>305</v>
      </c>
      <c r="B32" s="35">
        <v>4.6669999999999998</v>
      </c>
      <c r="C32" s="35">
        <v>6.3460000000000001</v>
      </c>
      <c r="D32" s="35">
        <v>8.0749999999999993</v>
      </c>
      <c r="E32" s="1" t="s">
        <v>95</v>
      </c>
      <c r="F32">
        <f t="shared" si="0"/>
        <v>1.2786301369863013E-2</v>
      </c>
    </row>
    <row r="33" spans="1:8" x14ac:dyDescent="0.2">
      <c r="A33" t="s">
        <v>306</v>
      </c>
      <c r="B33" s="35">
        <v>6523.8289999999997</v>
      </c>
      <c r="C33" s="35">
        <v>8158.1670000000004</v>
      </c>
      <c r="D33" s="35">
        <v>698.84699999999998</v>
      </c>
      <c r="E33" s="1" t="s">
        <v>95</v>
      </c>
      <c r="F33">
        <f t="shared" si="0"/>
        <v>17.873504109589039</v>
      </c>
    </row>
    <row r="34" spans="1:8" x14ac:dyDescent="0.2">
      <c r="A34" t="s">
        <v>307</v>
      </c>
      <c r="B34" s="35">
        <v>6162.7870000000003</v>
      </c>
      <c r="C34" s="35">
        <v>4509.7179999999998</v>
      </c>
      <c r="D34" s="35">
        <v>3243.4229999999998</v>
      </c>
      <c r="E34" s="1" t="s">
        <v>77</v>
      </c>
      <c r="F34">
        <f t="shared" si="0"/>
        <v>16.88434794520548</v>
      </c>
    </row>
    <row r="35" spans="1:8" x14ac:dyDescent="0.2">
      <c r="A35" t="s">
        <v>308</v>
      </c>
      <c r="B35" s="35">
        <v>76.070999999999998</v>
      </c>
      <c r="C35" s="35">
        <v>89.119</v>
      </c>
      <c r="D35" s="35">
        <v>145.56899999999999</v>
      </c>
      <c r="E35" s="1" t="s">
        <v>105</v>
      </c>
      <c r="F35">
        <f t="shared" si="0"/>
        <v>0.20841369863013698</v>
      </c>
    </row>
    <row r="36" spans="1:8" x14ac:dyDescent="0.2">
      <c r="A36" t="s">
        <v>309</v>
      </c>
      <c r="B36" s="35">
        <v>1334.021</v>
      </c>
      <c r="C36" s="35">
        <v>1821.5219999999999</v>
      </c>
      <c r="D36" s="35">
        <v>2270.2930000000001</v>
      </c>
      <c r="E36" s="1" t="s">
        <v>105</v>
      </c>
      <c r="F36">
        <f t="shared" si="0"/>
        <v>3.6548520547945205</v>
      </c>
    </row>
    <row r="37" spans="1:8" x14ac:dyDescent="0.2">
      <c r="A37" t="s">
        <v>310</v>
      </c>
      <c r="B37" s="35">
        <v>3689.7310000000002</v>
      </c>
      <c r="C37" s="35">
        <v>0</v>
      </c>
      <c r="D37" s="35">
        <v>3776.0549999999998</v>
      </c>
      <c r="E37" s="1" t="s">
        <v>244</v>
      </c>
      <c r="F37">
        <f t="shared" si="0"/>
        <v>10.108852054794522</v>
      </c>
    </row>
    <row r="38" spans="1:8" x14ac:dyDescent="0.2">
      <c r="A38" t="s">
        <v>311</v>
      </c>
      <c r="B38" s="35">
        <v>0</v>
      </c>
      <c r="C38" s="35">
        <v>0</v>
      </c>
      <c r="D38" s="35">
        <v>0</v>
      </c>
      <c r="F38">
        <f t="shared" si="0"/>
        <v>0</v>
      </c>
      <c r="H38" t="s">
        <v>342</v>
      </c>
    </row>
    <row r="39" spans="1:8" x14ac:dyDescent="0.2">
      <c r="A39" t="s">
        <v>312</v>
      </c>
      <c r="B39" s="35">
        <v>0</v>
      </c>
      <c r="C39" s="35">
        <v>0</v>
      </c>
      <c r="D39" s="35"/>
      <c r="F39">
        <f t="shared" si="0"/>
        <v>0</v>
      </c>
    </row>
    <row r="40" spans="1:8" x14ac:dyDescent="0.2">
      <c r="A40" t="s">
        <v>313</v>
      </c>
      <c r="B40" s="35">
        <v>686.33399999999995</v>
      </c>
      <c r="C40" s="35">
        <v>822.01599999999996</v>
      </c>
      <c r="D40" s="35">
        <v>932.529</v>
      </c>
      <c r="E40" s="1" t="s">
        <v>86</v>
      </c>
      <c r="F40">
        <f t="shared" si="0"/>
        <v>1.8803671232876711</v>
      </c>
    </row>
    <row r="41" spans="1:8" x14ac:dyDescent="0.2">
      <c r="A41" t="s">
        <v>314</v>
      </c>
      <c r="B41" s="35">
        <v>85.117999999999995</v>
      </c>
      <c r="C41" s="35">
        <v>66.167000000000002</v>
      </c>
      <c r="D41" s="35">
        <v>40.765999999999998</v>
      </c>
      <c r="E41" s="19" t="s">
        <v>86</v>
      </c>
      <c r="F41">
        <f t="shared" si="0"/>
        <v>0.23319999999999999</v>
      </c>
      <c r="H41" t="s">
        <v>343</v>
      </c>
    </row>
    <row r="42" spans="1:8" x14ac:dyDescent="0.2">
      <c r="A42" t="s">
        <v>315</v>
      </c>
      <c r="B42" s="35">
        <v>0</v>
      </c>
      <c r="C42" s="35">
        <v>0</v>
      </c>
      <c r="D42" s="35">
        <v>0</v>
      </c>
      <c r="F42">
        <f t="shared" si="0"/>
        <v>0</v>
      </c>
    </row>
    <row r="43" spans="1:8" x14ac:dyDescent="0.2">
      <c r="A43" t="s">
        <v>316</v>
      </c>
      <c r="B43" s="35">
        <v>39787.256999999998</v>
      </c>
      <c r="C43" s="35">
        <v>37360.771999999997</v>
      </c>
      <c r="D43" s="35">
        <v>35059.578000000001</v>
      </c>
      <c r="E43" s="1" t="s">
        <v>91</v>
      </c>
      <c r="F43">
        <f t="shared" si="0"/>
        <v>109.00618356164382</v>
      </c>
    </row>
    <row r="44" spans="1:8" x14ac:dyDescent="0.2">
      <c r="A44" t="s">
        <v>317</v>
      </c>
      <c r="B44" s="35">
        <v>3093.8470000000002</v>
      </c>
      <c r="C44" s="35">
        <v>2643.7049999999999</v>
      </c>
      <c r="D44" s="35">
        <v>2983.739</v>
      </c>
      <c r="E44" t="s">
        <v>255</v>
      </c>
      <c r="F44">
        <f t="shared" si="0"/>
        <v>8.4762931506849313</v>
      </c>
      <c r="H44" t="s">
        <v>344</v>
      </c>
    </row>
    <row r="45" spans="1:8" x14ac:dyDescent="0.2">
      <c r="A45" t="s">
        <v>318</v>
      </c>
      <c r="B45" s="35">
        <v>0</v>
      </c>
      <c r="C45" s="35">
        <v>0</v>
      </c>
      <c r="D45" s="35">
        <v>0</v>
      </c>
      <c r="F45">
        <f t="shared" si="0"/>
        <v>0</v>
      </c>
    </row>
    <row r="46" spans="1:8" x14ac:dyDescent="0.2">
      <c r="A46" t="s">
        <v>319</v>
      </c>
      <c r="B46" s="35">
        <v>503.95400000000001</v>
      </c>
      <c r="C46" s="35">
        <v>643.67499999999995</v>
      </c>
      <c r="D46" s="35">
        <v>1023.092</v>
      </c>
      <c r="E46" t="s">
        <v>234</v>
      </c>
      <c r="F46">
        <f t="shared" si="0"/>
        <v>1.380695890410959</v>
      </c>
      <c r="H46" t="s">
        <v>345</v>
      </c>
    </row>
    <row r="47" spans="1:8" x14ac:dyDescent="0.2">
      <c r="A47" t="s">
        <v>320</v>
      </c>
      <c r="B47" s="35">
        <v>351.137</v>
      </c>
      <c r="C47" s="35">
        <v>404.238</v>
      </c>
      <c r="D47" s="35">
        <v>414.34899999999999</v>
      </c>
      <c r="E47" t="s">
        <v>111</v>
      </c>
      <c r="F47">
        <f t="shared" si="0"/>
        <v>0.96201917808219173</v>
      </c>
      <c r="H47" t="s">
        <v>346</v>
      </c>
    </row>
    <row r="48" spans="1:8" x14ac:dyDescent="0.2">
      <c r="A48" t="s">
        <v>321</v>
      </c>
      <c r="B48" s="35">
        <v>1480.8489999999999</v>
      </c>
      <c r="C48" s="35">
        <v>1222.9880000000001</v>
      </c>
      <c r="D48" s="35">
        <v>1575.146</v>
      </c>
      <c r="E48" t="s">
        <v>236</v>
      </c>
      <c r="F48">
        <f t="shared" si="0"/>
        <v>4.057120547945205</v>
      </c>
      <c r="H48" t="s">
        <v>347</v>
      </c>
    </row>
    <row r="49" spans="1:8" x14ac:dyDescent="0.2">
      <c r="A49" t="s">
        <v>322</v>
      </c>
      <c r="B49" s="35">
        <v>5.9009999999999998</v>
      </c>
      <c r="C49" s="35">
        <v>98.837000000000003</v>
      </c>
      <c r="D49" s="35">
        <v>122.099</v>
      </c>
      <c r="E49" t="s">
        <v>95</v>
      </c>
      <c r="F49">
        <f t="shared" si="0"/>
        <v>1.6167123287671233E-2</v>
      </c>
      <c r="H49" t="s">
        <v>348</v>
      </c>
    </row>
    <row r="50" spans="1:8" x14ac:dyDescent="0.2">
      <c r="A50" t="s">
        <v>323</v>
      </c>
      <c r="B50" s="35">
        <v>0</v>
      </c>
      <c r="C50" s="35">
        <v>0</v>
      </c>
      <c r="D50" s="35">
        <v>0</v>
      </c>
      <c r="F50">
        <f t="shared" si="0"/>
        <v>0</v>
      </c>
    </row>
    <row r="51" spans="1:8" x14ac:dyDescent="0.2">
      <c r="A51" t="s">
        <v>324</v>
      </c>
      <c r="B51" s="35">
        <v>5759.634</v>
      </c>
      <c r="C51" s="35">
        <v>5498.473</v>
      </c>
      <c r="D51" s="35">
        <v>4297.1899999999996</v>
      </c>
      <c r="E51" t="s">
        <v>234</v>
      </c>
      <c r="F51">
        <f t="shared" si="0"/>
        <v>15.779819178082192</v>
      </c>
      <c r="H51" t="s">
        <v>349</v>
      </c>
    </row>
  </sheetData>
  <autoFilter ref="A1:H51" xr:uid="{0DA935FD-94E0-3546-BCCF-D34968C9C73A}"/>
  <hyperlinks>
    <hyperlink ref="H8" r:id="rId1" xr:uid="{7A7A57AB-3D6B-0E46-B9A3-67CA6B319D2E}"/>
    <hyperlink ref="H3" r:id="rId2" xr:uid="{2085202B-E0F5-474B-9A20-AE496196105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topLeftCell="A4" zoomScale="160" zoomScaleNormal="160" workbookViewId="0">
      <selection activeCell="B5" sqref="B5"/>
    </sheetView>
  </sheetViews>
  <sheetFormatPr baseColWidth="10" defaultRowHeight="16" x14ac:dyDescent="0.2"/>
  <sheetData>
    <row r="1" spans="1:17" x14ac:dyDescent="0.2">
      <c r="A1" s="4" t="s">
        <v>33</v>
      </c>
      <c r="B1" s="41">
        <v>1</v>
      </c>
      <c r="C1" s="41"/>
      <c r="D1" s="41"/>
      <c r="E1" s="41"/>
      <c r="F1" s="41"/>
      <c r="G1" s="41"/>
      <c r="H1" s="41"/>
      <c r="I1" s="41"/>
      <c r="J1" s="41"/>
      <c r="K1" s="41"/>
      <c r="L1" s="41"/>
      <c r="M1" s="41"/>
      <c r="N1" s="41"/>
      <c r="O1" s="41"/>
      <c r="P1" s="41"/>
      <c r="Q1" s="41"/>
    </row>
    <row r="2" spans="1:17" x14ac:dyDescent="0.2">
      <c r="A2" s="4" t="s">
        <v>26</v>
      </c>
      <c r="B2" s="41">
        <v>1</v>
      </c>
      <c r="C2" s="41"/>
      <c r="D2" s="41"/>
      <c r="E2" s="41"/>
      <c r="F2" s="41"/>
      <c r="G2" s="41"/>
      <c r="H2" s="41"/>
      <c r="I2" s="41"/>
      <c r="J2" s="41"/>
      <c r="K2" s="41"/>
      <c r="L2" s="41"/>
      <c r="M2" s="41"/>
      <c r="N2" s="41"/>
      <c r="O2" s="41"/>
      <c r="P2" s="41"/>
      <c r="Q2" s="41"/>
    </row>
    <row r="3" spans="1:17" x14ac:dyDescent="0.2">
      <c r="A3" s="4"/>
      <c r="B3" s="42" t="s">
        <v>27</v>
      </c>
      <c r="C3" s="42"/>
      <c r="D3" s="42"/>
      <c r="E3" s="42"/>
      <c r="F3" s="42"/>
      <c r="G3" s="42"/>
      <c r="H3" s="42"/>
      <c r="I3" s="42"/>
      <c r="J3" s="43" t="s">
        <v>28</v>
      </c>
      <c r="K3" s="43"/>
      <c r="L3" s="43"/>
      <c r="M3" s="43"/>
      <c r="N3" s="43"/>
      <c r="O3" s="43"/>
      <c r="P3" s="43"/>
      <c r="Q3" s="43"/>
    </row>
    <row r="4" spans="1:17" x14ac:dyDescent="0.2">
      <c r="A4" s="4" t="s">
        <v>17</v>
      </c>
      <c r="B4" s="5" t="str">
        <f>'Demand Stage 2'!B4</f>
        <v>ST.FERGUS</v>
      </c>
      <c r="C4" s="5" t="str">
        <f>'Demand Stage 2'!C4</f>
        <v>EASINGTON</v>
      </c>
      <c r="D4" s="5" t="str">
        <f>'Demand Stage 2'!D4</f>
        <v>TEESSIDE</v>
      </c>
      <c r="E4" s="5" t="str">
        <f>'Demand Stage 2'!E4</f>
        <v>EMDEN</v>
      </c>
      <c r="F4" s="5" t="str">
        <f>'Demand Stage 2'!F4</f>
        <v>EMDEN 2</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tr">
        <f>'Demand Stage 2'!N4</f>
        <v>EMDEN 2</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zoomScale="125" zoomScaleNormal="200" workbookViewId="0">
      <selection activeCell="B4" sqref="B4:I4"/>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33</v>
      </c>
      <c r="B1" s="41">
        <v>5</v>
      </c>
      <c r="C1" s="41"/>
      <c r="D1" s="41"/>
      <c r="E1" s="41"/>
      <c r="F1" s="41"/>
      <c r="G1" s="41"/>
      <c r="H1" s="41"/>
      <c r="I1" s="41"/>
      <c r="J1" s="41"/>
      <c r="K1" s="41"/>
      <c r="L1" s="41"/>
      <c r="M1" s="41"/>
      <c r="N1" s="41"/>
      <c r="O1" s="41"/>
      <c r="P1" s="41"/>
      <c r="Q1" s="41"/>
      <c r="R1" s="41">
        <f>B1+Parameters!$B$5</f>
        <v>9</v>
      </c>
      <c r="S1" s="41"/>
      <c r="T1" s="41"/>
      <c r="U1" s="41"/>
      <c r="V1" s="41"/>
      <c r="W1" s="41"/>
      <c r="X1" s="41"/>
      <c r="Y1" s="41"/>
      <c r="Z1" s="41"/>
      <c r="AA1" s="41"/>
      <c r="AB1" s="41"/>
      <c r="AC1" s="41"/>
      <c r="AD1" s="41"/>
      <c r="AE1" s="41"/>
      <c r="AF1" s="41"/>
      <c r="AG1" s="41"/>
      <c r="AH1" s="41">
        <f>R1+Parameters!$B$5</f>
        <v>13</v>
      </c>
      <c r="AI1" s="41"/>
      <c r="AJ1" s="41"/>
      <c r="AK1" s="41"/>
      <c r="AL1" s="41"/>
      <c r="AM1" s="41"/>
      <c r="AN1" s="41"/>
      <c r="AO1" s="41"/>
      <c r="AP1" s="41"/>
      <c r="AQ1" s="41"/>
      <c r="AR1" s="41"/>
      <c r="AS1" s="41"/>
      <c r="AT1" s="41"/>
      <c r="AU1" s="41"/>
      <c r="AV1" s="41"/>
      <c r="AW1" s="41"/>
      <c r="AX1" s="41">
        <f>AH1+Parameters!$B$5</f>
        <v>17</v>
      </c>
      <c r="AY1" s="41"/>
      <c r="AZ1" s="41"/>
      <c r="BA1" s="41"/>
      <c r="BB1" s="41"/>
      <c r="BC1" s="41"/>
      <c r="BD1" s="41"/>
      <c r="BE1" s="41"/>
      <c r="BF1" s="41"/>
      <c r="BG1" s="41"/>
      <c r="BH1" s="41"/>
      <c r="BI1" s="41"/>
      <c r="BJ1" s="41"/>
      <c r="BK1" s="41"/>
      <c r="BL1" s="41"/>
      <c r="BM1" s="41"/>
    </row>
    <row r="2" spans="1:65" x14ac:dyDescent="0.2">
      <c r="A2" s="4" t="s">
        <v>26</v>
      </c>
      <c r="B2" s="41">
        <v>0.25</v>
      </c>
      <c r="C2" s="41"/>
      <c r="D2" s="41"/>
      <c r="E2" s="41"/>
      <c r="F2" s="41"/>
      <c r="G2" s="41"/>
      <c r="H2" s="41"/>
      <c r="I2" s="41"/>
      <c r="J2" s="41"/>
      <c r="K2" s="41"/>
      <c r="L2" s="41"/>
      <c r="M2" s="41"/>
      <c r="N2" s="41"/>
      <c r="O2" s="41"/>
      <c r="P2" s="41"/>
      <c r="Q2" s="41"/>
      <c r="R2" s="41">
        <f>B2</f>
        <v>0.25</v>
      </c>
      <c r="S2" s="41"/>
      <c r="T2" s="41"/>
      <c r="U2" s="41"/>
      <c r="V2" s="41"/>
      <c r="W2" s="41"/>
      <c r="X2" s="41"/>
      <c r="Y2" s="41"/>
      <c r="Z2" s="41"/>
      <c r="AA2" s="41"/>
      <c r="AB2" s="41"/>
      <c r="AC2" s="41"/>
      <c r="AD2" s="41"/>
      <c r="AE2" s="41"/>
      <c r="AF2" s="41"/>
      <c r="AG2" s="41"/>
      <c r="AH2" s="41">
        <f>B2</f>
        <v>0.25</v>
      </c>
      <c r="AI2" s="41"/>
      <c r="AJ2" s="41"/>
      <c r="AK2" s="41"/>
      <c r="AL2" s="41"/>
      <c r="AM2" s="41"/>
      <c r="AN2" s="41"/>
      <c r="AO2" s="41"/>
      <c r="AP2" s="41"/>
      <c r="AQ2" s="41"/>
      <c r="AR2" s="41"/>
      <c r="AS2" s="41"/>
      <c r="AT2" s="41"/>
      <c r="AU2" s="41"/>
      <c r="AV2" s="41"/>
      <c r="AW2" s="41"/>
      <c r="AX2" s="41">
        <f>B2</f>
        <v>0.25</v>
      </c>
      <c r="AY2" s="41"/>
      <c r="AZ2" s="41"/>
      <c r="BA2" s="41"/>
      <c r="BB2" s="41"/>
      <c r="BC2" s="41"/>
      <c r="BD2" s="41"/>
      <c r="BE2" s="41"/>
      <c r="BF2" s="41"/>
      <c r="BG2" s="41"/>
      <c r="BH2" s="41"/>
      <c r="BI2" s="41"/>
      <c r="BJ2" s="41"/>
      <c r="BK2" s="41"/>
      <c r="BL2" s="41"/>
      <c r="BM2" s="41"/>
    </row>
    <row r="3" spans="1:65" x14ac:dyDescent="0.2">
      <c r="A3" s="4"/>
      <c r="B3" s="42" t="s">
        <v>27</v>
      </c>
      <c r="C3" s="42"/>
      <c r="D3" s="42"/>
      <c r="E3" s="42"/>
      <c r="F3" s="42"/>
      <c r="G3" s="42"/>
      <c r="H3" s="42"/>
      <c r="I3" s="42"/>
      <c r="J3" s="43" t="s">
        <v>28</v>
      </c>
      <c r="K3" s="43"/>
      <c r="L3" s="43"/>
      <c r="M3" s="43"/>
      <c r="N3" s="43"/>
      <c r="O3" s="43"/>
      <c r="P3" s="43"/>
      <c r="Q3" s="43"/>
      <c r="R3" s="42" t="s">
        <v>27</v>
      </c>
      <c r="S3" s="42"/>
      <c r="T3" s="42"/>
      <c r="U3" s="42"/>
      <c r="V3" s="42"/>
      <c r="W3" s="42"/>
      <c r="X3" s="42"/>
      <c r="Y3" s="42"/>
      <c r="Z3" s="43" t="s">
        <v>28</v>
      </c>
      <c r="AA3" s="43"/>
      <c r="AB3" s="43"/>
      <c r="AC3" s="43"/>
      <c r="AD3" s="43"/>
      <c r="AE3" s="43"/>
      <c r="AF3" s="43"/>
      <c r="AG3" s="43"/>
      <c r="AH3" s="42" t="s">
        <v>27</v>
      </c>
      <c r="AI3" s="42"/>
      <c r="AJ3" s="42"/>
      <c r="AK3" s="42"/>
      <c r="AL3" s="42"/>
      <c r="AM3" s="42"/>
      <c r="AN3" s="42"/>
      <c r="AO3" s="42"/>
      <c r="AP3" s="43" t="s">
        <v>28</v>
      </c>
      <c r="AQ3" s="43"/>
      <c r="AR3" s="43"/>
      <c r="AS3" s="43"/>
      <c r="AT3" s="43"/>
      <c r="AU3" s="43"/>
      <c r="AV3" s="43"/>
      <c r="AW3" s="43"/>
      <c r="AX3" s="42" t="s">
        <v>27</v>
      </c>
      <c r="AY3" s="42"/>
      <c r="AZ3" s="42"/>
      <c r="BA3" s="42"/>
      <c r="BB3" s="42"/>
      <c r="BC3" s="42"/>
      <c r="BD3" s="42"/>
      <c r="BE3" s="42"/>
      <c r="BF3" s="43" t="s">
        <v>28</v>
      </c>
      <c r="BG3" s="43"/>
      <c r="BH3" s="43"/>
      <c r="BI3" s="43"/>
      <c r="BJ3" s="43"/>
      <c r="BK3" s="43"/>
      <c r="BL3" s="43"/>
      <c r="BM3" s="43"/>
    </row>
    <row r="4" spans="1:65" x14ac:dyDescent="0.2">
      <c r="A4" s="4" t="s">
        <v>17</v>
      </c>
      <c r="B4" s="5" t="s">
        <v>110</v>
      </c>
      <c r="C4" s="5" t="s">
        <v>120</v>
      </c>
      <c r="D4" s="5" t="s">
        <v>116</v>
      </c>
      <c r="E4" s="5" t="s">
        <v>121</v>
      </c>
      <c r="F4" s="5" t="s">
        <v>128</v>
      </c>
      <c r="G4" s="5" t="s">
        <v>122</v>
      </c>
      <c r="H4" s="5" t="s">
        <v>123</v>
      </c>
      <c r="I4" s="5" t="s">
        <v>118</v>
      </c>
      <c r="J4" s="6" t="str">
        <f>B4</f>
        <v>ST.FERGUS</v>
      </c>
      <c r="K4" s="6" t="str">
        <f t="shared" ref="K4:Q4" si="0">C4</f>
        <v>EASINGTON</v>
      </c>
      <c r="L4" s="6" t="str">
        <f t="shared" si="0"/>
        <v>TEESSIDE</v>
      </c>
      <c r="M4" s="6" t="str">
        <f t="shared" si="0"/>
        <v>EMDEN</v>
      </c>
      <c r="N4" s="6" t="str">
        <f t="shared" si="0"/>
        <v>EMDEN 2</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EMDEN 2</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EMDEN 2</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EMDEN 2</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EMDEN 2</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EMDEN 2</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EMDEN 2</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258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268</v>
      </c>
      <c r="I41">
        <f>SUM(B2:BM2)</f>
        <v>1</v>
      </c>
    </row>
    <row r="42" spans="2:57" x14ac:dyDescent="0.2">
      <c r="B42" s="8" t="s">
        <v>74</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259</v>
      </c>
    </row>
    <row r="50" spans="2:6" x14ac:dyDescent="0.2">
      <c r="B50" t="s">
        <v>250</v>
      </c>
      <c r="C50" t="s">
        <v>251</v>
      </c>
      <c r="D50" t="s">
        <v>252</v>
      </c>
      <c r="E50" t="s">
        <v>253</v>
      </c>
      <c r="F50" t="s">
        <v>254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IH1" sqref="IH1:IW1"/>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33</v>
      </c>
      <c r="B1" s="41">
        <v>21</v>
      </c>
      <c r="C1" s="41"/>
      <c r="D1" s="41"/>
      <c r="E1" s="41"/>
      <c r="F1" s="41"/>
      <c r="G1" s="41"/>
      <c r="H1" s="41"/>
      <c r="I1" s="41"/>
      <c r="J1" s="41"/>
      <c r="K1" s="41"/>
      <c r="L1" s="41"/>
      <c r="M1" s="41"/>
      <c r="N1" s="41"/>
      <c r="O1" s="41"/>
      <c r="P1" s="41"/>
      <c r="Q1" s="41"/>
      <c r="R1" s="41">
        <f>B1+Parameters!$B$5</f>
        <v>25</v>
      </c>
      <c r="S1" s="41"/>
      <c r="T1" s="41"/>
      <c r="U1" s="41"/>
      <c r="V1" s="41"/>
      <c r="W1" s="41"/>
      <c r="X1" s="41"/>
      <c r="Y1" s="41"/>
      <c r="Z1" s="41"/>
      <c r="AA1" s="41"/>
      <c r="AB1" s="41"/>
      <c r="AC1" s="41"/>
      <c r="AD1" s="41"/>
      <c r="AE1" s="41"/>
      <c r="AF1" s="41"/>
      <c r="AG1" s="41"/>
      <c r="AH1" s="41">
        <f>R1+Parameters!$B$5</f>
        <v>29</v>
      </c>
      <c r="AI1" s="41"/>
      <c r="AJ1" s="41"/>
      <c r="AK1" s="41"/>
      <c r="AL1" s="41"/>
      <c r="AM1" s="41"/>
      <c r="AN1" s="41"/>
      <c r="AO1" s="41"/>
      <c r="AP1" s="41"/>
      <c r="AQ1" s="41"/>
      <c r="AR1" s="41"/>
      <c r="AS1" s="41"/>
      <c r="AT1" s="41"/>
      <c r="AU1" s="41"/>
      <c r="AV1" s="41"/>
      <c r="AW1" s="41"/>
      <c r="AX1" s="41">
        <f>AH1+Parameters!$B$5</f>
        <v>33</v>
      </c>
      <c r="AY1" s="41"/>
      <c r="AZ1" s="41"/>
      <c r="BA1" s="41"/>
      <c r="BB1" s="41"/>
      <c r="BC1" s="41"/>
      <c r="BD1" s="41"/>
      <c r="BE1" s="41"/>
      <c r="BF1" s="41"/>
      <c r="BG1" s="41"/>
      <c r="BH1" s="41"/>
      <c r="BI1" s="41"/>
      <c r="BJ1" s="41"/>
      <c r="BK1" s="41"/>
      <c r="BL1" s="41"/>
      <c r="BM1" s="41"/>
      <c r="BN1" s="41">
        <f>AX1+Parameters!$B$5</f>
        <v>37</v>
      </c>
      <c r="BO1" s="41"/>
      <c r="BP1" s="41"/>
      <c r="BQ1" s="41"/>
      <c r="BR1" s="41"/>
      <c r="BS1" s="41"/>
      <c r="BT1" s="41"/>
      <c r="BU1" s="41"/>
      <c r="BV1" s="41"/>
      <c r="BW1" s="41"/>
      <c r="BX1" s="41"/>
      <c r="BY1" s="41"/>
      <c r="BZ1" s="41"/>
      <c r="CA1" s="41"/>
      <c r="CB1" s="41"/>
      <c r="CC1" s="41"/>
      <c r="CD1" s="41">
        <f>BN1+Parameters!$B$5</f>
        <v>41</v>
      </c>
      <c r="CE1" s="41"/>
      <c r="CF1" s="41"/>
      <c r="CG1" s="41"/>
      <c r="CH1" s="41"/>
      <c r="CI1" s="41"/>
      <c r="CJ1" s="41"/>
      <c r="CK1" s="41"/>
      <c r="CL1" s="41"/>
      <c r="CM1" s="41"/>
      <c r="CN1" s="41"/>
      <c r="CO1" s="41"/>
      <c r="CP1" s="41"/>
      <c r="CQ1" s="41"/>
      <c r="CR1" s="41"/>
      <c r="CS1" s="41"/>
      <c r="CT1" s="41">
        <f>CD1+Parameters!$B$5</f>
        <v>45</v>
      </c>
      <c r="CU1" s="41"/>
      <c r="CV1" s="41"/>
      <c r="CW1" s="41"/>
      <c r="CX1" s="41"/>
      <c r="CY1" s="41"/>
      <c r="CZ1" s="41"/>
      <c r="DA1" s="41"/>
      <c r="DB1" s="41"/>
      <c r="DC1" s="41"/>
      <c r="DD1" s="41"/>
      <c r="DE1" s="41"/>
      <c r="DF1" s="41"/>
      <c r="DG1" s="41"/>
      <c r="DH1" s="41"/>
      <c r="DI1" s="41"/>
      <c r="DJ1" s="41">
        <f>CT1+Parameters!$B$5</f>
        <v>49</v>
      </c>
      <c r="DK1" s="41"/>
      <c r="DL1" s="41"/>
      <c r="DM1" s="41"/>
      <c r="DN1" s="41"/>
      <c r="DO1" s="41"/>
      <c r="DP1" s="41"/>
      <c r="DQ1" s="41"/>
      <c r="DR1" s="41"/>
      <c r="DS1" s="41"/>
      <c r="DT1" s="41"/>
      <c r="DU1" s="41"/>
      <c r="DV1" s="41"/>
      <c r="DW1" s="41"/>
      <c r="DX1" s="41"/>
      <c r="DY1" s="41"/>
      <c r="DZ1" s="41">
        <f>DJ1+Parameters!$B$5</f>
        <v>53</v>
      </c>
      <c r="EA1" s="41"/>
      <c r="EB1" s="41"/>
      <c r="EC1" s="41"/>
      <c r="ED1" s="41"/>
      <c r="EE1" s="41"/>
      <c r="EF1" s="41"/>
      <c r="EG1" s="41"/>
      <c r="EH1" s="41"/>
      <c r="EI1" s="41"/>
      <c r="EJ1" s="41"/>
      <c r="EK1" s="41"/>
      <c r="EL1" s="41"/>
      <c r="EM1" s="41"/>
      <c r="EN1" s="41"/>
      <c r="EO1" s="41"/>
      <c r="EP1" s="41">
        <f>DZ1+Parameters!$B$5</f>
        <v>57</v>
      </c>
      <c r="EQ1" s="41"/>
      <c r="ER1" s="41"/>
      <c r="ES1" s="41"/>
      <c r="ET1" s="41"/>
      <c r="EU1" s="41"/>
      <c r="EV1" s="41"/>
      <c r="EW1" s="41"/>
      <c r="EX1" s="41"/>
      <c r="EY1" s="41"/>
      <c r="EZ1" s="41"/>
      <c r="FA1" s="41"/>
      <c r="FB1" s="41"/>
      <c r="FC1" s="41"/>
      <c r="FD1" s="41"/>
      <c r="FE1" s="41"/>
      <c r="FF1" s="41">
        <f>EP1+Parameters!$B$5</f>
        <v>61</v>
      </c>
      <c r="FG1" s="41"/>
      <c r="FH1" s="41"/>
      <c r="FI1" s="41"/>
      <c r="FJ1" s="41"/>
      <c r="FK1" s="41"/>
      <c r="FL1" s="41"/>
      <c r="FM1" s="41"/>
      <c r="FN1" s="41"/>
      <c r="FO1" s="41"/>
      <c r="FP1" s="41"/>
      <c r="FQ1" s="41"/>
      <c r="FR1" s="41"/>
      <c r="FS1" s="41"/>
      <c r="FT1" s="41"/>
      <c r="FU1" s="41"/>
      <c r="FV1" s="41">
        <f>FF1+Parameters!$B$5</f>
        <v>65</v>
      </c>
      <c r="FW1" s="41"/>
      <c r="FX1" s="41"/>
      <c r="FY1" s="41"/>
      <c r="FZ1" s="41"/>
      <c r="GA1" s="41"/>
      <c r="GB1" s="41"/>
      <c r="GC1" s="41"/>
      <c r="GD1" s="41"/>
      <c r="GE1" s="41"/>
      <c r="GF1" s="41"/>
      <c r="GG1" s="41"/>
      <c r="GH1" s="41"/>
      <c r="GI1" s="41"/>
      <c r="GJ1" s="41"/>
      <c r="GK1" s="41"/>
      <c r="GL1" s="41">
        <f>FV1+Parameters!$B$5</f>
        <v>69</v>
      </c>
      <c r="GM1" s="41"/>
      <c r="GN1" s="41"/>
      <c r="GO1" s="41"/>
      <c r="GP1" s="41"/>
      <c r="GQ1" s="41"/>
      <c r="GR1" s="41"/>
      <c r="GS1" s="41"/>
      <c r="GT1" s="41"/>
      <c r="GU1" s="41"/>
      <c r="GV1" s="41"/>
      <c r="GW1" s="41"/>
      <c r="GX1" s="41"/>
      <c r="GY1" s="41"/>
      <c r="GZ1" s="41"/>
      <c r="HA1" s="41"/>
      <c r="HB1" s="41">
        <f>GL1+Parameters!$B$5</f>
        <v>73</v>
      </c>
      <c r="HC1" s="41"/>
      <c r="HD1" s="41"/>
      <c r="HE1" s="41"/>
      <c r="HF1" s="41"/>
      <c r="HG1" s="41"/>
      <c r="HH1" s="41"/>
      <c r="HI1" s="41"/>
      <c r="HJ1" s="41"/>
      <c r="HK1" s="41"/>
      <c r="HL1" s="41"/>
      <c r="HM1" s="41"/>
      <c r="HN1" s="41"/>
      <c r="HO1" s="41"/>
      <c r="HP1" s="41"/>
      <c r="HQ1" s="41"/>
      <c r="HR1" s="41">
        <f>HB1+Parameters!$B$5</f>
        <v>77</v>
      </c>
      <c r="HS1" s="41"/>
      <c r="HT1" s="41"/>
      <c r="HU1" s="41"/>
      <c r="HV1" s="41"/>
      <c r="HW1" s="41"/>
      <c r="HX1" s="41"/>
      <c r="HY1" s="41"/>
      <c r="HZ1" s="41"/>
      <c r="IA1" s="41"/>
      <c r="IB1" s="41"/>
      <c r="IC1" s="41"/>
      <c r="ID1" s="41"/>
      <c r="IE1" s="41"/>
      <c r="IF1" s="41"/>
      <c r="IG1" s="41"/>
      <c r="IH1" s="41">
        <f>HR1+Parameters!$B$5</f>
        <v>81</v>
      </c>
      <c r="II1" s="41"/>
      <c r="IJ1" s="41"/>
      <c r="IK1" s="41"/>
      <c r="IL1" s="41"/>
      <c r="IM1" s="41"/>
      <c r="IN1" s="41"/>
      <c r="IO1" s="41"/>
      <c r="IP1" s="41"/>
      <c r="IQ1" s="41"/>
      <c r="IR1" s="41"/>
      <c r="IS1" s="41"/>
      <c r="IT1" s="41"/>
      <c r="IU1" s="41"/>
      <c r="IV1" s="41"/>
      <c r="IW1" s="41"/>
    </row>
    <row r="2" spans="1:257" x14ac:dyDescent="0.2">
      <c r="A2" s="4" t="s">
        <v>26</v>
      </c>
      <c r="B2" s="41">
        <f>1/16</f>
        <v>6.25E-2</v>
      </c>
      <c r="C2" s="41"/>
      <c r="D2" s="41"/>
      <c r="E2" s="41"/>
      <c r="F2" s="41"/>
      <c r="G2" s="41"/>
      <c r="H2" s="41"/>
      <c r="I2" s="41"/>
      <c r="J2" s="41"/>
      <c r="K2" s="41"/>
      <c r="L2" s="41"/>
      <c r="M2" s="41"/>
      <c r="N2" s="41"/>
      <c r="O2" s="41"/>
      <c r="P2" s="41"/>
      <c r="Q2" s="41"/>
      <c r="R2" s="41">
        <f>B2</f>
        <v>6.25E-2</v>
      </c>
      <c r="S2" s="41"/>
      <c r="T2" s="41"/>
      <c r="U2" s="41"/>
      <c r="V2" s="41"/>
      <c r="W2" s="41"/>
      <c r="X2" s="41"/>
      <c r="Y2" s="41"/>
      <c r="Z2" s="41"/>
      <c r="AA2" s="41"/>
      <c r="AB2" s="41"/>
      <c r="AC2" s="41"/>
      <c r="AD2" s="41"/>
      <c r="AE2" s="41"/>
      <c r="AF2" s="41"/>
      <c r="AG2" s="41"/>
      <c r="AH2" s="41">
        <f t="shared" ref="AH2" si="0">R2</f>
        <v>6.25E-2</v>
      </c>
      <c r="AI2" s="41"/>
      <c r="AJ2" s="41"/>
      <c r="AK2" s="41"/>
      <c r="AL2" s="41"/>
      <c r="AM2" s="41"/>
      <c r="AN2" s="41"/>
      <c r="AO2" s="41"/>
      <c r="AP2" s="41"/>
      <c r="AQ2" s="41"/>
      <c r="AR2" s="41"/>
      <c r="AS2" s="41"/>
      <c r="AT2" s="41"/>
      <c r="AU2" s="41"/>
      <c r="AV2" s="41"/>
      <c r="AW2" s="41"/>
      <c r="AX2" s="41">
        <f t="shared" ref="AX2" si="1">AH2</f>
        <v>6.25E-2</v>
      </c>
      <c r="AY2" s="41"/>
      <c r="AZ2" s="41"/>
      <c r="BA2" s="41"/>
      <c r="BB2" s="41"/>
      <c r="BC2" s="41"/>
      <c r="BD2" s="41"/>
      <c r="BE2" s="41"/>
      <c r="BF2" s="41"/>
      <c r="BG2" s="41"/>
      <c r="BH2" s="41"/>
      <c r="BI2" s="41"/>
      <c r="BJ2" s="41"/>
      <c r="BK2" s="41"/>
      <c r="BL2" s="41"/>
      <c r="BM2" s="41"/>
      <c r="BN2" s="41">
        <f t="shared" ref="BN2" si="2">AX2</f>
        <v>6.25E-2</v>
      </c>
      <c r="BO2" s="41"/>
      <c r="BP2" s="41"/>
      <c r="BQ2" s="41"/>
      <c r="BR2" s="41"/>
      <c r="BS2" s="41"/>
      <c r="BT2" s="41"/>
      <c r="BU2" s="41"/>
      <c r="BV2" s="41"/>
      <c r="BW2" s="41"/>
      <c r="BX2" s="41"/>
      <c r="BY2" s="41"/>
      <c r="BZ2" s="41"/>
      <c r="CA2" s="41"/>
      <c r="CB2" s="41"/>
      <c r="CC2" s="41"/>
      <c r="CD2" s="41">
        <f t="shared" ref="CD2" si="3">BN2</f>
        <v>6.25E-2</v>
      </c>
      <c r="CE2" s="41"/>
      <c r="CF2" s="41"/>
      <c r="CG2" s="41"/>
      <c r="CH2" s="41"/>
      <c r="CI2" s="41"/>
      <c r="CJ2" s="41"/>
      <c r="CK2" s="41"/>
      <c r="CL2" s="41"/>
      <c r="CM2" s="41"/>
      <c r="CN2" s="41"/>
      <c r="CO2" s="41"/>
      <c r="CP2" s="41"/>
      <c r="CQ2" s="41"/>
      <c r="CR2" s="41"/>
      <c r="CS2" s="41"/>
      <c r="CT2" s="41">
        <f t="shared" ref="CT2" si="4">CD2</f>
        <v>6.25E-2</v>
      </c>
      <c r="CU2" s="41"/>
      <c r="CV2" s="41"/>
      <c r="CW2" s="41"/>
      <c r="CX2" s="41"/>
      <c r="CY2" s="41"/>
      <c r="CZ2" s="41"/>
      <c r="DA2" s="41"/>
      <c r="DB2" s="41"/>
      <c r="DC2" s="41"/>
      <c r="DD2" s="41"/>
      <c r="DE2" s="41"/>
      <c r="DF2" s="41"/>
      <c r="DG2" s="41"/>
      <c r="DH2" s="41"/>
      <c r="DI2" s="41"/>
      <c r="DJ2" s="41">
        <f t="shared" ref="DJ2" si="5">CT2</f>
        <v>6.25E-2</v>
      </c>
      <c r="DK2" s="41"/>
      <c r="DL2" s="41"/>
      <c r="DM2" s="41"/>
      <c r="DN2" s="41"/>
      <c r="DO2" s="41"/>
      <c r="DP2" s="41"/>
      <c r="DQ2" s="41"/>
      <c r="DR2" s="41"/>
      <c r="DS2" s="41"/>
      <c r="DT2" s="41"/>
      <c r="DU2" s="41"/>
      <c r="DV2" s="41"/>
      <c r="DW2" s="41"/>
      <c r="DX2" s="41"/>
      <c r="DY2" s="41"/>
      <c r="DZ2" s="41">
        <f t="shared" ref="DZ2" si="6">DJ2</f>
        <v>6.25E-2</v>
      </c>
      <c r="EA2" s="41"/>
      <c r="EB2" s="41"/>
      <c r="EC2" s="41"/>
      <c r="ED2" s="41"/>
      <c r="EE2" s="41"/>
      <c r="EF2" s="41"/>
      <c r="EG2" s="41"/>
      <c r="EH2" s="41"/>
      <c r="EI2" s="41"/>
      <c r="EJ2" s="41"/>
      <c r="EK2" s="41"/>
      <c r="EL2" s="41"/>
      <c r="EM2" s="41"/>
      <c r="EN2" s="41"/>
      <c r="EO2" s="41"/>
      <c r="EP2" s="41">
        <f t="shared" ref="EP2" si="7">DZ2</f>
        <v>6.25E-2</v>
      </c>
      <c r="EQ2" s="41"/>
      <c r="ER2" s="41"/>
      <c r="ES2" s="41"/>
      <c r="ET2" s="41"/>
      <c r="EU2" s="41"/>
      <c r="EV2" s="41"/>
      <c r="EW2" s="41"/>
      <c r="EX2" s="41"/>
      <c r="EY2" s="41"/>
      <c r="EZ2" s="41"/>
      <c r="FA2" s="41"/>
      <c r="FB2" s="41"/>
      <c r="FC2" s="41"/>
      <c r="FD2" s="41"/>
      <c r="FE2" s="41"/>
      <c r="FF2" s="41">
        <f t="shared" ref="FF2" si="8">EP2</f>
        <v>6.25E-2</v>
      </c>
      <c r="FG2" s="41"/>
      <c r="FH2" s="41"/>
      <c r="FI2" s="41"/>
      <c r="FJ2" s="41"/>
      <c r="FK2" s="41"/>
      <c r="FL2" s="41"/>
      <c r="FM2" s="41"/>
      <c r="FN2" s="41"/>
      <c r="FO2" s="41"/>
      <c r="FP2" s="41"/>
      <c r="FQ2" s="41"/>
      <c r="FR2" s="41"/>
      <c r="FS2" s="41"/>
      <c r="FT2" s="41"/>
      <c r="FU2" s="41"/>
      <c r="FV2" s="41">
        <f t="shared" ref="FV2" si="9">FF2</f>
        <v>6.25E-2</v>
      </c>
      <c r="FW2" s="41"/>
      <c r="FX2" s="41"/>
      <c r="FY2" s="41"/>
      <c r="FZ2" s="41"/>
      <c r="GA2" s="41"/>
      <c r="GB2" s="41"/>
      <c r="GC2" s="41"/>
      <c r="GD2" s="41"/>
      <c r="GE2" s="41"/>
      <c r="GF2" s="41"/>
      <c r="GG2" s="41"/>
      <c r="GH2" s="41"/>
      <c r="GI2" s="41"/>
      <c r="GJ2" s="41"/>
      <c r="GK2" s="41"/>
      <c r="GL2" s="41">
        <f t="shared" ref="GL2" si="10">FV2</f>
        <v>6.25E-2</v>
      </c>
      <c r="GM2" s="41"/>
      <c r="GN2" s="41"/>
      <c r="GO2" s="41"/>
      <c r="GP2" s="41"/>
      <c r="GQ2" s="41"/>
      <c r="GR2" s="41"/>
      <c r="GS2" s="41"/>
      <c r="GT2" s="41"/>
      <c r="GU2" s="41"/>
      <c r="GV2" s="41"/>
      <c r="GW2" s="41"/>
      <c r="GX2" s="41"/>
      <c r="GY2" s="41"/>
      <c r="GZ2" s="41"/>
      <c r="HA2" s="41"/>
      <c r="HB2" s="41">
        <f t="shared" ref="HB2" si="11">GL2</f>
        <v>6.25E-2</v>
      </c>
      <c r="HC2" s="41"/>
      <c r="HD2" s="41"/>
      <c r="HE2" s="41"/>
      <c r="HF2" s="41"/>
      <c r="HG2" s="41"/>
      <c r="HH2" s="41"/>
      <c r="HI2" s="41"/>
      <c r="HJ2" s="41"/>
      <c r="HK2" s="41"/>
      <c r="HL2" s="41"/>
      <c r="HM2" s="41"/>
      <c r="HN2" s="41"/>
      <c r="HO2" s="41"/>
      <c r="HP2" s="41"/>
      <c r="HQ2" s="41"/>
      <c r="HR2" s="41">
        <f t="shared" ref="HR2" si="12">HB2</f>
        <v>6.25E-2</v>
      </c>
      <c r="HS2" s="41"/>
      <c r="HT2" s="41"/>
      <c r="HU2" s="41"/>
      <c r="HV2" s="41"/>
      <c r="HW2" s="41"/>
      <c r="HX2" s="41"/>
      <c r="HY2" s="41"/>
      <c r="HZ2" s="41"/>
      <c r="IA2" s="41"/>
      <c r="IB2" s="41"/>
      <c r="IC2" s="41"/>
      <c r="ID2" s="41"/>
      <c r="IE2" s="41"/>
      <c r="IF2" s="41"/>
      <c r="IG2" s="41"/>
      <c r="IH2" s="41">
        <f t="shared" ref="IH2" si="13">HR2</f>
        <v>6.25E-2</v>
      </c>
      <c r="II2" s="41"/>
      <c r="IJ2" s="41"/>
      <c r="IK2" s="41"/>
      <c r="IL2" s="41"/>
      <c r="IM2" s="41"/>
      <c r="IN2" s="41"/>
      <c r="IO2" s="41"/>
      <c r="IP2" s="41"/>
      <c r="IQ2" s="41"/>
      <c r="IR2" s="41"/>
      <c r="IS2" s="41"/>
      <c r="IT2" s="41"/>
      <c r="IU2" s="41"/>
      <c r="IV2" s="41"/>
      <c r="IW2" s="41"/>
    </row>
    <row r="3" spans="1:257" x14ac:dyDescent="0.2">
      <c r="A3" s="4" t="s">
        <v>34</v>
      </c>
      <c r="B3" s="47">
        <v>5</v>
      </c>
      <c r="C3" s="48"/>
      <c r="D3" s="48"/>
      <c r="E3" s="48"/>
      <c r="F3" s="48"/>
      <c r="G3" s="48"/>
      <c r="H3" s="48"/>
      <c r="I3" s="48"/>
      <c r="J3" s="48"/>
      <c r="K3" s="48"/>
      <c r="L3" s="48"/>
      <c r="M3" s="48"/>
      <c r="N3" s="48"/>
      <c r="O3" s="48"/>
      <c r="P3" s="48"/>
      <c r="Q3" s="49"/>
      <c r="R3" s="47">
        <v>5</v>
      </c>
      <c r="S3" s="48"/>
      <c r="T3" s="48"/>
      <c r="U3" s="48"/>
      <c r="V3" s="48"/>
      <c r="W3" s="48"/>
      <c r="X3" s="48"/>
      <c r="Y3" s="48"/>
      <c r="Z3" s="48"/>
      <c r="AA3" s="48"/>
      <c r="AB3" s="48"/>
      <c r="AC3" s="48"/>
      <c r="AD3" s="48"/>
      <c r="AE3" s="48"/>
      <c r="AF3" s="48"/>
      <c r="AG3" s="49"/>
      <c r="AH3" s="47">
        <v>5</v>
      </c>
      <c r="AI3" s="48"/>
      <c r="AJ3" s="48"/>
      <c r="AK3" s="48"/>
      <c r="AL3" s="48"/>
      <c r="AM3" s="48"/>
      <c r="AN3" s="48"/>
      <c r="AO3" s="48"/>
      <c r="AP3" s="48"/>
      <c r="AQ3" s="48"/>
      <c r="AR3" s="48"/>
      <c r="AS3" s="48"/>
      <c r="AT3" s="48"/>
      <c r="AU3" s="48"/>
      <c r="AV3" s="48"/>
      <c r="AW3" s="49"/>
      <c r="AX3" s="47">
        <v>5</v>
      </c>
      <c r="AY3" s="48"/>
      <c r="AZ3" s="48"/>
      <c r="BA3" s="48"/>
      <c r="BB3" s="48"/>
      <c r="BC3" s="48"/>
      <c r="BD3" s="48"/>
      <c r="BE3" s="48"/>
      <c r="BF3" s="48"/>
      <c r="BG3" s="48"/>
      <c r="BH3" s="48"/>
      <c r="BI3" s="48"/>
      <c r="BJ3" s="48"/>
      <c r="BK3" s="48"/>
      <c r="BL3" s="48"/>
      <c r="BM3" s="49"/>
      <c r="BN3" s="47">
        <v>9</v>
      </c>
      <c r="BO3" s="48"/>
      <c r="BP3" s="48"/>
      <c r="BQ3" s="48"/>
      <c r="BR3" s="48"/>
      <c r="BS3" s="48"/>
      <c r="BT3" s="48"/>
      <c r="BU3" s="48"/>
      <c r="BV3" s="48"/>
      <c r="BW3" s="48"/>
      <c r="BX3" s="48"/>
      <c r="BY3" s="48"/>
      <c r="BZ3" s="48"/>
      <c r="CA3" s="48"/>
      <c r="CB3" s="48"/>
      <c r="CC3" s="49"/>
      <c r="CD3" s="47">
        <v>9</v>
      </c>
      <c r="CE3" s="48"/>
      <c r="CF3" s="48"/>
      <c r="CG3" s="48"/>
      <c r="CH3" s="48"/>
      <c r="CI3" s="48"/>
      <c r="CJ3" s="48"/>
      <c r="CK3" s="48"/>
      <c r="CL3" s="48"/>
      <c r="CM3" s="48"/>
      <c r="CN3" s="48"/>
      <c r="CO3" s="48"/>
      <c r="CP3" s="48"/>
      <c r="CQ3" s="48"/>
      <c r="CR3" s="48"/>
      <c r="CS3" s="49"/>
      <c r="CT3" s="47">
        <v>9</v>
      </c>
      <c r="CU3" s="48"/>
      <c r="CV3" s="48"/>
      <c r="CW3" s="48"/>
      <c r="CX3" s="48"/>
      <c r="CY3" s="48"/>
      <c r="CZ3" s="48"/>
      <c r="DA3" s="48"/>
      <c r="DB3" s="48"/>
      <c r="DC3" s="48"/>
      <c r="DD3" s="48"/>
      <c r="DE3" s="48"/>
      <c r="DF3" s="48"/>
      <c r="DG3" s="48"/>
      <c r="DH3" s="48"/>
      <c r="DI3" s="49"/>
      <c r="DJ3" s="47">
        <v>9</v>
      </c>
      <c r="DK3" s="48"/>
      <c r="DL3" s="48"/>
      <c r="DM3" s="48"/>
      <c r="DN3" s="48"/>
      <c r="DO3" s="48"/>
      <c r="DP3" s="48"/>
      <c r="DQ3" s="48"/>
      <c r="DR3" s="48"/>
      <c r="DS3" s="48"/>
      <c r="DT3" s="48"/>
      <c r="DU3" s="48"/>
      <c r="DV3" s="48"/>
      <c r="DW3" s="48"/>
      <c r="DX3" s="48"/>
      <c r="DY3" s="49"/>
      <c r="DZ3" s="50">
        <v>13</v>
      </c>
      <c r="EA3" s="45"/>
      <c r="EB3" s="45"/>
      <c r="EC3" s="45"/>
      <c r="ED3" s="45"/>
      <c r="EE3" s="45"/>
      <c r="EF3" s="45"/>
      <c r="EG3" s="45"/>
      <c r="EH3" s="45"/>
      <c r="EI3" s="45"/>
      <c r="EJ3" s="45"/>
      <c r="EK3" s="45"/>
      <c r="EL3" s="45"/>
      <c r="EM3" s="45"/>
      <c r="EN3" s="45"/>
      <c r="EO3" s="46"/>
      <c r="EP3" s="44">
        <v>13</v>
      </c>
      <c r="EQ3" s="45"/>
      <c r="ER3" s="45"/>
      <c r="ES3" s="45"/>
      <c r="ET3" s="45"/>
      <c r="EU3" s="45"/>
      <c r="EV3" s="45"/>
      <c r="EW3" s="45"/>
      <c r="EX3" s="45"/>
      <c r="EY3" s="45"/>
      <c r="EZ3" s="45"/>
      <c r="FA3" s="45"/>
      <c r="FB3" s="45"/>
      <c r="FC3" s="45"/>
      <c r="FD3" s="45"/>
      <c r="FE3" s="46"/>
      <c r="FF3" s="44">
        <v>13</v>
      </c>
      <c r="FG3" s="45"/>
      <c r="FH3" s="45"/>
      <c r="FI3" s="45"/>
      <c r="FJ3" s="45"/>
      <c r="FK3" s="45"/>
      <c r="FL3" s="45"/>
      <c r="FM3" s="45"/>
      <c r="FN3" s="45"/>
      <c r="FO3" s="45"/>
      <c r="FP3" s="45"/>
      <c r="FQ3" s="45"/>
      <c r="FR3" s="45"/>
      <c r="FS3" s="45"/>
      <c r="FT3" s="45"/>
      <c r="FU3" s="46"/>
      <c r="FV3" s="44">
        <v>13</v>
      </c>
      <c r="FW3" s="45"/>
      <c r="FX3" s="45"/>
      <c r="FY3" s="45"/>
      <c r="FZ3" s="45"/>
      <c r="GA3" s="45"/>
      <c r="GB3" s="45"/>
      <c r="GC3" s="45"/>
      <c r="GD3" s="45"/>
      <c r="GE3" s="45"/>
      <c r="GF3" s="45"/>
      <c r="GG3" s="45"/>
      <c r="GH3" s="45"/>
      <c r="GI3" s="45"/>
      <c r="GJ3" s="45"/>
      <c r="GK3" s="46"/>
      <c r="GL3" s="44">
        <v>17</v>
      </c>
      <c r="GM3" s="45"/>
      <c r="GN3" s="45"/>
      <c r="GO3" s="45"/>
      <c r="GP3" s="45"/>
      <c r="GQ3" s="45"/>
      <c r="GR3" s="45"/>
      <c r="GS3" s="45"/>
      <c r="GT3" s="45"/>
      <c r="GU3" s="45"/>
      <c r="GV3" s="45"/>
      <c r="GW3" s="45"/>
      <c r="GX3" s="45"/>
      <c r="GY3" s="45"/>
      <c r="GZ3" s="45"/>
      <c r="HA3" s="46"/>
      <c r="HB3" s="44">
        <v>17</v>
      </c>
      <c r="HC3" s="45"/>
      <c r="HD3" s="45"/>
      <c r="HE3" s="45"/>
      <c r="HF3" s="45"/>
      <c r="HG3" s="45"/>
      <c r="HH3" s="45"/>
      <c r="HI3" s="45"/>
      <c r="HJ3" s="45"/>
      <c r="HK3" s="45"/>
      <c r="HL3" s="45"/>
      <c r="HM3" s="45"/>
      <c r="HN3" s="45"/>
      <c r="HO3" s="45"/>
      <c r="HP3" s="45"/>
      <c r="HQ3" s="46"/>
      <c r="HR3" s="44">
        <v>17</v>
      </c>
      <c r="HS3" s="45"/>
      <c r="HT3" s="45"/>
      <c r="HU3" s="45"/>
      <c r="HV3" s="45"/>
      <c r="HW3" s="45"/>
      <c r="HX3" s="45"/>
      <c r="HY3" s="45"/>
      <c r="HZ3" s="45"/>
      <c r="IA3" s="45"/>
      <c r="IB3" s="45"/>
      <c r="IC3" s="45"/>
      <c r="ID3" s="45"/>
      <c r="IE3" s="45"/>
      <c r="IF3" s="45"/>
      <c r="IG3" s="46"/>
      <c r="IH3" s="44">
        <v>17</v>
      </c>
      <c r="II3" s="45"/>
      <c r="IJ3" s="45"/>
      <c r="IK3" s="45"/>
      <c r="IL3" s="45"/>
      <c r="IM3" s="45"/>
      <c r="IN3" s="45"/>
      <c r="IO3" s="45"/>
      <c r="IP3" s="45"/>
      <c r="IQ3" s="45"/>
      <c r="IR3" s="45"/>
      <c r="IS3" s="45"/>
      <c r="IT3" s="45"/>
      <c r="IU3" s="45"/>
      <c r="IV3" s="45"/>
      <c r="IW3" s="46"/>
    </row>
    <row r="4" spans="1:257" x14ac:dyDescent="0.2">
      <c r="A4" s="4"/>
      <c r="B4" s="42" t="s">
        <v>27</v>
      </c>
      <c r="C4" s="42"/>
      <c r="D4" s="42"/>
      <c r="E4" s="42"/>
      <c r="F4" s="42"/>
      <c r="G4" s="42"/>
      <c r="H4" s="42"/>
      <c r="I4" s="42"/>
      <c r="J4" s="43" t="s">
        <v>28</v>
      </c>
      <c r="K4" s="43"/>
      <c r="L4" s="43"/>
      <c r="M4" s="43"/>
      <c r="N4" s="43"/>
      <c r="O4" s="43"/>
      <c r="P4" s="43"/>
      <c r="Q4" s="43"/>
      <c r="R4" s="42" t="s">
        <v>27</v>
      </c>
      <c r="S4" s="42"/>
      <c r="T4" s="42"/>
      <c r="U4" s="42"/>
      <c r="V4" s="42"/>
      <c r="W4" s="42"/>
      <c r="X4" s="42"/>
      <c r="Y4" s="42"/>
      <c r="Z4" s="43" t="s">
        <v>28</v>
      </c>
      <c r="AA4" s="43"/>
      <c r="AB4" s="43"/>
      <c r="AC4" s="43"/>
      <c r="AD4" s="43"/>
      <c r="AE4" s="43"/>
      <c r="AF4" s="43"/>
      <c r="AG4" s="43"/>
      <c r="AH4" s="42" t="s">
        <v>27</v>
      </c>
      <c r="AI4" s="42"/>
      <c r="AJ4" s="42"/>
      <c r="AK4" s="42"/>
      <c r="AL4" s="42"/>
      <c r="AM4" s="42"/>
      <c r="AN4" s="42"/>
      <c r="AO4" s="42"/>
      <c r="AP4" s="43" t="s">
        <v>28</v>
      </c>
      <c r="AQ4" s="43"/>
      <c r="AR4" s="43"/>
      <c r="AS4" s="43"/>
      <c r="AT4" s="43"/>
      <c r="AU4" s="43"/>
      <c r="AV4" s="43"/>
      <c r="AW4" s="43"/>
      <c r="AX4" s="42" t="s">
        <v>27</v>
      </c>
      <c r="AY4" s="42"/>
      <c r="AZ4" s="42"/>
      <c r="BA4" s="42"/>
      <c r="BB4" s="42"/>
      <c r="BC4" s="42"/>
      <c r="BD4" s="42"/>
      <c r="BE4" s="42"/>
      <c r="BF4" s="43" t="s">
        <v>28</v>
      </c>
      <c r="BG4" s="43"/>
      <c r="BH4" s="43"/>
      <c r="BI4" s="43"/>
      <c r="BJ4" s="43"/>
      <c r="BK4" s="43"/>
      <c r="BL4" s="43"/>
      <c r="BM4" s="43"/>
      <c r="BN4" s="42" t="s">
        <v>27</v>
      </c>
      <c r="BO4" s="42"/>
      <c r="BP4" s="42"/>
      <c r="BQ4" s="42"/>
      <c r="BR4" s="42"/>
      <c r="BS4" s="42"/>
      <c r="BT4" s="42"/>
      <c r="BU4" s="42"/>
      <c r="BV4" s="43" t="s">
        <v>28</v>
      </c>
      <c r="BW4" s="43"/>
      <c r="BX4" s="43"/>
      <c r="BY4" s="43"/>
      <c r="BZ4" s="43"/>
      <c r="CA4" s="43"/>
      <c r="CB4" s="43"/>
      <c r="CC4" s="43"/>
      <c r="CD4" s="42" t="s">
        <v>27</v>
      </c>
      <c r="CE4" s="42"/>
      <c r="CF4" s="42"/>
      <c r="CG4" s="42"/>
      <c r="CH4" s="42"/>
      <c r="CI4" s="42"/>
      <c r="CJ4" s="42"/>
      <c r="CK4" s="42"/>
      <c r="CL4" s="43" t="s">
        <v>28</v>
      </c>
      <c r="CM4" s="43"/>
      <c r="CN4" s="43"/>
      <c r="CO4" s="43"/>
      <c r="CP4" s="43"/>
      <c r="CQ4" s="43"/>
      <c r="CR4" s="43"/>
      <c r="CS4" s="43"/>
      <c r="CT4" s="42" t="s">
        <v>27</v>
      </c>
      <c r="CU4" s="42"/>
      <c r="CV4" s="42"/>
      <c r="CW4" s="42"/>
      <c r="CX4" s="42"/>
      <c r="CY4" s="42"/>
      <c r="CZ4" s="42"/>
      <c r="DA4" s="42"/>
      <c r="DB4" s="43" t="s">
        <v>28</v>
      </c>
      <c r="DC4" s="43"/>
      <c r="DD4" s="43"/>
      <c r="DE4" s="43"/>
      <c r="DF4" s="43"/>
      <c r="DG4" s="43"/>
      <c r="DH4" s="43"/>
      <c r="DI4" s="43"/>
      <c r="DJ4" s="42" t="s">
        <v>27</v>
      </c>
      <c r="DK4" s="42"/>
      <c r="DL4" s="42"/>
      <c r="DM4" s="42"/>
      <c r="DN4" s="42"/>
      <c r="DO4" s="42"/>
      <c r="DP4" s="42"/>
      <c r="DQ4" s="42"/>
      <c r="DR4" s="43" t="s">
        <v>28</v>
      </c>
      <c r="DS4" s="43"/>
      <c r="DT4" s="43"/>
      <c r="DU4" s="43"/>
      <c r="DV4" s="43"/>
      <c r="DW4" s="43"/>
      <c r="DX4" s="43"/>
      <c r="DY4" s="43"/>
      <c r="DZ4" s="42" t="s">
        <v>27</v>
      </c>
      <c r="EA4" s="42"/>
      <c r="EB4" s="42"/>
      <c r="EC4" s="42"/>
      <c r="ED4" s="42"/>
      <c r="EE4" s="42"/>
      <c r="EF4" s="42"/>
      <c r="EG4" s="42"/>
      <c r="EH4" s="43" t="s">
        <v>28</v>
      </c>
      <c r="EI4" s="43"/>
      <c r="EJ4" s="43"/>
      <c r="EK4" s="43"/>
      <c r="EL4" s="43"/>
      <c r="EM4" s="43"/>
      <c r="EN4" s="43"/>
      <c r="EO4" s="43"/>
      <c r="EP4" s="42" t="s">
        <v>27</v>
      </c>
      <c r="EQ4" s="42"/>
      <c r="ER4" s="42"/>
      <c r="ES4" s="42"/>
      <c r="ET4" s="42"/>
      <c r="EU4" s="42"/>
      <c r="EV4" s="42"/>
      <c r="EW4" s="42"/>
      <c r="EX4" s="43" t="s">
        <v>28</v>
      </c>
      <c r="EY4" s="43"/>
      <c r="EZ4" s="43"/>
      <c r="FA4" s="43"/>
      <c r="FB4" s="43"/>
      <c r="FC4" s="43"/>
      <c r="FD4" s="43"/>
      <c r="FE4" s="43"/>
      <c r="FF4" s="42" t="s">
        <v>27</v>
      </c>
      <c r="FG4" s="42"/>
      <c r="FH4" s="42"/>
      <c r="FI4" s="42"/>
      <c r="FJ4" s="42"/>
      <c r="FK4" s="42"/>
      <c r="FL4" s="42"/>
      <c r="FM4" s="42"/>
      <c r="FN4" s="43" t="s">
        <v>28</v>
      </c>
      <c r="FO4" s="43"/>
      <c r="FP4" s="43"/>
      <c r="FQ4" s="43"/>
      <c r="FR4" s="43"/>
      <c r="FS4" s="43"/>
      <c r="FT4" s="43"/>
      <c r="FU4" s="43"/>
      <c r="FV4" s="42" t="s">
        <v>27</v>
      </c>
      <c r="FW4" s="42"/>
      <c r="FX4" s="42"/>
      <c r="FY4" s="42"/>
      <c r="FZ4" s="42"/>
      <c r="GA4" s="42"/>
      <c r="GB4" s="42"/>
      <c r="GC4" s="42"/>
      <c r="GD4" s="43" t="s">
        <v>28</v>
      </c>
      <c r="GE4" s="43"/>
      <c r="GF4" s="43"/>
      <c r="GG4" s="43"/>
      <c r="GH4" s="43"/>
      <c r="GI4" s="43"/>
      <c r="GJ4" s="43"/>
      <c r="GK4" s="43"/>
      <c r="GL4" s="42" t="s">
        <v>27</v>
      </c>
      <c r="GM4" s="42"/>
      <c r="GN4" s="42"/>
      <c r="GO4" s="42"/>
      <c r="GP4" s="42"/>
      <c r="GQ4" s="42"/>
      <c r="GR4" s="42"/>
      <c r="GS4" s="42"/>
      <c r="GT4" s="43" t="s">
        <v>28</v>
      </c>
      <c r="GU4" s="43"/>
      <c r="GV4" s="43"/>
      <c r="GW4" s="43"/>
      <c r="GX4" s="43"/>
      <c r="GY4" s="43"/>
      <c r="GZ4" s="43"/>
      <c r="HA4" s="43"/>
      <c r="HB4" s="42" t="s">
        <v>27</v>
      </c>
      <c r="HC4" s="42"/>
      <c r="HD4" s="42"/>
      <c r="HE4" s="42"/>
      <c r="HF4" s="42"/>
      <c r="HG4" s="42"/>
      <c r="HH4" s="42"/>
      <c r="HI4" s="42"/>
      <c r="HJ4" s="43" t="s">
        <v>28</v>
      </c>
      <c r="HK4" s="43"/>
      <c r="HL4" s="43"/>
      <c r="HM4" s="43"/>
      <c r="HN4" s="43"/>
      <c r="HO4" s="43"/>
      <c r="HP4" s="43"/>
      <c r="HQ4" s="43"/>
      <c r="HR4" s="42" t="s">
        <v>27</v>
      </c>
      <c r="HS4" s="42"/>
      <c r="HT4" s="42"/>
      <c r="HU4" s="42"/>
      <c r="HV4" s="42"/>
      <c r="HW4" s="42"/>
      <c r="HX4" s="42"/>
      <c r="HY4" s="42"/>
      <c r="HZ4" s="43" t="s">
        <v>28</v>
      </c>
      <c r="IA4" s="43"/>
      <c r="IB4" s="43"/>
      <c r="IC4" s="43"/>
      <c r="ID4" s="43"/>
      <c r="IE4" s="43"/>
      <c r="IF4" s="43"/>
      <c r="IG4" s="43"/>
      <c r="IH4" s="42" t="s">
        <v>27</v>
      </c>
      <c r="II4" s="42"/>
      <c r="IJ4" s="42"/>
      <c r="IK4" s="42"/>
      <c r="IL4" s="42"/>
      <c r="IM4" s="42"/>
      <c r="IN4" s="42"/>
      <c r="IO4" s="42"/>
      <c r="IP4" s="43" t="s">
        <v>28</v>
      </c>
      <c r="IQ4" s="43"/>
      <c r="IR4" s="43"/>
      <c r="IS4" s="43"/>
      <c r="IT4" s="43"/>
      <c r="IU4" s="43"/>
      <c r="IV4" s="43"/>
      <c r="IW4" s="43"/>
    </row>
    <row r="5" spans="1:257" x14ac:dyDescent="0.2">
      <c r="A5" s="4" t="s">
        <v>17</v>
      </c>
      <c r="B5" s="5" t="str">
        <f>'Demand Stage 2'!B4</f>
        <v>ST.FERGUS</v>
      </c>
      <c r="C5" s="5" t="str">
        <f>'Demand Stage 2'!C4</f>
        <v>EASINGTON</v>
      </c>
      <c r="D5" s="5" t="str">
        <f>'Demand Stage 2'!D4</f>
        <v>TEESSIDE</v>
      </c>
      <c r="E5" s="5" t="str">
        <f>'Demand Stage 2'!E4</f>
        <v>EMDEN</v>
      </c>
      <c r="F5" s="5" t="str">
        <f>'Demand Stage 2'!F4</f>
        <v>EMDEN 2</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EMDEN 2</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EMDEN 2</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EMDEN 2</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EMDEN 2</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EMDEN 2</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EMDEN 2</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EMDEN 2</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EMDEN 2</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EMDEN 2</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EMDEN 2</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EMDEN 2</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EMDEN 2</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EMDEN 2</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EMDEN 2</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EMDEN 2</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EMDEN 2</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EMDEN 2</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EMDEN 2</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EMDEN 2</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EMDEN 2</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EMDEN 2</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EMDEN 2</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EMDEN 2</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EMDEN 2</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EMDEN 2</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EMDEN 2</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EMDEN 2</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EMDEN 2</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EMDEN 2</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EMDEN 2</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EMDEN 2</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268</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zoomScale="250" zoomScaleNormal="250" workbookViewId="0">
      <selection activeCell="I5" sqref="A1:I5"/>
    </sheetView>
  </sheetViews>
  <sheetFormatPr baseColWidth="10" defaultRowHeight="16" x14ac:dyDescent="0.2"/>
  <cols>
    <col min="1" max="1" width="13" bestFit="1" customWidth="1"/>
  </cols>
  <sheetData>
    <row r="1" spans="1:9" x14ac:dyDescent="0.2">
      <c r="A1" s="8" t="s">
        <v>17</v>
      </c>
      <c r="B1" s="8" t="s">
        <v>110</v>
      </c>
      <c r="C1" s="8" t="s">
        <v>120</v>
      </c>
      <c r="D1" s="8" t="s">
        <v>116</v>
      </c>
      <c r="E1" s="8" t="s">
        <v>121</v>
      </c>
      <c r="F1" s="8" t="s">
        <v>128</v>
      </c>
      <c r="G1" s="8" t="s">
        <v>122</v>
      </c>
      <c r="H1" s="8" t="s">
        <v>123</v>
      </c>
      <c r="I1" s="8" t="s">
        <v>118</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110</v>
      </c>
      <c r="C1" s="8" t="s">
        <v>120</v>
      </c>
      <c r="D1" s="8" t="s">
        <v>116</v>
      </c>
      <c r="E1" s="8" t="s">
        <v>121</v>
      </c>
      <c r="F1" s="8" t="s">
        <v>128</v>
      </c>
      <c r="G1" s="8" t="s">
        <v>122</v>
      </c>
      <c r="H1" s="8" t="s">
        <v>123</v>
      </c>
      <c r="I1" s="8" t="s">
        <v>118</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9"/>
  <sheetViews>
    <sheetView zoomScale="180" zoomScaleNormal="180" workbookViewId="0">
      <selection activeCell="B10" sqref="B10"/>
    </sheetView>
  </sheetViews>
  <sheetFormatPr baseColWidth="10" defaultRowHeight="16" x14ac:dyDescent="0.2"/>
  <cols>
    <col min="1" max="1" width="17.6640625" bestFit="1" customWidth="1"/>
  </cols>
  <sheetData>
    <row r="1" spans="1:2" x14ac:dyDescent="0.2">
      <c r="A1" s="8" t="s">
        <v>1</v>
      </c>
      <c r="B1" s="8" t="s">
        <v>37</v>
      </c>
    </row>
    <row r="2" spans="1:2" x14ac:dyDescent="0.2">
      <c r="A2" s="8" t="s">
        <v>29</v>
      </c>
      <c r="B2">
        <v>0</v>
      </c>
    </row>
    <row r="3" spans="1:2" x14ac:dyDescent="0.2">
      <c r="A3" s="8" t="s">
        <v>30</v>
      </c>
      <c r="B3">
        <v>1</v>
      </c>
    </row>
    <row r="4" spans="1:2" x14ac:dyDescent="0.2">
      <c r="A4" s="8" t="s">
        <v>31</v>
      </c>
      <c r="B4">
        <v>0.25</v>
      </c>
    </row>
    <row r="5" spans="1:2" x14ac:dyDescent="0.2">
      <c r="A5" s="8" t="s">
        <v>62</v>
      </c>
      <c r="B5">
        <v>4</v>
      </c>
    </row>
    <row r="6" spans="1:2" x14ac:dyDescent="0.2">
      <c r="A6" s="8" t="s">
        <v>35</v>
      </c>
      <c r="B6">
        <v>4</v>
      </c>
    </row>
    <row r="7" spans="1:2" x14ac:dyDescent="0.2">
      <c r="A7" s="8" t="s">
        <v>36</v>
      </c>
      <c r="B7">
        <v>16</v>
      </c>
    </row>
    <row r="8" spans="1:2" x14ac:dyDescent="0.2">
      <c r="A8" s="12" t="s">
        <v>63</v>
      </c>
      <c r="B8" s="13">
        <v>8</v>
      </c>
    </row>
    <row r="9" spans="1:2" x14ac:dyDescent="0.2">
      <c r="A9" s="12" t="s">
        <v>64</v>
      </c>
      <c r="B9" s="13">
        <v>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N53"/>
  <sheetViews>
    <sheetView tabSelected="1" zoomScale="190" zoomScaleNormal="190" workbookViewId="0">
      <selection activeCell="H9" sqref="H9"/>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1.83203125" customWidth="1"/>
    <col min="9" max="9" width="8.33203125" customWidth="1"/>
    <col min="10" max="10" width="16" bestFit="1" customWidth="1"/>
    <col min="13" max="13" width="13.1640625" bestFit="1" customWidth="1"/>
    <col min="14" max="14" width="18.5" bestFit="1" customWidth="1"/>
    <col min="17" max="17" width="15" bestFit="1" customWidth="1"/>
  </cols>
  <sheetData>
    <row r="1" spans="1:14" ht="34" x14ac:dyDescent="0.2">
      <c r="A1" s="17" t="s">
        <v>0</v>
      </c>
      <c r="B1" s="28" t="s">
        <v>1</v>
      </c>
      <c r="C1" s="28" t="s">
        <v>130</v>
      </c>
      <c r="D1" s="28" t="s">
        <v>131</v>
      </c>
      <c r="E1" s="28" t="s">
        <v>132</v>
      </c>
      <c r="F1" s="28" t="s">
        <v>2</v>
      </c>
      <c r="G1" s="28" t="s">
        <v>3</v>
      </c>
      <c r="H1" s="18" t="s">
        <v>133</v>
      </c>
      <c r="I1" s="18" t="s">
        <v>32</v>
      </c>
      <c r="J1" s="4" t="s">
        <v>129</v>
      </c>
      <c r="K1" s="4" t="s">
        <v>13</v>
      </c>
      <c r="L1" s="7" t="s">
        <v>14</v>
      </c>
      <c r="M1" s="5" t="s">
        <v>65</v>
      </c>
      <c r="N1" s="6" t="s">
        <v>66</v>
      </c>
    </row>
    <row r="2" spans="1:14" x14ac:dyDescent="0.2">
      <c r="A2" s="1">
        <v>1</v>
      </c>
      <c r="B2" s="19" t="s">
        <v>10</v>
      </c>
      <c r="C2" s="19" t="s">
        <v>134</v>
      </c>
      <c r="D2" s="19" t="s">
        <v>135</v>
      </c>
      <c r="E2" s="19" t="s">
        <v>136</v>
      </c>
      <c r="F2" s="19" t="s">
        <v>90</v>
      </c>
      <c r="G2" s="19" t="s">
        <v>93</v>
      </c>
      <c r="H2" s="1" t="s">
        <v>138</v>
      </c>
      <c r="I2" s="51">
        <v>48.1</v>
      </c>
      <c r="J2" s="1" t="str">
        <f>IF(I2=100,"Capacity unknown","")</f>
        <v/>
      </c>
      <c r="K2" s="1">
        <f>INDEX(Nodes!$A:$A,MATCH(Arcs!F2,Nodes!$B:$B,0))</f>
        <v>23</v>
      </c>
      <c r="L2" s="1">
        <f>INDEX(Nodes!$A:$A,MATCH(Arcs!G2,Nodes!$B:$B,0))</f>
        <v>26</v>
      </c>
      <c r="M2" s="2">
        <v>1</v>
      </c>
      <c r="N2" s="3">
        <v>1</v>
      </c>
    </row>
    <row r="3" spans="1:14" x14ac:dyDescent="0.2">
      <c r="A3" s="1">
        <v>2</v>
      </c>
      <c r="B3" s="19" t="s">
        <v>139</v>
      </c>
      <c r="C3" s="19" t="s">
        <v>134</v>
      </c>
      <c r="D3" s="19" t="s">
        <v>135</v>
      </c>
      <c r="E3" s="19" t="s">
        <v>140</v>
      </c>
      <c r="F3" s="19" t="s">
        <v>81</v>
      </c>
      <c r="G3" s="19" t="s">
        <v>80</v>
      </c>
      <c r="H3" s="1" t="s">
        <v>141</v>
      </c>
      <c r="I3" s="51">
        <v>5</v>
      </c>
      <c r="J3" s="1" t="str">
        <f t="shared" ref="J3:J53" si="0">IF(I3=100,"Capacity unknown","")</f>
        <v/>
      </c>
      <c r="K3" s="1">
        <f>INDEX(Nodes!$A:$A,MATCH(Arcs!F3,Nodes!$B:$B,0))</f>
        <v>10</v>
      </c>
      <c r="L3" s="1">
        <f>INDEX(Nodes!$A:$A,MATCH(Arcs!G3,Nodes!$B:$B,0))</f>
        <v>9</v>
      </c>
      <c r="M3" s="2">
        <v>1</v>
      </c>
      <c r="N3" s="3">
        <v>1</v>
      </c>
    </row>
    <row r="4" spans="1:14" x14ac:dyDescent="0.2">
      <c r="A4" s="1">
        <v>3</v>
      </c>
      <c r="B4" s="19" t="s">
        <v>69</v>
      </c>
      <c r="C4" s="19" t="s">
        <v>142</v>
      </c>
      <c r="D4" s="19" t="s">
        <v>135</v>
      </c>
      <c r="E4" s="19" t="s">
        <v>143</v>
      </c>
      <c r="F4" s="19" t="s">
        <v>256</v>
      </c>
      <c r="G4" s="19" t="s">
        <v>257</v>
      </c>
      <c r="H4" s="1" t="s">
        <v>144</v>
      </c>
      <c r="I4" s="51">
        <v>70</v>
      </c>
      <c r="J4" s="1" t="str">
        <f t="shared" si="0"/>
        <v/>
      </c>
      <c r="K4" s="1">
        <f>INDEX(Nodes!$A:$A,MATCH(Arcs!F4,Nodes!$B:$B,0))</f>
        <v>15</v>
      </c>
      <c r="L4" s="1">
        <f>INDEX(Nodes!$A:$A,MATCH(Arcs!G4,Nodes!$B:$B,0))</f>
        <v>33</v>
      </c>
      <c r="M4" s="2">
        <v>1</v>
      </c>
      <c r="N4" s="3">
        <v>1</v>
      </c>
    </row>
    <row r="5" spans="1:14" x14ac:dyDescent="0.2">
      <c r="A5" s="1">
        <v>4</v>
      </c>
      <c r="B5" s="19" t="s">
        <v>12</v>
      </c>
      <c r="C5" s="19" t="s">
        <v>142</v>
      </c>
      <c r="D5" s="19" t="s">
        <v>135</v>
      </c>
      <c r="E5" s="19" t="s">
        <v>145</v>
      </c>
      <c r="F5" s="19" t="s">
        <v>107</v>
      </c>
      <c r="G5" s="20" t="s">
        <v>119</v>
      </c>
      <c r="H5" s="1" t="s">
        <v>146</v>
      </c>
      <c r="I5" s="51">
        <v>46</v>
      </c>
      <c r="J5" s="1" t="str">
        <f t="shared" si="0"/>
        <v/>
      </c>
      <c r="K5" s="1">
        <f>INDEX(Nodes!$A:$A,MATCH(Arcs!F5,Nodes!$B:$B,0))</f>
        <v>41</v>
      </c>
      <c r="L5" s="1">
        <f>INDEX(Nodes!$A:$A,MATCH(Arcs!G5,Nodes!$B:$B,0))</f>
        <v>53</v>
      </c>
      <c r="M5" s="2">
        <v>1</v>
      </c>
      <c r="N5" s="3">
        <v>1</v>
      </c>
    </row>
    <row r="6" spans="1:14" x14ac:dyDescent="0.2">
      <c r="A6" s="1">
        <v>5</v>
      </c>
      <c r="B6" s="19" t="s">
        <v>12</v>
      </c>
      <c r="C6" s="19" t="s">
        <v>142</v>
      </c>
      <c r="D6" s="19" t="s">
        <v>135</v>
      </c>
      <c r="E6" s="19" t="s">
        <v>145</v>
      </c>
      <c r="F6" s="20" t="s">
        <v>119</v>
      </c>
      <c r="G6" s="19" t="s">
        <v>121</v>
      </c>
      <c r="H6" s="1" t="s">
        <v>147</v>
      </c>
      <c r="I6" s="51">
        <v>46</v>
      </c>
      <c r="J6" s="1" t="str">
        <f t="shared" si="0"/>
        <v/>
      </c>
      <c r="K6" s="1">
        <f>INDEX(Nodes!$A:$A,MATCH(Arcs!F6,Nodes!$B:$B,0))</f>
        <v>53</v>
      </c>
      <c r="L6" s="1">
        <f>INDEX(Nodes!$A:$A,MATCH(Arcs!G6,Nodes!$B:$B,0))</f>
        <v>55</v>
      </c>
      <c r="M6" s="2">
        <v>1</v>
      </c>
      <c r="N6" s="3">
        <v>1</v>
      </c>
    </row>
    <row r="7" spans="1:14" x14ac:dyDescent="0.2">
      <c r="A7" s="1">
        <v>6</v>
      </c>
      <c r="B7" s="19" t="s">
        <v>352</v>
      </c>
      <c r="C7" s="19" t="s">
        <v>142</v>
      </c>
      <c r="D7" s="19" t="s">
        <v>135</v>
      </c>
      <c r="E7" s="19" t="s">
        <v>148</v>
      </c>
      <c r="F7" s="19" t="s">
        <v>257</v>
      </c>
      <c r="G7" s="19" t="s">
        <v>113</v>
      </c>
      <c r="H7" s="1" t="s">
        <v>354</v>
      </c>
      <c r="I7" s="51">
        <v>71</v>
      </c>
      <c r="J7" s="1" t="str">
        <f t="shared" si="0"/>
        <v/>
      </c>
      <c r="K7" s="1">
        <f>INDEX(Nodes!$A:$A,MATCH(Arcs!F7,Nodes!$B:$B,0))</f>
        <v>33</v>
      </c>
      <c r="L7" s="1">
        <f>INDEX(Nodes!$A:$A,MATCH(Arcs!G7,Nodes!$B:$B,0))</f>
        <v>47</v>
      </c>
      <c r="M7" s="2">
        <v>1</v>
      </c>
      <c r="N7" s="3">
        <v>1</v>
      </c>
    </row>
    <row r="8" spans="1:14" x14ac:dyDescent="0.2">
      <c r="A8" s="1">
        <v>7</v>
      </c>
      <c r="B8" s="19" t="s">
        <v>353</v>
      </c>
      <c r="C8" s="19" t="s">
        <v>142</v>
      </c>
      <c r="D8" s="19" t="s">
        <v>135</v>
      </c>
      <c r="E8" s="19" t="s">
        <v>148</v>
      </c>
      <c r="F8" s="19" t="s">
        <v>113</v>
      </c>
      <c r="G8" s="19" t="s">
        <v>121</v>
      </c>
      <c r="H8" s="1" t="s">
        <v>358</v>
      </c>
      <c r="I8" s="51">
        <v>71</v>
      </c>
      <c r="J8" s="1" t="str">
        <f t="shared" ref="J8" si="1">IF(I8=100,"Capacity unknown","")</f>
        <v/>
      </c>
      <c r="K8" s="1">
        <f>INDEX(Nodes!$A:$A,MATCH(Arcs!F8,Nodes!$B:$B,0))</f>
        <v>47</v>
      </c>
      <c r="L8" s="1">
        <f>INDEX(Nodes!$A:$A,MATCH(Arcs!G8,Nodes!$B:$B,0))</f>
        <v>55</v>
      </c>
      <c r="M8" s="2">
        <v>1</v>
      </c>
      <c r="N8" s="3">
        <v>1</v>
      </c>
    </row>
    <row r="9" spans="1:14" x14ac:dyDescent="0.2">
      <c r="A9" s="1">
        <v>8</v>
      </c>
      <c r="B9" s="19" t="s">
        <v>11</v>
      </c>
      <c r="C9" s="19" t="s">
        <v>142</v>
      </c>
      <c r="D9" s="19" t="s">
        <v>135</v>
      </c>
      <c r="E9" s="19" t="s">
        <v>150</v>
      </c>
      <c r="F9" s="19" t="s">
        <v>107</v>
      </c>
      <c r="G9" s="19" t="s">
        <v>123</v>
      </c>
      <c r="H9" s="1" t="s">
        <v>151</v>
      </c>
      <c r="I9" s="51">
        <v>55</v>
      </c>
      <c r="J9" s="1" t="str">
        <f t="shared" si="0"/>
        <v/>
      </c>
      <c r="K9" s="1">
        <f>INDEX(Nodes!$A:$A,MATCH(Arcs!F9,Nodes!$B:$B,0))</f>
        <v>41</v>
      </c>
      <c r="L9" s="1">
        <f>INDEX(Nodes!$A:$A,MATCH(Arcs!G9,Nodes!$B:$B,0))</f>
        <v>57</v>
      </c>
      <c r="M9" s="2">
        <v>1</v>
      </c>
      <c r="N9" s="3">
        <v>1</v>
      </c>
    </row>
    <row r="10" spans="1:14" x14ac:dyDescent="0.2">
      <c r="A10" s="1">
        <v>9</v>
      </c>
      <c r="B10" s="19" t="s">
        <v>233</v>
      </c>
      <c r="C10" s="19" t="s">
        <v>142</v>
      </c>
      <c r="D10" s="19" t="s">
        <v>135</v>
      </c>
      <c r="E10" s="19" t="s">
        <v>152</v>
      </c>
      <c r="F10" s="19" t="s">
        <v>234</v>
      </c>
      <c r="G10" s="19" t="s">
        <v>92</v>
      </c>
      <c r="H10" s="1" t="s">
        <v>153</v>
      </c>
      <c r="I10" s="51">
        <v>27</v>
      </c>
      <c r="J10" s="1" t="str">
        <f t="shared" si="0"/>
        <v/>
      </c>
      <c r="K10" s="1">
        <f>INDEX(Nodes!$A:$A,MATCH(Arcs!F10,Nodes!$B:$B,0))</f>
        <v>19</v>
      </c>
      <c r="L10" s="1">
        <f>INDEX(Nodes!$A:$A,MATCH(Arcs!G10,Nodes!$B:$B,0))</f>
        <v>25</v>
      </c>
      <c r="M10" s="2">
        <v>1</v>
      </c>
      <c r="N10" s="3">
        <v>1</v>
      </c>
    </row>
    <row r="11" spans="1:14" x14ac:dyDescent="0.2">
      <c r="A11" s="1">
        <v>10</v>
      </c>
      <c r="B11" s="19" t="s">
        <v>7</v>
      </c>
      <c r="C11" s="19" t="s">
        <v>142</v>
      </c>
      <c r="D11" s="19" t="s">
        <v>135</v>
      </c>
      <c r="E11" s="19" t="s">
        <v>154</v>
      </c>
      <c r="F11" s="19" t="s">
        <v>85</v>
      </c>
      <c r="G11" s="19" t="s">
        <v>106</v>
      </c>
      <c r="H11" s="1" t="s">
        <v>155</v>
      </c>
      <c r="I11" s="51">
        <v>75</v>
      </c>
      <c r="J11" s="1" t="str">
        <f t="shared" si="0"/>
        <v/>
      </c>
      <c r="K11" s="1">
        <f>INDEX(Nodes!$A:$A,MATCH(Arcs!F11,Nodes!$B:$B,0))</f>
        <v>14</v>
      </c>
      <c r="L11" s="1">
        <f>INDEX(Nodes!$A:$A,MATCH(Arcs!G11,Nodes!$B:$B,0))</f>
        <v>40</v>
      </c>
      <c r="M11" s="2">
        <v>1</v>
      </c>
      <c r="N11" s="3">
        <v>1</v>
      </c>
    </row>
    <row r="12" spans="1:14" x14ac:dyDescent="0.2">
      <c r="A12" s="1">
        <v>11</v>
      </c>
      <c r="B12" s="19" t="s">
        <v>7</v>
      </c>
      <c r="C12" s="19" t="s">
        <v>142</v>
      </c>
      <c r="D12" s="19" t="s">
        <v>135</v>
      </c>
      <c r="E12" s="19" t="s">
        <v>156</v>
      </c>
      <c r="F12" s="19" t="s">
        <v>106</v>
      </c>
      <c r="G12" s="19" t="s">
        <v>120</v>
      </c>
      <c r="H12" s="1" t="s">
        <v>157</v>
      </c>
      <c r="I12" s="51">
        <v>72</v>
      </c>
      <c r="J12" s="1" t="str">
        <f t="shared" si="0"/>
        <v/>
      </c>
      <c r="K12" s="1">
        <f>INDEX(Nodes!$A:$A,MATCH(Arcs!F12,Nodes!$B:$B,0))</f>
        <v>40</v>
      </c>
      <c r="L12" s="1">
        <f>INDEX(Nodes!$A:$A,MATCH(Arcs!G12,Nodes!$B:$B,0))</f>
        <v>54</v>
      </c>
      <c r="M12" s="2">
        <v>1</v>
      </c>
      <c r="N12" s="3">
        <v>1</v>
      </c>
    </row>
    <row r="13" spans="1:14" x14ac:dyDescent="0.2">
      <c r="A13" s="1">
        <v>12</v>
      </c>
      <c r="B13" s="19" t="s">
        <v>158</v>
      </c>
      <c r="C13" s="19" t="s">
        <v>142</v>
      </c>
      <c r="D13" s="19" t="s">
        <v>135</v>
      </c>
      <c r="E13" s="19" t="s">
        <v>159</v>
      </c>
      <c r="F13" s="19" t="s">
        <v>76</v>
      </c>
      <c r="G13" s="19" t="s">
        <v>79</v>
      </c>
      <c r="H13" s="1" t="s">
        <v>160</v>
      </c>
      <c r="I13" s="51">
        <v>7</v>
      </c>
      <c r="J13" s="1" t="str">
        <f t="shared" si="0"/>
        <v/>
      </c>
      <c r="K13" s="1">
        <f>INDEX(Nodes!$A:$A,MATCH(Arcs!F13,Nodes!$B:$B,0))</f>
        <v>4</v>
      </c>
      <c r="L13" s="1">
        <f>INDEX(Nodes!$A:$A,MATCH(Arcs!G13,Nodes!$B:$B,0))</f>
        <v>8</v>
      </c>
      <c r="M13" s="2">
        <v>1</v>
      </c>
      <c r="N13" s="3">
        <v>1</v>
      </c>
    </row>
    <row r="14" spans="1:14" x14ac:dyDescent="0.2">
      <c r="A14" s="1">
        <v>13</v>
      </c>
      <c r="B14" s="19" t="s">
        <v>161</v>
      </c>
      <c r="C14" s="19" t="s">
        <v>142</v>
      </c>
      <c r="D14" s="19" t="s">
        <v>135</v>
      </c>
      <c r="E14" s="19" t="s">
        <v>162</v>
      </c>
      <c r="F14" s="19" t="s">
        <v>112</v>
      </c>
      <c r="G14" s="19" t="s">
        <v>111</v>
      </c>
      <c r="H14" s="1" t="s">
        <v>163</v>
      </c>
      <c r="I14" s="51">
        <v>32</v>
      </c>
      <c r="J14" s="1" t="str">
        <f t="shared" si="0"/>
        <v/>
      </c>
      <c r="K14" s="1">
        <f>INDEX(Nodes!$A:$A,MATCH(Arcs!F14,Nodes!$B:$B,0))</f>
        <v>46</v>
      </c>
      <c r="L14" s="1">
        <f>INDEX(Nodes!$A:$A,MATCH(Arcs!G14,Nodes!$B:$B,0))</f>
        <v>45</v>
      </c>
      <c r="M14" s="2">
        <v>1</v>
      </c>
      <c r="N14" s="3">
        <v>1</v>
      </c>
    </row>
    <row r="15" spans="1:14" x14ac:dyDescent="0.2">
      <c r="A15" s="1">
        <v>14</v>
      </c>
      <c r="B15" s="19" t="s">
        <v>161</v>
      </c>
      <c r="C15" s="19" t="s">
        <v>142</v>
      </c>
      <c r="D15" s="19" t="s">
        <v>135</v>
      </c>
      <c r="E15" s="19" t="s">
        <v>164</v>
      </c>
      <c r="F15" s="19" t="s">
        <v>112</v>
      </c>
      <c r="G15" s="19" t="s">
        <v>114</v>
      </c>
      <c r="H15" s="1" t="s">
        <v>165</v>
      </c>
      <c r="I15" s="51">
        <v>32</v>
      </c>
      <c r="J15" s="1" t="str">
        <f t="shared" si="0"/>
        <v/>
      </c>
      <c r="K15" s="1">
        <f>INDEX(Nodes!$A:$A,MATCH(Arcs!F15,Nodes!$B:$B,0))</f>
        <v>46</v>
      </c>
      <c r="L15" s="1">
        <f>INDEX(Nodes!$A:$A,MATCH(Arcs!G15,Nodes!$B:$B,0))</f>
        <v>48</v>
      </c>
      <c r="M15" s="2">
        <v>1</v>
      </c>
      <c r="N15" s="3">
        <v>1</v>
      </c>
    </row>
    <row r="16" spans="1:14" x14ac:dyDescent="0.2">
      <c r="A16" s="1">
        <v>15</v>
      </c>
      <c r="B16" s="19" t="s">
        <v>161</v>
      </c>
      <c r="C16" s="19" t="s">
        <v>142</v>
      </c>
      <c r="D16" s="19" t="s">
        <v>135</v>
      </c>
      <c r="E16" s="19" t="s">
        <v>164</v>
      </c>
      <c r="F16" s="19" t="s">
        <v>114</v>
      </c>
      <c r="G16" s="19" t="s">
        <v>117</v>
      </c>
      <c r="H16" s="1" t="s">
        <v>166</v>
      </c>
      <c r="I16" s="51">
        <v>32</v>
      </c>
      <c r="J16" s="1" t="str">
        <f t="shared" si="0"/>
        <v/>
      </c>
      <c r="K16" s="1">
        <f>INDEX(Nodes!$A:$A,MATCH(Arcs!F16,Nodes!$B:$B,0))</f>
        <v>48</v>
      </c>
      <c r="L16" s="1">
        <f>INDEX(Nodes!$A:$A,MATCH(Arcs!G16,Nodes!$B:$B,0))</f>
        <v>51</v>
      </c>
      <c r="M16" s="2">
        <v>1</v>
      </c>
      <c r="N16" s="3">
        <v>1</v>
      </c>
    </row>
    <row r="17" spans="1:14" x14ac:dyDescent="0.2">
      <c r="A17" s="1">
        <v>16</v>
      </c>
      <c r="B17" s="19" t="s">
        <v>161</v>
      </c>
      <c r="C17" s="19" t="s">
        <v>142</v>
      </c>
      <c r="D17" s="19" t="s">
        <v>135</v>
      </c>
      <c r="E17" s="19" t="s">
        <v>164</v>
      </c>
      <c r="F17" s="19" t="s">
        <v>117</v>
      </c>
      <c r="G17" s="19" t="s">
        <v>121</v>
      </c>
      <c r="H17" s="1" t="s">
        <v>167</v>
      </c>
      <c r="I17" s="51">
        <v>32</v>
      </c>
      <c r="J17" s="1" t="str">
        <f t="shared" si="0"/>
        <v/>
      </c>
      <c r="K17" s="1">
        <f>INDEX(Nodes!$A:$A,MATCH(Arcs!F17,Nodes!$B:$B,0))</f>
        <v>51</v>
      </c>
      <c r="L17" s="1">
        <f>INDEX(Nodes!$A:$A,MATCH(Arcs!G17,Nodes!$B:$B,0))</f>
        <v>55</v>
      </c>
      <c r="M17" s="2">
        <v>1</v>
      </c>
      <c r="N17" s="3">
        <v>1</v>
      </c>
    </row>
    <row r="18" spans="1:14" x14ac:dyDescent="0.2">
      <c r="A18" s="1">
        <v>17</v>
      </c>
      <c r="B18" s="19" t="s">
        <v>168</v>
      </c>
      <c r="C18" s="19" t="s">
        <v>142</v>
      </c>
      <c r="D18" s="19" t="s">
        <v>135</v>
      </c>
      <c r="E18" s="19" t="s">
        <v>169</v>
      </c>
      <c r="F18" s="19" t="s">
        <v>95</v>
      </c>
      <c r="G18" s="19" t="s">
        <v>97</v>
      </c>
      <c r="H18" s="1" t="s">
        <v>170</v>
      </c>
      <c r="I18" s="51">
        <v>35</v>
      </c>
      <c r="J18" s="1" t="str">
        <f t="shared" si="0"/>
        <v/>
      </c>
      <c r="K18" s="1">
        <f>INDEX(Nodes!$A:$A,MATCH(Arcs!F18,Nodes!$B:$B,0))</f>
        <v>28</v>
      </c>
      <c r="L18" s="1">
        <f>INDEX(Nodes!$A:$A,MATCH(Arcs!G18,Nodes!$B:$B,0))</f>
        <v>30</v>
      </c>
      <c r="M18" s="2">
        <v>1</v>
      </c>
      <c r="N18" s="3">
        <v>1</v>
      </c>
    </row>
    <row r="19" spans="1:14" x14ac:dyDescent="0.2">
      <c r="A19" s="1">
        <v>18</v>
      </c>
      <c r="B19" s="19" t="s">
        <v>10</v>
      </c>
      <c r="C19" s="19" t="s">
        <v>142</v>
      </c>
      <c r="D19" s="19" t="s">
        <v>135</v>
      </c>
      <c r="E19" s="19" t="s">
        <v>171</v>
      </c>
      <c r="F19" s="19" t="s">
        <v>87</v>
      </c>
      <c r="G19" s="19" t="s">
        <v>257</v>
      </c>
      <c r="H19" s="1" t="s">
        <v>172</v>
      </c>
      <c r="I19" s="51">
        <v>25</v>
      </c>
      <c r="J19" s="1" t="str">
        <f t="shared" si="0"/>
        <v/>
      </c>
      <c r="K19" s="1">
        <f>INDEX(Nodes!$A:$A,MATCH(Arcs!F19,Nodes!$B:$B,0))</f>
        <v>18</v>
      </c>
      <c r="L19" s="1">
        <f>INDEX(Nodes!$A:$A,MATCH(Arcs!G19,Nodes!$B:$B,0))</f>
        <v>33</v>
      </c>
      <c r="M19" s="2">
        <v>1</v>
      </c>
      <c r="N19" s="3">
        <v>1</v>
      </c>
    </row>
    <row r="20" spans="1:14" x14ac:dyDescent="0.2">
      <c r="A20" s="1">
        <v>19</v>
      </c>
      <c r="B20" s="19" t="s">
        <v>10</v>
      </c>
      <c r="C20" s="19" t="s">
        <v>142</v>
      </c>
      <c r="D20" s="19" t="s">
        <v>135</v>
      </c>
      <c r="E20" s="19" t="s">
        <v>173</v>
      </c>
      <c r="F20" s="19" t="s">
        <v>98</v>
      </c>
      <c r="G20" s="19" t="s">
        <v>108</v>
      </c>
      <c r="H20" s="1" t="s">
        <v>174</v>
      </c>
      <c r="I20" s="51">
        <v>10</v>
      </c>
      <c r="J20" s="1" t="str">
        <f t="shared" si="0"/>
        <v/>
      </c>
      <c r="K20" s="1">
        <f>INDEX(Nodes!$A:$A,MATCH(Arcs!F20,Nodes!$B:$B,0))</f>
        <v>31</v>
      </c>
      <c r="L20" s="1">
        <f>INDEX(Nodes!$A:$A,MATCH(Arcs!G20,Nodes!$B:$B,0))</f>
        <v>42</v>
      </c>
      <c r="M20" s="2">
        <v>1</v>
      </c>
      <c r="N20" s="3">
        <v>1</v>
      </c>
    </row>
    <row r="21" spans="1:14" x14ac:dyDescent="0.2">
      <c r="A21" s="1">
        <v>20</v>
      </c>
      <c r="B21" s="19" t="s">
        <v>10</v>
      </c>
      <c r="C21" s="19" t="s">
        <v>142</v>
      </c>
      <c r="D21" s="19" t="s">
        <v>135</v>
      </c>
      <c r="E21" s="19" t="s">
        <v>173</v>
      </c>
      <c r="F21" s="19" t="s">
        <v>257</v>
      </c>
      <c r="G21" s="19" t="s">
        <v>108</v>
      </c>
      <c r="H21" s="1" t="s">
        <v>175</v>
      </c>
      <c r="I21" s="51">
        <v>21</v>
      </c>
      <c r="J21" s="1" t="str">
        <f t="shared" si="0"/>
        <v/>
      </c>
      <c r="K21" s="1">
        <f>INDEX(Nodes!$A:$A,MATCH(Arcs!F21,Nodes!$B:$B,0))</f>
        <v>33</v>
      </c>
      <c r="L21" s="1">
        <f>INDEX(Nodes!$A:$A,MATCH(Arcs!G21,Nodes!$B:$B,0))</f>
        <v>42</v>
      </c>
      <c r="M21" s="2">
        <v>1</v>
      </c>
      <c r="N21" s="3">
        <v>1</v>
      </c>
    </row>
    <row r="22" spans="1:14" x14ac:dyDescent="0.2">
      <c r="A22" s="1">
        <v>21</v>
      </c>
      <c r="B22" s="19" t="s">
        <v>10</v>
      </c>
      <c r="C22" s="19" t="s">
        <v>142</v>
      </c>
      <c r="D22" s="19" t="s">
        <v>135</v>
      </c>
      <c r="E22" s="19" t="s">
        <v>173</v>
      </c>
      <c r="F22" s="19" t="s">
        <v>108</v>
      </c>
      <c r="G22" s="19" t="s">
        <v>112</v>
      </c>
      <c r="H22" s="1" t="s">
        <v>176</v>
      </c>
      <c r="I22" s="51">
        <v>30</v>
      </c>
      <c r="J22" s="1" t="str">
        <f t="shared" si="0"/>
        <v/>
      </c>
      <c r="K22" s="1">
        <f>INDEX(Nodes!$A:$A,MATCH(Arcs!F22,Nodes!$B:$B,0))</f>
        <v>42</v>
      </c>
      <c r="L22" s="1">
        <f>INDEX(Nodes!$A:$A,MATCH(Arcs!G22,Nodes!$B:$B,0))</f>
        <v>46</v>
      </c>
      <c r="M22" s="2">
        <v>1</v>
      </c>
      <c r="N22" s="3">
        <v>1</v>
      </c>
    </row>
    <row r="23" spans="1:14" x14ac:dyDescent="0.2">
      <c r="A23" s="1">
        <v>22</v>
      </c>
      <c r="B23" s="19" t="s">
        <v>10</v>
      </c>
      <c r="C23" s="19" t="s">
        <v>142</v>
      </c>
      <c r="D23" s="19" t="s">
        <v>135</v>
      </c>
      <c r="E23" s="19" t="s">
        <v>171</v>
      </c>
      <c r="F23" s="19" t="s">
        <v>86</v>
      </c>
      <c r="G23" s="19" t="s">
        <v>87</v>
      </c>
      <c r="H23" s="1" t="s">
        <v>177</v>
      </c>
      <c r="I23" s="51">
        <v>25</v>
      </c>
      <c r="J23" s="1" t="str">
        <f t="shared" si="0"/>
        <v/>
      </c>
      <c r="K23" s="1">
        <f>INDEX(Nodes!$A:$A,MATCH(Arcs!F23,Nodes!$B:$B,0))</f>
        <v>17</v>
      </c>
      <c r="L23" s="1">
        <f>INDEX(Nodes!$A:$A,MATCH(Arcs!G23,Nodes!$B:$B,0))</f>
        <v>18</v>
      </c>
      <c r="M23" s="2">
        <v>1</v>
      </c>
      <c r="N23" s="3">
        <v>1</v>
      </c>
    </row>
    <row r="24" spans="1:14" x14ac:dyDescent="0.2">
      <c r="A24" s="1">
        <v>23</v>
      </c>
      <c r="B24" s="19" t="s">
        <v>5</v>
      </c>
      <c r="C24" s="19" t="s">
        <v>142</v>
      </c>
      <c r="D24" s="19" t="s">
        <v>135</v>
      </c>
      <c r="E24" s="19" t="s">
        <v>178</v>
      </c>
      <c r="F24" s="19" t="s">
        <v>86</v>
      </c>
      <c r="G24" s="19" t="s">
        <v>89</v>
      </c>
      <c r="H24" s="1" t="s">
        <v>179</v>
      </c>
      <c r="I24" s="51">
        <v>13.5</v>
      </c>
      <c r="J24" s="1" t="str">
        <f t="shared" si="0"/>
        <v/>
      </c>
      <c r="K24" s="1">
        <f>INDEX(Nodes!$A:$A,MATCH(Arcs!F24,Nodes!$B:$B,0))</f>
        <v>17</v>
      </c>
      <c r="L24" s="1">
        <f>INDEX(Nodes!$A:$A,MATCH(Arcs!G24,Nodes!$B:$B,0))</f>
        <v>21</v>
      </c>
      <c r="M24" s="2">
        <v>1</v>
      </c>
      <c r="N24" s="3">
        <v>1</v>
      </c>
    </row>
    <row r="25" spans="1:14" x14ac:dyDescent="0.2">
      <c r="A25" s="1">
        <v>24</v>
      </c>
      <c r="B25" s="19" t="s">
        <v>6</v>
      </c>
      <c r="C25" s="19" t="s">
        <v>142</v>
      </c>
      <c r="D25" s="19" t="s">
        <v>135</v>
      </c>
      <c r="E25" s="19" t="s">
        <v>169</v>
      </c>
      <c r="F25" s="19" t="s">
        <v>97</v>
      </c>
      <c r="G25" s="19" t="s">
        <v>110</v>
      </c>
      <c r="H25" s="1" t="s">
        <v>180</v>
      </c>
      <c r="I25" s="51">
        <v>39</v>
      </c>
      <c r="J25" s="1" t="str">
        <f t="shared" si="0"/>
        <v/>
      </c>
      <c r="K25" s="1">
        <f>INDEX(Nodes!$A:$A,MATCH(Arcs!F25,Nodes!$B:$B,0))</f>
        <v>30</v>
      </c>
      <c r="L25" s="1">
        <f>INDEX(Nodes!$A:$A,MATCH(Arcs!G25,Nodes!$B:$B,0))</f>
        <v>44</v>
      </c>
      <c r="M25" s="2">
        <v>1</v>
      </c>
      <c r="N25" s="3">
        <v>1</v>
      </c>
    </row>
    <row r="26" spans="1:14" x14ac:dyDescent="0.2">
      <c r="A26" s="1">
        <v>25</v>
      </c>
      <c r="B26" s="19" t="s">
        <v>181</v>
      </c>
      <c r="C26" s="19" t="s">
        <v>142</v>
      </c>
      <c r="D26" s="19" t="s">
        <v>135</v>
      </c>
      <c r="E26" s="19" t="s">
        <v>182</v>
      </c>
      <c r="F26" s="19" t="s">
        <v>106</v>
      </c>
      <c r="G26" s="19" t="s">
        <v>115</v>
      </c>
      <c r="H26" s="1" t="s">
        <v>183</v>
      </c>
      <c r="I26" s="51">
        <v>55</v>
      </c>
      <c r="J26" s="1" t="str">
        <f t="shared" si="0"/>
        <v/>
      </c>
      <c r="K26" s="1">
        <f>INDEX(Nodes!$A:$A,MATCH(Arcs!F26,Nodes!$B:$B,0))</f>
        <v>40</v>
      </c>
      <c r="L26" s="1">
        <f>INDEX(Nodes!$A:$A,MATCH(Arcs!G26,Nodes!$B:$B,0))</f>
        <v>49</v>
      </c>
      <c r="M26" s="2">
        <v>1</v>
      </c>
      <c r="N26" s="3">
        <v>1</v>
      </c>
    </row>
    <row r="27" spans="1:14" x14ac:dyDescent="0.2">
      <c r="A27" s="1">
        <v>26</v>
      </c>
      <c r="B27" s="19" t="s">
        <v>181</v>
      </c>
      <c r="C27" s="19" t="s">
        <v>142</v>
      </c>
      <c r="D27" s="19" t="s">
        <v>135</v>
      </c>
      <c r="E27" s="19" t="s">
        <v>182</v>
      </c>
      <c r="F27" s="19" t="s">
        <v>115</v>
      </c>
      <c r="G27" s="19" t="s">
        <v>122</v>
      </c>
      <c r="H27" s="1" t="s">
        <v>184</v>
      </c>
      <c r="I27" s="51">
        <v>42</v>
      </c>
      <c r="J27" s="1" t="str">
        <f t="shared" si="0"/>
        <v/>
      </c>
      <c r="K27" s="1">
        <f>INDEX(Nodes!$A:$A,MATCH(Arcs!F27,Nodes!$B:$B,0))</f>
        <v>49</v>
      </c>
      <c r="L27" s="1">
        <f>INDEX(Nodes!$A:$A,MATCH(Arcs!G27,Nodes!$B:$B,0))</f>
        <v>56</v>
      </c>
      <c r="M27" s="2">
        <v>1</v>
      </c>
      <c r="N27" s="3">
        <v>1</v>
      </c>
    </row>
    <row r="28" spans="1:14" x14ac:dyDescent="0.2">
      <c r="A28" s="1">
        <v>27</v>
      </c>
      <c r="B28" s="19" t="s">
        <v>8</v>
      </c>
      <c r="C28" s="19" t="s">
        <v>142</v>
      </c>
      <c r="D28" s="19" t="s">
        <v>135</v>
      </c>
      <c r="E28" s="19" t="s">
        <v>185</v>
      </c>
      <c r="F28" s="19" t="s">
        <v>92</v>
      </c>
      <c r="G28" s="19" t="s">
        <v>106</v>
      </c>
      <c r="H28" s="1" t="s">
        <v>186</v>
      </c>
      <c r="I28" s="51">
        <v>74</v>
      </c>
      <c r="J28" s="1" t="str">
        <f t="shared" si="0"/>
        <v/>
      </c>
      <c r="K28" s="1">
        <f>INDEX(Nodes!$A:$A,MATCH(Arcs!F28,Nodes!$B:$B,0))</f>
        <v>25</v>
      </c>
      <c r="L28" s="1">
        <f>INDEX(Nodes!$A:$A,MATCH(Arcs!G28,Nodes!$B:$B,0))</f>
        <v>40</v>
      </c>
      <c r="M28" s="2">
        <v>1</v>
      </c>
      <c r="N28" s="3">
        <v>1</v>
      </c>
    </row>
    <row r="29" spans="1:14" x14ac:dyDescent="0.2">
      <c r="A29" s="1">
        <v>28</v>
      </c>
      <c r="B29" s="19" t="s">
        <v>9</v>
      </c>
      <c r="C29" s="19" t="s">
        <v>142</v>
      </c>
      <c r="D29" s="19" t="s">
        <v>135</v>
      </c>
      <c r="E29" s="19" t="s">
        <v>187</v>
      </c>
      <c r="F29" s="19" t="s">
        <v>92</v>
      </c>
      <c r="G29" s="19" t="s">
        <v>107</v>
      </c>
      <c r="H29" s="1" t="s">
        <v>188</v>
      </c>
      <c r="I29" s="51">
        <v>73</v>
      </c>
      <c r="J29" s="1" t="str">
        <f t="shared" si="0"/>
        <v/>
      </c>
      <c r="K29" s="1">
        <f>INDEX(Nodes!$A:$A,MATCH(Arcs!F29,Nodes!$B:$B,0))</f>
        <v>25</v>
      </c>
      <c r="L29" s="1">
        <f>INDEX(Nodes!$A:$A,MATCH(Arcs!G29,Nodes!$B:$B,0))</f>
        <v>41</v>
      </c>
      <c r="M29" s="2">
        <v>1</v>
      </c>
      <c r="N29" s="3">
        <v>1</v>
      </c>
    </row>
    <row r="30" spans="1:14" x14ac:dyDescent="0.2">
      <c r="A30" s="1">
        <v>29</v>
      </c>
      <c r="B30" s="19" t="s">
        <v>235</v>
      </c>
      <c r="C30" s="19" t="s">
        <v>142</v>
      </c>
      <c r="D30" s="19" t="s">
        <v>135</v>
      </c>
      <c r="E30" s="19" t="s">
        <v>189</v>
      </c>
      <c r="F30" s="19" t="s">
        <v>236</v>
      </c>
      <c r="G30" s="19" t="s">
        <v>237</v>
      </c>
      <c r="H30" s="1" t="s">
        <v>190</v>
      </c>
      <c r="I30" s="51">
        <v>17</v>
      </c>
      <c r="J30" s="1" t="str">
        <f t="shared" si="0"/>
        <v/>
      </c>
      <c r="K30" s="1">
        <f>INDEX(Nodes!$A:$A,MATCH(Arcs!F30,Nodes!$B:$B,0))</f>
        <v>22</v>
      </c>
      <c r="L30" s="1">
        <f>INDEX(Nodes!$A:$A,MATCH(Arcs!G30,Nodes!$B:$B,0))</f>
        <v>16</v>
      </c>
      <c r="M30" s="2">
        <v>1</v>
      </c>
      <c r="N30" s="3">
        <v>1</v>
      </c>
    </row>
    <row r="31" spans="1:14" x14ac:dyDescent="0.2">
      <c r="A31" s="1">
        <v>30</v>
      </c>
      <c r="B31" s="19" t="s">
        <v>238</v>
      </c>
      <c r="C31" s="19" t="s">
        <v>191</v>
      </c>
      <c r="D31" s="19" t="s">
        <v>135</v>
      </c>
      <c r="E31" s="19" t="s">
        <v>192</v>
      </c>
      <c r="F31" s="19" t="s">
        <v>97</v>
      </c>
      <c r="G31" s="19" t="s">
        <v>101</v>
      </c>
      <c r="H31" s="1" t="s">
        <v>193</v>
      </c>
      <c r="I31" s="51">
        <v>10</v>
      </c>
      <c r="J31" s="1" t="str">
        <f t="shared" si="0"/>
        <v/>
      </c>
      <c r="K31" s="1">
        <f>INDEX(Nodes!$A:$A,MATCH(Arcs!F31,Nodes!$B:$B,0))</f>
        <v>30</v>
      </c>
      <c r="L31" s="1">
        <f>INDEX(Nodes!$A:$A,MATCH(Arcs!G31,Nodes!$B:$B,0))</f>
        <v>35</v>
      </c>
      <c r="M31" s="2">
        <v>1</v>
      </c>
      <c r="N31" s="3">
        <v>1</v>
      </c>
    </row>
    <row r="32" spans="1:14" x14ac:dyDescent="0.2">
      <c r="A32" s="1">
        <v>31</v>
      </c>
      <c r="B32" s="19" t="s">
        <v>239</v>
      </c>
      <c r="C32" s="19" t="s">
        <v>191</v>
      </c>
      <c r="D32" s="19" t="s">
        <v>135</v>
      </c>
      <c r="E32" s="19" t="s">
        <v>194</v>
      </c>
      <c r="F32" s="19" t="s">
        <v>102</v>
      </c>
      <c r="G32" s="19" t="s">
        <v>105</v>
      </c>
      <c r="H32" s="1" t="s">
        <v>195</v>
      </c>
      <c r="I32" s="51">
        <v>291.7</v>
      </c>
      <c r="J32" s="1" t="str">
        <f t="shared" si="0"/>
        <v/>
      </c>
      <c r="K32" s="1">
        <f>INDEX(Nodes!$A:$A,MATCH(Arcs!F32,Nodes!$B:$B,0))</f>
        <v>36</v>
      </c>
      <c r="L32" s="1">
        <f>INDEX(Nodes!$A:$A,MATCH(Arcs!G32,Nodes!$B:$B,0))</f>
        <v>39</v>
      </c>
      <c r="M32" s="2">
        <v>1</v>
      </c>
      <c r="N32" s="3">
        <v>1</v>
      </c>
    </row>
    <row r="33" spans="1:14" x14ac:dyDescent="0.2">
      <c r="A33" s="1">
        <v>32</v>
      </c>
      <c r="B33" s="19" t="s">
        <v>196</v>
      </c>
      <c r="C33" s="19" t="s">
        <v>142</v>
      </c>
      <c r="D33" s="19" t="s">
        <v>135</v>
      </c>
      <c r="E33" s="19" t="s">
        <v>197</v>
      </c>
      <c r="F33" s="19" t="s">
        <v>78</v>
      </c>
      <c r="G33" s="19" t="s">
        <v>84</v>
      </c>
      <c r="H33" s="1" t="s">
        <v>198</v>
      </c>
      <c r="I33" s="51">
        <v>5</v>
      </c>
      <c r="J33" s="1" t="str">
        <f t="shared" si="0"/>
        <v/>
      </c>
      <c r="K33" s="1">
        <f>INDEX(Nodes!$A:$A,MATCH(Arcs!F33,Nodes!$B:$B,0))</f>
        <v>6</v>
      </c>
      <c r="L33" s="1">
        <f>INDEX(Nodes!$A:$A,MATCH(Arcs!G33,Nodes!$B:$B,0))</f>
        <v>13</v>
      </c>
      <c r="M33" s="2">
        <v>1</v>
      </c>
      <c r="N33" s="3">
        <v>1</v>
      </c>
    </row>
    <row r="34" spans="1:14" x14ac:dyDescent="0.2">
      <c r="A34" s="1">
        <v>33</v>
      </c>
      <c r="B34" s="19" t="s">
        <v>199</v>
      </c>
      <c r="C34" s="19" t="s">
        <v>191</v>
      </c>
      <c r="D34" s="19" t="s">
        <v>135</v>
      </c>
      <c r="E34" s="19" t="s">
        <v>159</v>
      </c>
      <c r="F34" s="19" t="s">
        <v>78</v>
      </c>
      <c r="G34" s="19" t="s">
        <v>79</v>
      </c>
      <c r="H34" s="1" t="s">
        <v>200</v>
      </c>
      <c r="I34" s="51">
        <v>11</v>
      </c>
      <c r="J34" s="1" t="str">
        <f t="shared" si="0"/>
        <v/>
      </c>
      <c r="K34" s="1">
        <f>INDEX(Nodes!$A:$A,MATCH(Arcs!F34,Nodes!$B:$B,0))</f>
        <v>6</v>
      </c>
      <c r="L34" s="1">
        <f>INDEX(Nodes!$A:$A,MATCH(Arcs!G34,Nodes!$B:$B,0))</f>
        <v>8</v>
      </c>
      <c r="M34" s="2">
        <v>1</v>
      </c>
      <c r="N34" s="3">
        <v>1</v>
      </c>
    </row>
    <row r="35" spans="1:14" x14ac:dyDescent="0.2">
      <c r="A35" s="1">
        <v>34</v>
      </c>
      <c r="B35" s="19" t="s">
        <v>240</v>
      </c>
      <c r="C35" s="19" t="s">
        <v>191</v>
      </c>
      <c r="D35" s="19" t="s">
        <v>135</v>
      </c>
      <c r="E35" s="19" t="s">
        <v>201</v>
      </c>
      <c r="F35" s="19" t="s">
        <v>100</v>
      </c>
      <c r="G35" s="19" t="s">
        <v>103</v>
      </c>
      <c r="H35" s="1" t="s">
        <v>202</v>
      </c>
      <c r="I35" s="51">
        <v>5</v>
      </c>
      <c r="J35" s="1" t="str">
        <f t="shared" si="0"/>
        <v/>
      </c>
      <c r="K35" s="1">
        <f>INDEX(Nodes!$A:$A,MATCH(Arcs!F35,Nodes!$B:$B,0))</f>
        <v>34</v>
      </c>
      <c r="L35" s="1">
        <f>INDEX(Nodes!$A:$A,MATCH(Arcs!G35,Nodes!$B:$B,0))</f>
        <v>37</v>
      </c>
      <c r="M35" s="2">
        <v>1</v>
      </c>
      <c r="N35" s="3">
        <v>1</v>
      </c>
    </row>
    <row r="36" spans="1:14" x14ac:dyDescent="0.2">
      <c r="A36" s="1">
        <v>35</v>
      </c>
      <c r="B36" s="19" t="s">
        <v>241</v>
      </c>
      <c r="C36" s="19" t="s">
        <v>191</v>
      </c>
      <c r="D36" s="19" t="s">
        <v>135</v>
      </c>
      <c r="E36" s="19" t="s">
        <v>203</v>
      </c>
      <c r="F36" s="19" t="s">
        <v>96</v>
      </c>
      <c r="G36" s="19" t="s">
        <v>94</v>
      </c>
      <c r="H36" s="1" t="s">
        <v>204</v>
      </c>
      <c r="I36" s="51">
        <v>48.1</v>
      </c>
      <c r="J36" s="1" t="str">
        <f t="shared" si="0"/>
        <v/>
      </c>
      <c r="K36" s="1">
        <f>INDEX(Nodes!$A:$A,MATCH(Arcs!F36,Nodes!$B:$B,0))</f>
        <v>29</v>
      </c>
      <c r="L36" s="1">
        <f>INDEX(Nodes!$A:$A,MATCH(Arcs!G36,Nodes!$B:$B,0))</f>
        <v>27</v>
      </c>
      <c r="M36" s="2">
        <v>1</v>
      </c>
      <c r="N36" s="3">
        <v>1</v>
      </c>
    </row>
    <row r="37" spans="1:14" x14ac:dyDescent="0.2">
      <c r="A37" s="1">
        <v>36</v>
      </c>
      <c r="B37" s="19" t="s">
        <v>205</v>
      </c>
      <c r="C37" s="19" t="s">
        <v>207</v>
      </c>
      <c r="D37" s="19" t="s">
        <v>135</v>
      </c>
      <c r="E37" s="19" t="s">
        <v>154</v>
      </c>
      <c r="F37" s="19" t="s">
        <v>82</v>
      </c>
      <c r="G37" s="19" t="s">
        <v>85</v>
      </c>
      <c r="H37" s="1" t="s">
        <v>208</v>
      </c>
      <c r="I37" s="51">
        <v>61</v>
      </c>
      <c r="J37" s="1" t="str">
        <f t="shared" si="0"/>
        <v/>
      </c>
      <c r="K37" s="1">
        <f>INDEX(Nodes!$A:$A,MATCH(Arcs!F37,Nodes!$B:$B,0))</f>
        <v>11</v>
      </c>
      <c r="L37" s="1">
        <f>INDEX(Nodes!$A:$A,MATCH(Arcs!G37,Nodes!$B:$B,0))</f>
        <v>14</v>
      </c>
      <c r="M37" s="2">
        <v>1</v>
      </c>
      <c r="N37" s="3">
        <v>1</v>
      </c>
    </row>
    <row r="38" spans="1:14" x14ac:dyDescent="0.2">
      <c r="A38" s="1">
        <v>37</v>
      </c>
      <c r="B38" s="19" t="s">
        <v>209</v>
      </c>
      <c r="C38" s="19" t="s">
        <v>207</v>
      </c>
      <c r="D38" s="19" t="s">
        <v>135</v>
      </c>
      <c r="E38" s="19" t="s">
        <v>154</v>
      </c>
      <c r="F38" s="19" t="s">
        <v>83</v>
      </c>
      <c r="G38" s="19" t="s">
        <v>85</v>
      </c>
      <c r="H38" s="1" t="s">
        <v>210</v>
      </c>
      <c r="I38" s="51">
        <v>0</v>
      </c>
      <c r="J38" s="1" t="str">
        <f t="shared" si="0"/>
        <v/>
      </c>
      <c r="K38" s="1">
        <f>INDEX(Nodes!$A:$A,MATCH(Arcs!F38,Nodes!$B:$B,0))</f>
        <v>12</v>
      </c>
      <c r="L38" s="1">
        <f>INDEX(Nodes!$A:$A,MATCH(Arcs!G38,Nodes!$B:$B,0))</f>
        <v>14</v>
      </c>
      <c r="M38" s="2">
        <v>1</v>
      </c>
      <c r="N38" s="3">
        <v>1</v>
      </c>
    </row>
    <row r="39" spans="1:14" x14ac:dyDescent="0.2">
      <c r="A39" s="1">
        <v>38</v>
      </c>
      <c r="B39" s="19" t="s">
        <v>211</v>
      </c>
      <c r="C39" s="19" t="s">
        <v>142</v>
      </c>
      <c r="D39" s="19" t="s">
        <v>135</v>
      </c>
      <c r="E39" s="19" t="s">
        <v>212</v>
      </c>
      <c r="F39" s="19" t="s">
        <v>75</v>
      </c>
      <c r="G39" s="19" t="s">
        <v>85</v>
      </c>
      <c r="H39" s="1" t="s">
        <v>213</v>
      </c>
      <c r="I39" s="51">
        <v>70</v>
      </c>
      <c r="J39" s="1" t="str">
        <f t="shared" si="0"/>
        <v/>
      </c>
      <c r="K39" s="1">
        <f>INDEX(Nodes!$A:$A,MATCH(Arcs!F39,Nodes!$B:$B,0))</f>
        <v>3</v>
      </c>
      <c r="L39" s="1">
        <f>INDEX(Nodes!$A:$A,MATCH(Arcs!G39,Nodes!$B:$B,0))</f>
        <v>14</v>
      </c>
      <c r="M39" s="2">
        <v>1</v>
      </c>
      <c r="N39" s="3">
        <v>1</v>
      </c>
    </row>
    <row r="40" spans="1:14" x14ac:dyDescent="0.2">
      <c r="A40" s="1">
        <v>39</v>
      </c>
      <c r="B40" s="19" t="s">
        <v>242</v>
      </c>
      <c r="C40" s="19" t="s">
        <v>214</v>
      </c>
      <c r="D40" s="19" t="s">
        <v>135</v>
      </c>
      <c r="E40" s="19" t="s">
        <v>215</v>
      </c>
      <c r="F40" s="19" t="s">
        <v>77</v>
      </c>
      <c r="G40" s="19" t="s">
        <v>255</v>
      </c>
      <c r="H40" s="1" t="s">
        <v>216</v>
      </c>
      <c r="I40" s="51">
        <v>48.1</v>
      </c>
      <c r="J40" s="1" t="str">
        <f t="shared" si="0"/>
        <v/>
      </c>
      <c r="K40" s="1">
        <f>INDEX(Nodes!$A:$A,MATCH(Arcs!F40,Nodes!$B:$B,0))</f>
        <v>5</v>
      </c>
      <c r="L40" s="1">
        <f>INDEX(Nodes!$A:$A,MATCH(Arcs!G40,Nodes!$B:$B,0))</f>
        <v>7</v>
      </c>
      <c r="M40" s="2">
        <v>1</v>
      </c>
      <c r="N40" s="3">
        <v>1</v>
      </c>
    </row>
    <row r="41" spans="1:14" x14ac:dyDescent="0.2">
      <c r="A41" s="1">
        <v>40</v>
      </c>
      <c r="B41" s="19" t="s">
        <v>243</v>
      </c>
      <c r="C41" s="19" t="s">
        <v>191</v>
      </c>
      <c r="D41" s="19" t="s">
        <v>135</v>
      </c>
      <c r="E41" s="19" t="s">
        <v>217</v>
      </c>
      <c r="F41" s="19" t="s">
        <v>244</v>
      </c>
      <c r="G41" s="19" t="s">
        <v>245</v>
      </c>
      <c r="H41" s="1" t="s">
        <v>218</v>
      </c>
      <c r="I41" s="51">
        <v>119.1</v>
      </c>
      <c r="J41" s="1" t="str">
        <f t="shared" si="0"/>
        <v/>
      </c>
      <c r="K41" s="1">
        <f>INDEX(Nodes!$A:$A,MATCH(Arcs!F41,Nodes!$B:$B,0))</f>
        <v>2</v>
      </c>
      <c r="L41" s="1">
        <f>INDEX(Nodes!$A:$A,MATCH(Arcs!G41,Nodes!$B:$B,0))</f>
        <v>1</v>
      </c>
      <c r="M41" s="2">
        <v>1</v>
      </c>
      <c r="N41" s="3">
        <v>1</v>
      </c>
    </row>
    <row r="42" spans="1:14" x14ac:dyDescent="0.2">
      <c r="A42" s="1">
        <v>41</v>
      </c>
      <c r="B42" s="19" t="s">
        <v>246</v>
      </c>
      <c r="C42" s="19" t="s">
        <v>191</v>
      </c>
      <c r="D42" s="19" t="s">
        <v>135</v>
      </c>
      <c r="E42" s="19" t="s">
        <v>185</v>
      </c>
      <c r="F42" s="19" t="s">
        <v>91</v>
      </c>
      <c r="G42" s="19" t="s">
        <v>92</v>
      </c>
      <c r="H42" s="1" t="s">
        <v>219</v>
      </c>
      <c r="I42" s="51">
        <v>110</v>
      </c>
      <c r="J42" s="1" t="str">
        <f t="shared" si="0"/>
        <v/>
      </c>
      <c r="K42" s="1">
        <f>INDEX(Nodes!$A:$A,MATCH(Arcs!F42,Nodes!$B:$B,0))</f>
        <v>24</v>
      </c>
      <c r="L42" s="1">
        <f>INDEX(Nodes!$A:$A,MATCH(Arcs!G42,Nodes!$B:$B,0))</f>
        <v>25</v>
      </c>
      <c r="M42" s="2">
        <v>1</v>
      </c>
      <c r="N42" s="3">
        <v>1</v>
      </c>
    </row>
    <row r="43" spans="1:14" x14ac:dyDescent="0.2">
      <c r="A43" s="1">
        <v>42</v>
      </c>
      <c r="B43" s="19" t="s">
        <v>247</v>
      </c>
      <c r="C43" s="19" t="s">
        <v>191</v>
      </c>
      <c r="D43" s="19" t="s">
        <v>135</v>
      </c>
      <c r="E43" s="19" t="s">
        <v>187</v>
      </c>
      <c r="F43" s="19" t="s">
        <v>91</v>
      </c>
      <c r="G43" s="19" t="s">
        <v>92</v>
      </c>
      <c r="H43" s="1" t="s">
        <v>220</v>
      </c>
      <c r="I43" s="51">
        <v>0</v>
      </c>
      <c r="J43" s="1" t="str">
        <f t="shared" si="0"/>
        <v/>
      </c>
      <c r="K43" s="1">
        <f>INDEX(Nodes!$A:$A,MATCH(Arcs!F43,Nodes!$B:$B,0))</f>
        <v>24</v>
      </c>
      <c r="L43" s="1">
        <f>INDEX(Nodes!$A:$A,MATCH(Arcs!G43,Nodes!$B:$B,0))</f>
        <v>25</v>
      </c>
      <c r="M43" s="2">
        <v>1</v>
      </c>
      <c r="N43" s="3">
        <v>1</v>
      </c>
    </row>
    <row r="44" spans="1:14" x14ac:dyDescent="0.2">
      <c r="A44" s="1">
        <v>43</v>
      </c>
      <c r="B44" s="19" t="s">
        <v>248</v>
      </c>
      <c r="C44" s="19" t="s">
        <v>191</v>
      </c>
      <c r="D44" s="19" t="s">
        <v>135</v>
      </c>
      <c r="E44" s="19" t="s">
        <v>221</v>
      </c>
      <c r="F44" s="19" t="s">
        <v>91</v>
      </c>
      <c r="G44" s="19" t="s">
        <v>92</v>
      </c>
      <c r="H44" s="1" t="s">
        <v>222</v>
      </c>
      <c r="I44" s="51">
        <v>0</v>
      </c>
      <c r="J44" s="1" t="str">
        <f t="shared" si="0"/>
        <v/>
      </c>
      <c r="K44" s="1">
        <f>INDEX(Nodes!$A:$A,MATCH(Arcs!F44,Nodes!$B:$B,0))</f>
        <v>24</v>
      </c>
      <c r="L44" s="1">
        <f>INDEX(Nodes!$A:$A,MATCH(Arcs!G44,Nodes!$B:$B,0))</f>
        <v>25</v>
      </c>
      <c r="M44" s="2">
        <v>1</v>
      </c>
      <c r="N44" s="3">
        <v>1</v>
      </c>
    </row>
    <row r="45" spans="1:14" x14ac:dyDescent="0.2">
      <c r="A45" s="1">
        <v>44</v>
      </c>
      <c r="B45" s="19" t="s">
        <v>249</v>
      </c>
      <c r="C45" s="19" t="s">
        <v>142</v>
      </c>
      <c r="D45" s="19" t="s">
        <v>135</v>
      </c>
      <c r="E45" s="19" t="s">
        <v>223</v>
      </c>
      <c r="F45" s="19" t="s">
        <v>99</v>
      </c>
      <c r="G45" s="19" t="s">
        <v>104</v>
      </c>
      <c r="H45" s="1" t="s">
        <v>224</v>
      </c>
      <c r="I45" s="1">
        <v>5</v>
      </c>
      <c r="J45" s="1" t="str">
        <f t="shared" si="0"/>
        <v/>
      </c>
      <c r="K45" s="1">
        <f>INDEX(Nodes!$A:$A,MATCH(Arcs!F45,Nodes!$B:$B,0))</f>
        <v>32</v>
      </c>
      <c r="L45" s="1">
        <f>INDEX(Nodes!$A:$A,MATCH(Arcs!G45,Nodes!$B:$B,0))</f>
        <v>38</v>
      </c>
      <c r="M45" s="2">
        <v>1</v>
      </c>
      <c r="N45" s="3">
        <v>1</v>
      </c>
    </row>
    <row r="46" spans="1:14" x14ac:dyDescent="0.2">
      <c r="A46" s="1">
        <v>45</v>
      </c>
      <c r="B46" s="19" t="s">
        <v>181</v>
      </c>
      <c r="C46" s="19" t="s">
        <v>142</v>
      </c>
      <c r="D46" s="19" t="s">
        <v>135</v>
      </c>
      <c r="E46" s="19" t="s">
        <v>182</v>
      </c>
      <c r="F46" s="19" t="s">
        <v>106</v>
      </c>
      <c r="G46" s="19" t="s">
        <v>108</v>
      </c>
      <c r="H46" s="1" t="s">
        <v>225</v>
      </c>
      <c r="I46" s="1">
        <v>55</v>
      </c>
      <c r="J46" s="1" t="str">
        <f t="shared" si="0"/>
        <v/>
      </c>
      <c r="K46" s="1">
        <f>INDEX(Nodes!$A:$A,MATCH(Arcs!F46,Nodes!$B:$B,0))</f>
        <v>40</v>
      </c>
      <c r="L46" s="1">
        <f>INDEX(Nodes!$A:$A,MATCH(Arcs!G46,Nodes!$B:$B,0))</f>
        <v>42</v>
      </c>
      <c r="M46" s="2">
        <v>1</v>
      </c>
      <c r="N46" s="3">
        <v>1</v>
      </c>
    </row>
    <row r="47" spans="1:14" x14ac:dyDescent="0.2">
      <c r="A47" s="1">
        <v>46</v>
      </c>
      <c r="B47" s="19" t="s">
        <v>355</v>
      </c>
      <c r="C47" s="19"/>
      <c r="D47" s="19"/>
      <c r="E47" s="19"/>
      <c r="F47" s="20" t="s">
        <v>113</v>
      </c>
      <c r="G47" s="20" t="s">
        <v>124</v>
      </c>
      <c r="H47" s="21" t="s">
        <v>226</v>
      </c>
      <c r="I47" s="21">
        <v>32</v>
      </c>
      <c r="J47" s="1" t="str">
        <f t="shared" si="0"/>
        <v/>
      </c>
      <c r="K47" s="1">
        <f>INDEX(Nodes!$A:$A,MATCH(Arcs!F47,Nodes!$B:$B,0))</f>
        <v>47</v>
      </c>
      <c r="L47" s="1">
        <f>INDEX(Nodes!$A:$A,MATCH(Arcs!G47,Nodes!$B:$B,0))</f>
        <v>58</v>
      </c>
      <c r="M47" s="2">
        <v>1</v>
      </c>
      <c r="N47" s="3">
        <v>1</v>
      </c>
    </row>
    <row r="48" spans="1:14" x14ac:dyDescent="0.2">
      <c r="A48" s="1">
        <v>47</v>
      </c>
      <c r="B48" s="19" t="s">
        <v>356</v>
      </c>
      <c r="C48" s="19"/>
      <c r="D48" s="19"/>
      <c r="E48" s="19"/>
      <c r="F48" s="20" t="s">
        <v>125</v>
      </c>
      <c r="G48" s="20" t="s">
        <v>126</v>
      </c>
      <c r="H48" s="21" t="s">
        <v>227</v>
      </c>
      <c r="I48" s="21">
        <v>52</v>
      </c>
      <c r="J48" s="1" t="str">
        <f t="shared" si="0"/>
        <v/>
      </c>
      <c r="K48" s="1">
        <f>INDEX(Nodes!$A:$A,MATCH(Arcs!F48,Nodes!$B:$B,0))</f>
        <v>59</v>
      </c>
      <c r="L48" s="1">
        <f>INDEX(Nodes!$A:$A,MATCH(Arcs!G48,Nodes!$B:$B,0))</f>
        <v>60</v>
      </c>
      <c r="M48" s="2">
        <v>1</v>
      </c>
      <c r="N48" s="3">
        <v>1</v>
      </c>
    </row>
    <row r="49" spans="1:14" x14ac:dyDescent="0.2">
      <c r="A49" s="1">
        <v>48</v>
      </c>
      <c r="B49" s="19" t="s">
        <v>357</v>
      </c>
      <c r="C49" s="19"/>
      <c r="D49" s="19"/>
      <c r="E49" s="19"/>
      <c r="F49" s="20" t="s">
        <v>127</v>
      </c>
      <c r="G49" s="20" t="s">
        <v>118</v>
      </c>
      <c r="H49" s="21" t="s">
        <v>228</v>
      </c>
      <c r="I49" s="21">
        <v>32</v>
      </c>
      <c r="J49" s="1" t="str">
        <f t="shared" si="0"/>
        <v/>
      </c>
      <c r="K49" s="1">
        <f>INDEX(Nodes!$A:$A,MATCH(Arcs!F49,Nodes!$B:$B,0))</f>
        <v>61</v>
      </c>
      <c r="L49" s="1">
        <f>INDEX(Nodes!$A:$A,MATCH(Arcs!G49,Nodes!$B:$B,0))</f>
        <v>52</v>
      </c>
      <c r="M49" s="2">
        <v>1</v>
      </c>
      <c r="N49" s="3">
        <v>1</v>
      </c>
    </row>
    <row r="50" spans="1:14" x14ac:dyDescent="0.2">
      <c r="A50" s="1">
        <v>49</v>
      </c>
      <c r="B50" s="19" t="s">
        <v>229</v>
      </c>
      <c r="C50" s="19"/>
      <c r="D50" s="19"/>
      <c r="E50" s="19"/>
      <c r="F50" s="19" t="s">
        <v>116</v>
      </c>
      <c r="G50" s="19" t="s">
        <v>109</v>
      </c>
      <c r="H50" s="21" t="s">
        <v>230</v>
      </c>
      <c r="I50" s="21">
        <v>48</v>
      </c>
      <c r="J50" s="1" t="str">
        <f t="shared" si="0"/>
        <v/>
      </c>
      <c r="K50" s="1">
        <f>INDEX(Nodes!$A:$A,MATCH(Arcs!F50,Nodes!$B:$B,0))</f>
        <v>50</v>
      </c>
      <c r="L50" s="1">
        <f>INDEX(Nodes!$A:$A,MATCH(Arcs!G50,Nodes!$B:$B,0))</f>
        <v>43</v>
      </c>
      <c r="M50" s="2">
        <v>1</v>
      </c>
      <c r="N50" s="3">
        <v>1</v>
      </c>
    </row>
    <row r="51" spans="1:14" x14ac:dyDescent="0.2">
      <c r="A51" s="1">
        <v>50</v>
      </c>
      <c r="B51" s="19" t="s">
        <v>231</v>
      </c>
      <c r="C51" s="19"/>
      <c r="D51" s="19"/>
      <c r="E51" s="19"/>
      <c r="F51" s="19" t="s">
        <v>88</v>
      </c>
      <c r="G51" s="19" t="s">
        <v>110</v>
      </c>
      <c r="H51" s="21" t="s">
        <v>232</v>
      </c>
      <c r="I51" s="21">
        <v>33</v>
      </c>
      <c r="J51" s="1" t="str">
        <f t="shared" si="0"/>
        <v/>
      </c>
      <c r="K51" s="1">
        <f>INDEX(Nodes!$A:$A,MATCH(Arcs!F51,Nodes!$B:$B,0))</f>
        <v>20</v>
      </c>
      <c r="L51" s="1">
        <f>INDEX(Nodes!$A:$A,MATCH(Arcs!G51,Nodes!$B:$B,0))</f>
        <v>44</v>
      </c>
      <c r="M51" s="2">
        <v>1</v>
      </c>
      <c r="N51" s="3">
        <v>1</v>
      </c>
    </row>
    <row r="52" spans="1:14" x14ac:dyDescent="0.2">
      <c r="A52" s="1">
        <v>51</v>
      </c>
      <c r="B52" s="31" t="s">
        <v>271</v>
      </c>
      <c r="F52" s="32" t="s">
        <v>124</v>
      </c>
      <c r="G52" s="32" t="s">
        <v>125</v>
      </c>
      <c r="I52" s="33">
        <v>100</v>
      </c>
      <c r="J52" s="30" t="str">
        <f t="shared" si="0"/>
        <v>Capacity unknown</v>
      </c>
      <c r="K52" s="1">
        <f>INDEX(Nodes!$A:$A,MATCH(Arcs!F52,Nodes!$B:$B,0))</f>
        <v>58</v>
      </c>
      <c r="L52" s="1">
        <f>INDEX(Nodes!$A:$A,MATCH(Arcs!G52,Nodes!$B:$B,0))</f>
        <v>59</v>
      </c>
      <c r="M52" s="2">
        <v>1</v>
      </c>
      <c r="N52" s="3">
        <v>1</v>
      </c>
    </row>
    <row r="53" spans="1:14" x14ac:dyDescent="0.2">
      <c r="A53" s="1">
        <v>52</v>
      </c>
      <c r="B53" s="31" t="s">
        <v>272</v>
      </c>
      <c r="F53" s="20" t="s">
        <v>126</v>
      </c>
      <c r="G53" s="20" t="s">
        <v>127</v>
      </c>
      <c r="I53" s="33">
        <v>100</v>
      </c>
      <c r="J53" s="30" t="str">
        <f t="shared" si="0"/>
        <v>Capacity unknown</v>
      </c>
      <c r="K53" s="1">
        <f>INDEX(Nodes!$A:$A,MATCH(Arcs!F53,Nodes!$B:$B,0))</f>
        <v>60</v>
      </c>
      <c r="L53" s="1">
        <f>INDEX(Nodes!$A:$A,MATCH(Arcs!G53,Nodes!$B:$B,0))</f>
        <v>61</v>
      </c>
      <c r="M53" s="2">
        <v>1</v>
      </c>
      <c r="N53" s="3">
        <v>1</v>
      </c>
    </row>
  </sheetData>
  <autoFilter ref="A1:N53" xr:uid="{2902688A-D2A3-854F-B341-C0BEC53AF991}"/>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12"/>
  <sheetViews>
    <sheetView zoomScale="200" zoomScaleNormal="200" workbookViewId="0">
      <selection activeCell="D3" sqref="D3"/>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207</v>
      </c>
      <c r="B1" s="27" t="s">
        <v>214</v>
      </c>
      <c r="C1" s="27" t="s">
        <v>260</v>
      </c>
      <c r="D1" s="27" t="s">
        <v>191</v>
      </c>
      <c r="E1" s="27" t="s">
        <v>262</v>
      </c>
      <c r="F1" s="27" t="s">
        <v>263</v>
      </c>
      <c r="G1" s="27" t="s">
        <v>265</v>
      </c>
      <c r="H1" s="27" t="s">
        <v>264</v>
      </c>
    </row>
    <row r="2" spans="1:8" x14ac:dyDescent="0.2">
      <c r="A2" t="s">
        <v>206</v>
      </c>
      <c r="B2" t="s">
        <v>99</v>
      </c>
      <c r="C2" t="s">
        <v>111</v>
      </c>
      <c r="D2" s="26" t="s">
        <v>75</v>
      </c>
      <c r="E2" s="26" t="s">
        <v>99</v>
      </c>
      <c r="F2" s="26" t="s">
        <v>237</v>
      </c>
      <c r="G2" s="26" t="s">
        <v>79</v>
      </c>
      <c r="H2" s="26" t="s">
        <v>93</v>
      </c>
    </row>
    <row r="3" spans="1:8" x14ac:dyDescent="0.2">
      <c r="B3" t="s">
        <v>111</v>
      </c>
      <c r="D3" s="26" t="s">
        <v>102</v>
      </c>
      <c r="H3" s="26" t="s">
        <v>237</v>
      </c>
    </row>
    <row r="4" spans="1:8" x14ac:dyDescent="0.2">
      <c r="B4" t="s">
        <v>77</v>
      </c>
      <c r="D4" s="26" t="s">
        <v>78</v>
      </c>
    </row>
    <row r="5" spans="1:8" x14ac:dyDescent="0.2">
      <c r="B5" s="13"/>
      <c r="D5" s="26" t="s">
        <v>103</v>
      </c>
    </row>
    <row r="6" spans="1:8" x14ac:dyDescent="0.2">
      <c r="D6" s="26" t="s">
        <v>234</v>
      </c>
    </row>
    <row r="7" spans="1:8" x14ac:dyDescent="0.2">
      <c r="D7" s="26" t="s">
        <v>96</v>
      </c>
    </row>
    <row r="8" spans="1:8" x14ac:dyDescent="0.2">
      <c r="D8" s="26" t="s">
        <v>95</v>
      </c>
    </row>
    <row r="9" spans="1:8" x14ac:dyDescent="0.2">
      <c r="D9" s="26" t="s">
        <v>105</v>
      </c>
    </row>
    <row r="10" spans="1:8" x14ac:dyDescent="0.2">
      <c r="D10" s="26" t="s">
        <v>86</v>
      </c>
    </row>
    <row r="11" spans="1:8" x14ac:dyDescent="0.2">
      <c r="D11" s="26" t="s">
        <v>91</v>
      </c>
    </row>
    <row r="12" spans="1:8" x14ac:dyDescent="0.2">
      <c r="D12" s="26" t="s">
        <v>261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I10"/>
  <sheetViews>
    <sheetView zoomScale="220" zoomScaleNormal="220" workbookViewId="0">
      <selection activeCell="J9" sqref="J9"/>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s>
  <sheetData>
    <row r="1" spans="1:9" x14ac:dyDescent="0.2">
      <c r="A1" s="8" t="s">
        <v>350</v>
      </c>
      <c r="B1" s="8" t="s">
        <v>110</v>
      </c>
      <c r="C1" s="8" t="s">
        <v>120</v>
      </c>
      <c r="D1" s="8" t="s">
        <v>116</v>
      </c>
      <c r="E1" s="8" t="s">
        <v>121</v>
      </c>
      <c r="F1" s="8" t="s">
        <v>128</v>
      </c>
      <c r="G1" s="8" t="s">
        <v>122</v>
      </c>
      <c r="H1" s="8" t="s">
        <v>123</v>
      </c>
      <c r="I1" s="8" t="s">
        <v>118</v>
      </c>
    </row>
    <row r="2" spans="1:9" x14ac:dyDescent="0.2">
      <c r="A2" t="s">
        <v>207</v>
      </c>
      <c r="B2">
        <v>0.1</v>
      </c>
      <c r="C2">
        <v>0.1</v>
      </c>
      <c r="D2">
        <v>0.1</v>
      </c>
      <c r="E2">
        <v>0.1</v>
      </c>
      <c r="F2">
        <v>0.1</v>
      </c>
      <c r="G2">
        <v>0.1</v>
      </c>
      <c r="H2">
        <v>0.1</v>
      </c>
      <c r="I2">
        <v>0.1</v>
      </c>
    </row>
    <row r="3" spans="1:9" x14ac:dyDescent="0.2">
      <c r="A3" t="s">
        <v>214</v>
      </c>
      <c r="B3">
        <v>0.1</v>
      </c>
      <c r="C3">
        <v>0.1</v>
      </c>
      <c r="D3">
        <v>0.1</v>
      </c>
      <c r="E3">
        <v>0.1</v>
      </c>
      <c r="F3">
        <v>0.1</v>
      </c>
      <c r="G3">
        <v>0.1</v>
      </c>
      <c r="H3">
        <v>0.1</v>
      </c>
      <c r="I3">
        <v>0.1</v>
      </c>
    </row>
    <row r="4" spans="1:9" x14ac:dyDescent="0.2">
      <c r="A4" t="s">
        <v>260</v>
      </c>
      <c r="B4">
        <v>0.1</v>
      </c>
      <c r="C4">
        <v>0.1</v>
      </c>
      <c r="D4">
        <v>0.1</v>
      </c>
      <c r="E4">
        <v>0.1</v>
      </c>
      <c r="F4">
        <v>0.1</v>
      </c>
      <c r="G4">
        <v>0.1</v>
      </c>
      <c r="H4">
        <v>0.1</v>
      </c>
      <c r="I4">
        <v>0.1</v>
      </c>
    </row>
    <row r="5" spans="1:9" x14ac:dyDescent="0.2">
      <c r="A5" t="s">
        <v>191</v>
      </c>
      <c r="B5">
        <v>0.3</v>
      </c>
      <c r="C5">
        <v>0.3</v>
      </c>
      <c r="D5">
        <v>0.3</v>
      </c>
      <c r="E5">
        <v>0.3</v>
      </c>
      <c r="F5">
        <v>0.3</v>
      </c>
      <c r="G5">
        <v>0.3</v>
      </c>
      <c r="H5">
        <v>0.3</v>
      </c>
      <c r="I5">
        <v>0.3</v>
      </c>
    </row>
    <row r="6" spans="1:9" x14ac:dyDescent="0.2">
      <c r="A6" t="s">
        <v>262</v>
      </c>
      <c r="B6">
        <v>0.1</v>
      </c>
      <c r="C6">
        <v>0.1</v>
      </c>
      <c r="D6">
        <v>0.1</v>
      </c>
      <c r="E6">
        <v>0.1</v>
      </c>
      <c r="F6">
        <v>0.1</v>
      </c>
      <c r="G6">
        <v>0.1</v>
      </c>
      <c r="H6">
        <v>0.1</v>
      </c>
      <c r="I6">
        <v>0.1</v>
      </c>
    </row>
    <row r="7" spans="1:9" x14ac:dyDescent="0.2">
      <c r="A7" t="s">
        <v>263</v>
      </c>
      <c r="B7">
        <v>0.1</v>
      </c>
      <c r="C7">
        <v>0.1</v>
      </c>
      <c r="D7">
        <v>0.1</v>
      </c>
      <c r="E7">
        <v>0.1</v>
      </c>
      <c r="F7">
        <v>0.1</v>
      </c>
      <c r="G7">
        <v>0.1</v>
      </c>
      <c r="H7">
        <v>0.1</v>
      </c>
      <c r="I7">
        <v>0.1</v>
      </c>
    </row>
    <row r="8" spans="1:9" x14ac:dyDescent="0.2">
      <c r="A8" t="s">
        <v>265</v>
      </c>
      <c r="B8">
        <v>0.1</v>
      </c>
      <c r="C8">
        <v>0.1</v>
      </c>
      <c r="D8">
        <v>0.1</v>
      </c>
      <c r="E8">
        <v>0.1</v>
      </c>
      <c r="F8">
        <v>0.1</v>
      </c>
      <c r="G8">
        <v>0.1</v>
      </c>
      <c r="H8">
        <v>0.1</v>
      </c>
      <c r="I8">
        <v>0.1</v>
      </c>
    </row>
    <row r="9" spans="1:9" x14ac:dyDescent="0.2">
      <c r="A9" t="s">
        <v>264</v>
      </c>
      <c r="B9">
        <v>0.1</v>
      </c>
      <c r="C9">
        <v>0.1</v>
      </c>
      <c r="D9">
        <v>0.1</v>
      </c>
      <c r="E9">
        <v>0.1</v>
      </c>
      <c r="F9">
        <v>0.1</v>
      </c>
      <c r="G9">
        <v>0.1</v>
      </c>
      <c r="H9">
        <v>0.1</v>
      </c>
      <c r="I9">
        <v>0.1</v>
      </c>
    </row>
    <row r="10" spans="1:9" x14ac:dyDescent="0.2">
      <c r="B10">
        <f>SUM(B2:B9)</f>
        <v>1</v>
      </c>
      <c r="C10">
        <f t="shared" ref="C10:I10" si="0">SUM(C2:C9)</f>
        <v>1</v>
      </c>
      <c r="D10">
        <f t="shared" si="0"/>
        <v>1</v>
      </c>
      <c r="E10">
        <f t="shared" si="0"/>
        <v>1</v>
      </c>
      <c r="F10">
        <f t="shared" si="0"/>
        <v>1</v>
      </c>
      <c r="G10">
        <f t="shared" si="0"/>
        <v>1</v>
      </c>
      <c r="H10">
        <f t="shared" si="0"/>
        <v>1</v>
      </c>
      <c r="I10">
        <f t="shared" si="0"/>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269</v>
      </c>
      <c r="C1" t="s">
        <v>270</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B1"/>
  <sheetViews>
    <sheetView workbookViewId="0">
      <selection activeCell="C8" sqref="C8"/>
    </sheetView>
  </sheetViews>
  <sheetFormatPr baseColWidth="10" defaultRowHeight="16" x14ac:dyDescent="0.2"/>
  <sheetData>
    <row r="1" spans="1:2" x14ac:dyDescent="0.2">
      <c r="A1" t="s">
        <v>351</v>
      </c>
      <c r="B1" s="37" t="s">
        <v>149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ProductionCapacities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2024-11-18T15:05:18Z</dcterms:modified>
</cp:coreProperties>
</file>