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D67F16C1-B0DD-BB4D-8F8F-F8887FE8A70A}" xr6:coauthVersionLast="47" xr6:coauthVersionMax="47" xr10:uidLastSave="{00000000-0000-0000-0000-000000000000}"/>
  <bookViews>
    <workbookView xWindow="0" yWindow="500" windowWidth="51200" windowHeight="26860" firstSheet="1" activeTab="7"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ProductionCapacities" sheetId="15" r:id="rId15"/>
    <sheet name="Extra" sheetId="17" r:id="rId16"/>
  </sheets>
  <definedNames>
    <definedName name="_xlnm._FilterDatabase" localSheetId="9" hidden="1">Arcs!$A$1:$N$54</definedName>
    <definedName name="_xlnm._FilterDatabase" localSheetId="2" hidden="1">Nodes!$A$2:$AI$2</definedName>
    <definedName name="_xlnm._FilterDatabase" localSheetId="14"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2" i="11" l="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FY10" i="9"/>
  <c r="FZ10" i="9"/>
  <c r="GA10" i="9"/>
  <c r="GB10" i="9"/>
  <c r="GC10" i="9"/>
  <c r="FW11" i="9"/>
  <c r="FX11" i="9"/>
  <c r="FY11" i="9"/>
  <c r="FZ11" i="9"/>
  <c r="GA11" i="9"/>
  <c r="GB11" i="9"/>
  <c r="GC11" i="9"/>
  <c r="FW12" i="9"/>
  <c r="FX12" i="9"/>
  <c r="FY12" i="9"/>
  <c r="FZ12" i="9"/>
  <c r="GA12" i="9"/>
  <c r="GB12" i="9"/>
  <c r="GC12" i="9"/>
  <c r="FW13" i="9"/>
  <c r="FX13" i="9"/>
  <c r="FY13" i="9"/>
  <c r="FZ13" i="9"/>
  <c r="GA13" i="9"/>
  <c r="GB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I10" i="9"/>
  <c r="FJ10" i="9"/>
  <c r="FK10" i="9"/>
  <c r="FL10" i="9"/>
  <c r="FM10" i="9"/>
  <c r="FG11" i="9"/>
  <c r="FH11" i="9"/>
  <c r="FI11" i="9"/>
  <c r="FJ11" i="9"/>
  <c r="FK11" i="9"/>
  <c r="FL11" i="9"/>
  <c r="FM11" i="9"/>
  <c r="FG12" i="9"/>
  <c r="FH12" i="9"/>
  <c r="FI12" i="9"/>
  <c r="FJ12" i="9"/>
  <c r="FK12" i="9"/>
  <c r="FL12" i="9"/>
  <c r="FM12" i="9"/>
  <c r="FG13" i="9"/>
  <c r="FH13" i="9"/>
  <c r="FI13" i="9"/>
  <c r="FJ13" i="9"/>
  <c r="FK13" i="9"/>
  <c r="FL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S10" i="9"/>
  <c r="ET10" i="9"/>
  <c r="EU10" i="9"/>
  <c r="EV10" i="9"/>
  <c r="EW10" i="9"/>
  <c r="EQ11" i="9"/>
  <c r="ER11" i="9"/>
  <c r="ES11" i="9"/>
  <c r="ET11" i="9"/>
  <c r="EU11" i="9"/>
  <c r="EV11" i="9"/>
  <c r="EW11" i="9"/>
  <c r="EQ12" i="9"/>
  <c r="ER12" i="9"/>
  <c r="ES12" i="9"/>
  <c r="ET12" i="9"/>
  <c r="EU12" i="9"/>
  <c r="EV12" i="9"/>
  <c r="EW12" i="9"/>
  <c r="EQ13" i="9"/>
  <c r="ER13" i="9"/>
  <c r="ES13" i="9"/>
  <c r="ET13" i="9"/>
  <c r="EU13" i="9"/>
  <c r="EV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C10" i="9"/>
  <c r="ED10" i="9"/>
  <c r="EE10" i="9"/>
  <c r="EF10" i="9"/>
  <c r="EG10" i="9"/>
  <c r="EA11" i="9"/>
  <c r="EB11" i="9"/>
  <c r="EC11" i="9"/>
  <c r="ED11" i="9"/>
  <c r="EE11" i="9"/>
  <c r="EF11" i="9"/>
  <c r="EG11" i="9"/>
  <c r="EA12" i="9"/>
  <c r="EB12" i="9"/>
  <c r="EC12" i="9"/>
  <c r="ED12" i="9"/>
  <c r="EE12" i="9"/>
  <c r="EF12" i="9"/>
  <c r="EG12" i="9"/>
  <c r="EA13" i="9"/>
  <c r="EB13" i="9"/>
  <c r="EC13" i="9"/>
  <c r="ED13" i="9"/>
  <c r="EE13" i="9"/>
  <c r="EF13" i="9"/>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M10" i="9"/>
  <c r="DN10" i="9"/>
  <c r="DO10" i="9"/>
  <c r="DP10" i="9"/>
  <c r="DQ10" i="9"/>
  <c r="DK11" i="9"/>
  <c r="DL11" i="9"/>
  <c r="DM11" i="9"/>
  <c r="DN11" i="9"/>
  <c r="DO11" i="9"/>
  <c r="DP11" i="9"/>
  <c r="DQ11" i="9"/>
  <c r="DK12" i="9"/>
  <c r="DL12" i="9"/>
  <c r="DM12" i="9"/>
  <c r="DN12" i="9"/>
  <c r="DO12" i="9"/>
  <c r="DP12" i="9"/>
  <c r="DQ12" i="9"/>
  <c r="DK13" i="9"/>
  <c r="DL13" i="9"/>
  <c r="DM13" i="9"/>
  <c r="DN13" i="9"/>
  <c r="DO13" i="9"/>
  <c r="DP13" i="9"/>
  <c r="DQ13" i="9"/>
  <c r="DJ7" i="9"/>
  <c r="DJ8" i="9"/>
  <c r="DJ9" i="9"/>
  <c r="DJ10" i="9"/>
  <c r="DJ11" i="9"/>
  <c r="DJ12" i="9"/>
  <c r="DJ13" i="9"/>
  <c r="CZ13" i="9"/>
  <c r="CU12" i="9"/>
  <c r="CV12" i="9"/>
  <c r="CW12" i="9"/>
  <c r="CX12" i="9"/>
  <c r="CY12" i="9"/>
  <c r="CZ12" i="9"/>
  <c r="DA12" i="9"/>
  <c r="CU13" i="9"/>
  <c r="CV13" i="9"/>
  <c r="CW13" i="9"/>
  <c r="CX13" i="9"/>
  <c r="CY13" i="9"/>
  <c r="DA13" i="9"/>
  <c r="CT13" i="9"/>
  <c r="CE11" i="9"/>
  <c r="CF11" i="9"/>
  <c r="CV11" i="9" s="1"/>
  <c r="CG11" i="9"/>
  <c r="CH11" i="9"/>
  <c r="CX11" i="9" s="1"/>
  <c r="CI11" i="9"/>
  <c r="CJ11" i="9"/>
  <c r="CK11" i="9"/>
  <c r="DA11" i="9" s="1"/>
  <c r="CE12" i="9"/>
  <c r="CF12" i="9"/>
  <c r="CG12" i="9"/>
  <c r="CH12" i="9"/>
  <c r="CI12" i="9"/>
  <c r="CJ12" i="9"/>
  <c r="CK12" i="9"/>
  <c r="CE13" i="9"/>
  <c r="CF13" i="9"/>
  <c r="CG13" i="9"/>
  <c r="CH13" i="9"/>
  <c r="CI13" i="9"/>
  <c r="CJ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W10" i="9"/>
  <c r="CX10" i="9"/>
  <c r="CY10" i="9"/>
  <c r="CZ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G10" i="9"/>
  <c r="CH10" i="9"/>
  <c r="CI10" i="9"/>
  <c r="CJ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Q10" i="9"/>
  <c r="BR10" i="9"/>
  <c r="BS10" i="9"/>
  <c r="BT10" i="9"/>
  <c r="BU10" i="9"/>
  <c r="BO11" i="9"/>
  <c r="BP11" i="9"/>
  <c r="BQ11" i="9"/>
  <c r="BR11" i="9"/>
  <c r="BS11" i="9"/>
  <c r="BT11" i="9"/>
  <c r="BU11" i="9"/>
  <c r="BO12" i="9"/>
  <c r="BP12" i="9"/>
  <c r="BQ12" i="9"/>
  <c r="BR12" i="9"/>
  <c r="BS12" i="9"/>
  <c r="BT12" i="9"/>
  <c r="BU12" i="9"/>
  <c r="BO13" i="9"/>
  <c r="BP13" i="9"/>
  <c r="BQ13" i="9"/>
  <c r="BR13" i="9"/>
  <c r="BS13" i="9"/>
  <c r="BT13" i="9"/>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AL9" i="5"/>
  <c r="AM9" i="5"/>
  <c r="AN9" i="5"/>
  <c r="AO9" i="5"/>
  <c r="AI10" i="5"/>
  <c r="AJ10" i="5"/>
  <c r="AK10" i="5"/>
  <c r="AL10" i="5"/>
  <c r="AM10" i="5"/>
  <c r="AN10" i="5"/>
  <c r="AO10" i="5"/>
  <c r="AI11" i="5"/>
  <c r="AJ11" i="5"/>
  <c r="AK11" i="5"/>
  <c r="AL11" i="5"/>
  <c r="AM11" i="5"/>
  <c r="AN11" i="5"/>
  <c r="AO11" i="5"/>
  <c r="AI12" i="5"/>
  <c r="AJ12" i="5"/>
  <c r="AK12" i="5"/>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V9" i="5"/>
  <c r="W9" i="5"/>
  <c r="X9" i="5"/>
  <c r="Y9" i="5"/>
  <c r="S10" i="5"/>
  <c r="T10" i="5"/>
  <c r="U10" i="5"/>
  <c r="V10" i="5"/>
  <c r="W10" i="5"/>
  <c r="X10" i="5"/>
  <c r="Y10" i="5"/>
  <c r="S11" i="5"/>
  <c r="T11" i="5"/>
  <c r="U11" i="5"/>
  <c r="V11" i="5"/>
  <c r="W11" i="5"/>
  <c r="X11" i="5"/>
  <c r="Y11" i="5"/>
  <c r="S12" i="5"/>
  <c r="T12" i="5"/>
  <c r="U12" i="5"/>
  <c r="V12" i="5"/>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C10" i="16"/>
  <c r="K8" i="16"/>
  <c r="K3" i="16"/>
  <c r="K4" i="16"/>
  <c r="K5" i="16"/>
  <c r="K6" i="16"/>
  <c r="K7" i="16"/>
  <c r="K9" i="16"/>
  <c r="K2" i="16"/>
  <c r="J61" i="1"/>
  <c r="K61" i="1"/>
  <c r="O61" i="1" s="1" a="1"/>
  <c r="O61" i="1" s="1"/>
  <c r="L61" i="1"/>
  <c r="P61" i="1" s="1" a="1"/>
  <c r="P61" i="1" s="1"/>
  <c r="J56" i="1"/>
  <c r="K56" i="1"/>
  <c r="L56" i="1"/>
  <c r="P56" i="1" s="1" a="1"/>
  <c r="P56" i="1" s="1"/>
  <c r="J57" i="1"/>
  <c r="K57" i="1"/>
  <c r="Q57" i="1" s="1"/>
  <c r="L57" i="1"/>
  <c r="P57" i="1" s="1" a="1"/>
  <c r="P57" i="1" s="1"/>
  <c r="J58" i="1"/>
  <c r="K58" i="1"/>
  <c r="O58" i="1" s="1" a="1"/>
  <c r="O58" i="1" s="1"/>
  <c r="L58" i="1"/>
  <c r="P58" i="1" s="1" a="1"/>
  <c r="P58" i="1" s="1"/>
  <c r="J59" i="1"/>
  <c r="K59" i="1"/>
  <c r="Q59" i="1" s="1"/>
  <c r="L59" i="1"/>
  <c r="P59" i="1" s="1" a="1"/>
  <c r="P59" i="1" s="1"/>
  <c r="J60" i="1"/>
  <c r="K60" i="1"/>
  <c r="L60" i="1"/>
  <c r="P60" i="1" s="1" a="1"/>
  <c r="P60" i="1" s="1"/>
  <c r="K55" i="1"/>
  <c r="Q55" i="1" s="1"/>
  <c r="L55" i="1"/>
  <c r="P55" i="1" s="1" a="1"/>
  <c r="P55" i="1" s="1"/>
  <c r="J55" i="1"/>
  <c r="K53" i="1"/>
  <c r="O53" i="1" s="1" a="1"/>
  <c r="O53" i="1" s="1"/>
  <c r="L53" i="1"/>
  <c r="P53" i="1" s="1" a="1"/>
  <c r="P53" i="1" s="1"/>
  <c r="K54" i="1"/>
  <c r="Q54" i="1" s="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G15" i="3" s="1" a="1"/>
  <c r="G15" i="3" s="1"/>
  <c r="I45" i="2"/>
  <c r="I46" i="2"/>
  <c r="I47" i="2"/>
  <c r="A15" i="3" s="1" a="1"/>
  <c r="A15" i="3" s="1"/>
  <c r="I48" i="2"/>
  <c r="I49" i="2"/>
  <c r="I50" i="2"/>
  <c r="I51" i="2"/>
  <c r="I52" i="2"/>
  <c r="I53" i="2"/>
  <c r="I54" i="2"/>
  <c r="I55" i="2"/>
  <c r="I56" i="2"/>
  <c r="I57" i="2"/>
  <c r="I58" i="2"/>
  <c r="I59" i="2"/>
  <c r="I60" i="2"/>
  <c r="I61" i="2"/>
  <c r="I3" i="2"/>
  <c r="K48" i="1"/>
  <c r="O48" i="1" s="1" a="1"/>
  <c r="O48" i="1" s="1"/>
  <c r="L48" i="1"/>
  <c r="P48" i="1" s="1" a="1"/>
  <c r="P48" i="1" s="1"/>
  <c r="K49" i="1"/>
  <c r="Q49" i="1" s="1"/>
  <c r="L49" i="1"/>
  <c r="P49" i="1" s="1" a="1"/>
  <c r="P49" i="1" s="1"/>
  <c r="L8" i="1"/>
  <c r="P8" i="1" s="1" a="1"/>
  <c r="P8" i="1" s="1"/>
  <c r="K8" i="1"/>
  <c r="J8" i="1"/>
  <c r="Q56" i="1" l="1"/>
  <c r="Q50" i="1"/>
  <c r="Q8" i="1"/>
  <c r="Q60" i="1"/>
  <c r="O57" i="1" a="1"/>
  <c r="O57" i="1" s="1"/>
  <c r="H57" i="1" s="1"/>
  <c r="O54" i="1" a="1"/>
  <c r="O54" i="1" s="1"/>
  <c r="H54" i="1" s="1"/>
  <c r="O60" i="1" a="1"/>
  <c r="O60" i="1" s="1"/>
  <c r="Q61" i="1"/>
  <c r="H61" i="1" s="1"/>
  <c r="Q53" i="1"/>
  <c r="H53" i="1" s="1"/>
  <c r="O50" i="1" a="1"/>
  <c r="O50" i="1" s="1"/>
  <c r="H50" i="1" s="1"/>
  <c r="Q52" i="1"/>
  <c r="H52" i="1" s="1"/>
  <c r="O59" i="1" a="1"/>
  <c r="O59" i="1" s="1"/>
  <c r="H59" i="1" s="1"/>
  <c r="O56" i="1" a="1"/>
  <c r="O56" i="1" s="1"/>
  <c r="H56" i="1" s="1"/>
  <c r="O8" i="1" a="1"/>
  <c r="O8" i="1" s="1"/>
  <c r="Q51" i="1"/>
  <c r="H51" i="1" s="1"/>
  <c r="O49" i="1" a="1"/>
  <c r="O49" i="1" s="1"/>
  <c r="H49" i="1" s="1"/>
  <c r="Q58" i="1"/>
  <c r="H58" i="1" s="1"/>
  <c r="O55" i="1" a="1"/>
  <c r="O55" i="1" s="1"/>
  <c r="H55" i="1" s="1"/>
  <c r="Q48" i="1"/>
  <c r="H48" i="1" s="1"/>
  <c r="I64" i="2"/>
  <c r="C15" i="3" a="1"/>
  <c r="C15" i="3" s="1"/>
  <c r="H15" i="3" a="1"/>
  <c r="H15" i="3" s="1"/>
  <c r="D15" i="3" a="1"/>
  <c r="D15" i="3" s="1"/>
  <c r="B15" i="3" a="1"/>
  <c r="B15" i="3" s="1"/>
  <c r="F15" i="3" a="1"/>
  <c r="F15" i="3" s="1"/>
  <c r="E15" i="3" a="1"/>
  <c r="E15" i="3" s="1"/>
  <c r="D10" i="16"/>
  <c r="E10" i="16"/>
  <c r="F10" i="16"/>
  <c r="G10" i="16"/>
  <c r="H10" i="16"/>
  <c r="I10" i="16"/>
  <c r="B10" i="16"/>
  <c r="H8" i="1" l="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H40" i="1" s="1"/>
  <c r="O19" i="1" a="1"/>
  <c r="O19" i="1" s="1"/>
  <c r="Q19" i="1"/>
  <c r="Q11" i="1"/>
  <c r="O11" i="1" a="1"/>
  <c r="O11" i="1" s="1"/>
  <c r="H11" i="1" s="1"/>
  <c r="Q47" i="1"/>
  <c r="O47" i="1" a="1"/>
  <c r="O47" i="1" s="1"/>
  <c r="Q39" i="1"/>
  <c r="O39" i="1" a="1"/>
  <c r="O39" i="1" s="1"/>
  <c r="H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H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GL5" i="9" l="1"/>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<sst xmlns="http://schemas.openxmlformats.org/spreadsheetml/2006/main" count="773" uniqueCount="341">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</sst>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7">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zoomScale="108" zoomScaleNormal="108" workbookViewId="0">
      <selection activeCell="U7" sqref="U7"/>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5" t="s">
        <v>136</v>
      </c>
      <c r="H1" s="55"/>
      <c r="I1" s="55"/>
      <c r="J1" s="55"/>
      <c r="K1" s="55"/>
      <c r="L1" s="55"/>
      <c r="M1" s="55"/>
      <c r="N1" s="55"/>
      <c r="O1" s="55"/>
      <c r="P1" s="55"/>
      <c r="Q1" s="55"/>
      <c r="R1" s="55"/>
      <c r="S1" s="55"/>
      <c r="T1" s="55"/>
      <c r="U1" s="55"/>
      <c r="V1" s="56" t="s">
        <v>215</v>
      </c>
      <c r="W1" s="56"/>
      <c r="X1" s="56"/>
      <c r="Y1" s="56"/>
      <c r="Z1" s="56"/>
      <c r="AA1" s="56"/>
      <c r="AB1" s="56"/>
      <c r="AC1" s="56"/>
      <c r="AD1" s="56"/>
      <c r="AE1" s="56"/>
      <c r="AF1" s="56"/>
      <c r="AG1" s="56"/>
      <c r="AH1" s="56"/>
      <c r="AI1" s="56"/>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v>3</v>
      </c>
      <c r="P3" s="2">
        <v>5</v>
      </c>
      <c r="Q3" s="2">
        <v>5</v>
      </c>
      <c r="R3" s="2">
        <v>5.2</v>
      </c>
      <c r="S3" s="2">
        <v>5.2</v>
      </c>
      <c r="T3" s="2">
        <v>5.4</v>
      </c>
      <c r="U3" s="2">
        <v>5.4</v>
      </c>
      <c r="V3" s="3">
        <v>5</v>
      </c>
      <c r="W3" s="3">
        <v>5</v>
      </c>
      <c r="X3" s="3">
        <v>0</v>
      </c>
      <c r="Y3" s="3">
        <v>0</v>
      </c>
      <c r="Z3" s="3">
        <v>0</v>
      </c>
      <c r="AA3" s="3">
        <v>1</v>
      </c>
      <c r="AB3" s="3">
        <v>0</v>
      </c>
      <c r="AC3" s="3">
        <v>1</v>
      </c>
      <c r="AD3" s="3">
        <v>1</v>
      </c>
      <c r="AE3" s="3">
        <v>1</v>
      </c>
      <c r="AF3" s="3">
        <v>3</v>
      </c>
      <c r="AG3" s="3">
        <v>3</v>
      </c>
      <c r="AH3" s="3">
        <v>5</v>
      </c>
      <c r="AI3" s="3">
        <v>5</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v>3</v>
      </c>
      <c r="P4" s="2">
        <v>5</v>
      </c>
      <c r="Q4" s="2">
        <v>5</v>
      </c>
      <c r="R4" s="2">
        <v>5.2</v>
      </c>
      <c r="S4" s="2">
        <v>5.2</v>
      </c>
      <c r="T4" s="2">
        <v>5.4</v>
      </c>
      <c r="U4" s="2">
        <v>5.4</v>
      </c>
      <c r="V4" s="3">
        <v>5</v>
      </c>
      <c r="W4" s="3">
        <v>5</v>
      </c>
      <c r="X4" s="3">
        <v>0</v>
      </c>
      <c r="Y4" s="3">
        <v>0</v>
      </c>
      <c r="Z4" s="3">
        <v>0</v>
      </c>
      <c r="AA4" s="3">
        <v>1</v>
      </c>
      <c r="AB4" s="3">
        <v>0</v>
      </c>
      <c r="AC4" s="3">
        <v>1</v>
      </c>
      <c r="AD4" s="3">
        <v>1</v>
      </c>
      <c r="AE4" s="3">
        <v>1</v>
      </c>
      <c r="AF4" s="3">
        <v>3</v>
      </c>
      <c r="AG4" s="3">
        <v>3</v>
      </c>
      <c r="AH4" s="3">
        <v>5</v>
      </c>
      <c r="AI4" s="3">
        <v>5</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v>3</v>
      </c>
      <c r="P5" s="2">
        <v>5</v>
      </c>
      <c r="Q5" s="2">
        <v>5</v>
      </c>
      <c r="R5" s="2">
        <v>5.2</v>
      </c>
      <c r="S5" s="2">
        <v>5.2</v>
      </c>
      <c r="T5" s="2">
        <v>5.4</v>
      </c>
      <c r="U5" s="2">
        <v>5.4</v>
      </c>
      <c r="V5" s="3">
        <v>5</v>
      </c>
      <c r="W5" s="3">
        <v>5</v>
      </c>
      <c r="X5" s="3">
        <v>0</v>
      </c>
      <c r="Y5" s="3">
        <v>0</v>
      </c>
      <c r="Z5" s="3">
        <v>0</v>
      </c>
      <c r="AA5" s="3">
        <v>1</v>
      </c>
      <c r="AB5" s="3">
        <v>0</v>
      </c>
      <c r="AC5" s="3">
        <v>1</v>
      </c>
      <c r="AD5" s="3">
        <v>1</v>
      </c>
      <c r="AE5" s="3">
        <v>1</v>
      </c>
      <c r="AF5" s="3">
        <v>3</v>
      </c>
      <c r="AG5" s="3">
        <v>3</v>
      </c>
      <c r="AH5" s="3">
        <v>5</v>
      </c>
      <c r="AI5" s="3">
        <v>5</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v>3</v>
      </c>
      <c r="P6" s="2">
        <v>5</v>
      </c>
      <c r="Q6" s="2">
        <v>5</v>
      </c>
      <c r="R6" s="2">
        <v>5.2</v>
      </c>
      <c r="S6" s="2">
        <v>5.2</v>
      </c>
      <c r="T6" s="2">
        <v>5.4</v>
      </c>
      <c r="U6" s="2">
        <v>5.4</v>
      </c>
      <c r="V6" s="3">
        <v>5</v>
      </c>
      <c r="W6" s="3">
        <v>5</v>
      </c>
      <c r="X6" s="3">
        <v>0</v>
      </c>
      <c r="Y6" s="3">
        <v>0</v>
      </c>
      <c r="Z6" s="3">
        <v>0</v>
      </c>
      <c r="AA6" s="3">
        <v>1</v>
      </c>
      <c r="AB6" s="3">
        <v>0</v>
      </c>
      <c r="AC6" s="3">
        <v>1</v>
      </c>
      <c r="AD6" s="3">
        <v>1</v>
      </c>
      <c r="AE6" s="3">
        <v>1</v>
      </c>
      <c r="AF6" s="3">
        <v>3</v>
      </c>
      <c r="AG6" s="3">
        <v>3</v>
      </c>
      <c r="AH6" s="3">
        <v>5</v>
      </c>
      <c r="AI6" s="3">
        <v>5</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v>3</v>
      </c>
      <c r="P7" s="2">
        <v>5</v>
      </c>
      <c r="Q7" s="2">
        <v>5</v>
      </c>
      <c r="R7" s="2">
        <v>5.2</v>
      </c>
      <c r="S7" s="2">
        <v>5.2</v>
      </c>
      <c r="T7" s="2">
        <v>5.4</v>
      </c>
      <c r="U7" s="2">
        <v>5.4</v>
      </c>
      <c r="V7" s="3">
        <v>5</v>
      </c>
      <c r="W7" s="3">
        <v>5</v>
      </c>
      <c r="X7" s="3">
        <v>0</v>
      </c>
      <c r="Y7" s="3">
        <v>0</v>
      </c>
      <c r="Z7" s="3">
        <v>0</v>
      </c>
      <c r="AA7" s="3">
        <v>1</v>
      </c>
      <c r="AB7" s="3">
        <v>0</v>
      </c>
      <c r="AC7" s="3">
        <v>1</v>
      </c>
      <c r="AD7" s="3">
        <v>1</v>
      </c>
      <c r="AE7" s="3">
        <v>1</v>
      </c>
      <c r="AF7" s="3">
        <v>3</v>
      </c>
      <c r="AG7" s="3">
        <v>3</v>
      </c>
      <c r="AH7" s="3">
        <v>5</v>
      </c>
      <c r="AI7" s="3">
        <v>5</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v>3</v>
      </c>
      <c r="P8" s="2">
        <v>5</v>
      </c>
      <c r="Q8" s="2">
        <v>5</v>
      </c>
      <c r="R8" s="2">
        <v>5.2</v>
      </c>
      <c r="S8" s="2">
        <v>5.2</v>
      </c>
      <c r="T8" s="2">
        <v>5.4</v>
      </c>
      <c r="U8" s="2">
        <v>5.4</v>
      </c>
      <c r="V8" s="3">
        <v>5</v>
      </c>
      <c r="W8" s="3">
        <v>5</v>
      </c>
      <c r="X8" s="3">
        <v>0</v>
      </c>
      <c r="Y8" s="3">
        <v>0</v>
      </c>
      <c r="Z8" s="3">
        <v>0</v>
      </c>
      <c r="AA8" s="3">
        <v>1</v>
      </c>
      <c r="AB8" s="3">
        <v>0</v>
      </c>
      <c r="AC8" s="3">
        <v>1</v>
      </c>
      <c r="AD8" s="3">
        <v>1</v>
      </c>
      <c r="AE8" s="3">
        <v>1</v>
      </c>
      <c r="AF8" s="3">
        <v>3</v>
      </c>
      <c r="AG8" s="3">
        <v>3</v>
      </c>
      <c r="AH8" s="3">
        <v>5</v>
      </c>
      <c r="AI8" s="3">
        <v>5</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v>3</v>
      </c>
      <c r="P9" s="2">
        <v>5</v>
      </c>
      <c r="Q9" s="2">
        <v>5</v>
      </c>
      <c r="R9" s="2">
        <v>5.2</v>
      </c>
      <c r="S9" s="2">
        <v>5.2</v>
      </c>
      <c r="T9" s="2">
        <v>5.4</v>
      </c>
      <c r="U9" s="2">
        <v>5.4</v>
      </c>
      <c r="V9" s="3">
        <v>5</v>
      </c>
      <c r="W9" s="3">
        <v>5</v>
      </c>
      <c r="X9" s="3">
        <v>0</v>
      </c>
      <c r="Y9" s="3">
        <v>0</v>
      </c>
      <c r="Z9" s="3">
        <v>0</v>
      </c>
      <c r="AA9" s="3">
        <v>1</v>
      </c>
      <c r="AB9" s="3">
        <v>0</v>
      </c>
      <c r="AC9" s="3">
        <v>1</v>
      </c>
      <c r="AD9" s="3">
        <v>1</v>
      </c>
      <c r="AE9" s="3">
        <v>1</v>
      </c>
      <c r="AF9" s="3">
        <v>3</v>
      </c>
      <c r="AG9" s="3">
        <v>3</v>
      </c>
      <c r="AH9" s="3">
        <v>5</v>
      </c>
      <c r="AI9" s="3">
        <v>5</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v>3</v>
      </c>
      <c r="P10" s="2">
        <v>5</v>
      </c>
      <c r="Q10" s="2">
        <v>5</v>
      </c>
      <c r="R10" s="2">
        <v>5.2</v>
      </c>
      <c r="S10" s="2">
        <v>5.2</v>
      </c>
      <c r="T10" s="2">
        <v>5.4</v>
      </c>
      <c r="U10" s="2">
        <v>5.4</v>
      </c>
      <c r="V10" s="3">
        <v>5</v>
      </c>
      <c r="W10" s="3">
        <v>5</v>
      </c>
      <c r="X10" s="3">
        <v>0</v>
      </c>
      <c r="Y10" s="3">
        <v>0</v>
      </c>
      <c r="Z10" s="3">
        <v>0</v>
      </c>
      <c r="AA10" s="3">
        <v>1</v>
      </c>
      <c r="AB10" s="3">
        <v>0</v>
      </c>
      <c r="AC10" s="3">
        <v>1</v>
      </c>
      <c r="AD10" s="3">
        <v>1</v>
      </c>
      <c r="AE10" s="3">
        <v>1</v>
      </c>
      <c r="AF10" s="3">
        <v>3</v>
      </c>
      <c r="AG10" s="3">
        <v>3</v>
      </c>
      <c r="AH10" s="3">
        <v>5</v>
      </c>
      <c r="AI10" s="3">
        <v>5</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v>3</v>
      </c>
      <c r="P11" s="2">
        <v>5</v>
      </c>
      <c r="Q11" s="2">
        <v>5</v>
      </c>
      <c r="R11" s="2">
        <v>5.2</v>
      </c>
      <c r="S11" s="2">
        <v>5.2</v>
      </c>
      <c r="T11" s="2">
        <v>5.4</v>
      </c>
      <c r="U11" s="2">
        <v>5.4</v>
      </c>
      <c r="V11" s="3">
        <v>5</v>
      </c>
      <c r="W11" s="3">
        <v>5</v>
      </c>
      <c r="X11" s="3">
        <v>0</v>
      </c>
      <c r="Y11" s="3">
        <v>0</v>
      </c>
      <c r="Z11" s="3">
        <v>0</v>
      </c>
      <c r="AA11" s="3">
        <v>1</v>
      </c>
      <c r="AB11" s="3">
        <v>0</v>
      </c>
      <c r="AC11" s="3">
        <v>1</v>
      </c>
      <c r="AD11" s="3">
        <v>1</v>
      </c>
      <c r="AE11" s="3">
        <v>1</v>
      </c>
      <c r="AF11" s="3">
        <v>3</v>
      </c>
      <c r="AG11" s="3">
        <v>3</v>
      </c>
      <c r="AH11" s="3">
        <v>5</v>
      </c>
      <c r="AI11" s="3">
        <v>5</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v>3</v>
      </c>
      <c r="P12" s="2">
        <v>5</v>
      </c>
      <c r="Q12" s="2">
        <v>5</v>
      </c>
      <c r="R12" s="2">
        <v>5.2</v>
      </c>
      <c r="S12" s="2">
        <v>5.2</v>
      </c>
      <c r="T12" s="2">
        <v>5.4</v>
      </c>
      <c r="U12" s="2">
        <v>5.4</v>
      </c>
      <c r="V12" s="3">
        <v>5</v>
      </c>
      <c r="W12" s="3">
        <v>5</v>
      </c>
      <c r="X12" s="3">
        <v>0</v>
      </c>
      <c r="Y12" s="3">
        <v>0</v>
      </c>
      <c r="Z12" s="3">
        <v>0</v>
      </c>
      <c r="AA12" s="3">
        <v>1</v>
      </c>
      <c r="AB12" s="3">
        <v>0</v>
      </c>
      <c r="AC12" s="3">
        <v>1</v>
      </c>
      <c r="AD12" s="3">
        <v>1</v>
      </c>
      <c r="AE12" s="3">
        <v>1</v>
      </c>
      <c r="AF12" s="3">
        <v>3</v>
      </c>
      <c r="AG12" s="3">
        <v>3</v>
      </c>
      <c r="AH12" s="3">
        <v>5</v>
      </c>
      <c r="AI12" s="3">
        <v>5</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v>3</v>
      </c>
      <c r="P13" s="2">
        <v>5</v>
      </c>
      <c r="Q13" s="2">
        <v>5</v>
      </c>
      <c r="R13" s="2">
        <v>5.2</v>
      </c>
      <c r="S13" s="2">
        <v>5.2</v>
      </c>
      <c r="T13" s="2">
        <v>5.4</v>
      </c>
      <c r="U13" s="2">
        <v>5.4</v>
      </c>
      <c r="V13" s="3">
        <v>5</v>
      </c>
      <c r="W13" s="3">
        <v>5</v>
      </c>
      <c r="X13" s="3">
        <v>0</v>
      </c>
      <c r="Y13" s="3">
        <v>0</v>
      </c>
      <c r="Z13" s="3">
        <v>0</v>
      </c>
      <c r="AA13" s="3">
        <v>1</v>
      </c>
      <c r="AB13" s="3">
        <v>0</v>
      </c>
      <c r="AC13" s="3">
        <v>1</v>
      </c>
      <c r="AD13" s="3">
        <v>1</v>
      </c>
      <c r="AE13" s="3">
        <v>1</v>
      </c>
      <c r="AF13" s="3">
        <v>3</v>
      </c>
      <c r="AG13" s="3">
        <v>3</v>
      </c>
      <c r="AH13" s="3">
        <v>5</v>
      </c>
      <c r="AI13" s="3">
        <v>5</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v>3</v>
      </c>
      <c r="P14" s="2">
        <v>5</v>
      </c>
      <c r="Q14" s="2">
        <v>5</v>
      </c>
      <c r="R14" s="2">
        <v>5.2</v>
      </c>
      <c r="S14" s="2">
        <v>5.2</v>
      </c>
      <c r="T14" s="2">
        <v>5.4</v>
      </c>
      <c r="U14" s="2">
        <v>5.4</v>
      </c>
      <c r="V14" s="3">
        <v>5</v>
      </c>
      <c r="W14" s="3">
        <v>5</v>
      </c>
      <c r="X14" s="3">
        <v>0</v>
      </c>
      <c r="Y14" s="3">
        <v>0</v>
      </c>
      <c r="Z14" s="3">
        <v>0</v>
      </c>
      <c r="AA14" s="3">
        <v>1</v>
      </c>
      <c r="AB14" s="3">
        <v>0</v>
      </c>
      <c r="AC14" s="3">
        <v>1</v>
      </c>
      <c r="AD14" s="3">
        <v>1</v>
      </c>
      <c r="AE14" s="3">
        <v>1</v>
      </c>
      <c r="AF14" s="3">
        <v>3</v>
      </c>
      <c r="AG14" s="3">
        <v>3</v>
      </c>
      <c r="AH14" s="3">
        <v>5</v>
      </c>
      <c r="AI14" s="3">
        <v>5</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v>3</v>
      </c>
      <c r="P15" s="2">
        <v>5</v>
      </c>
      <c r="Q15" s="2">
        <v>5</v>
      </c>
      <c r="R15" s="2">
        <v>5.2</v>
      </c>
      <c r="S15" s="2">
        <v>5.2</v>
      </c>
      <c r="T15" s="2">
        <v>5.4</v>
      </c>
      <c r="U15" s="2">
        <v>5.4</v>
      </c>
      <c r="V15" s="3">
        <v>5</v>
      </c>
      <c r="W15" s="3">
        <v>5</v>
      </c>
      <c r="X15" s="3">
        <v>0</v>
      </c>
      <c r="Y15" s="3">
        <v>0</v>
      </c>
      <c r="Z15" s="3">
        <v>0</v>
      </c>
      <c r="AA15" s="3">
        <v>1</v>
      </c>
      <c r="AB15" s="3">
        <v>0</v>
      </c>
      <c r="AC15" s="3">
        <v>1</v>
      </c>
      <c r="AD15" s="3">
        <v>1</v>
      </c>
      <c r="AE15" s="3">
        <v>1</v>
      </c>
      <c r="AF15" s="3">
        <v>3</v>
      </c>
      <c r="AG15" s="3">
        <v>3</v>
      </c>
      <c r="AH15" s="3">
        <v>5</v>
      </c>
      <c r="AI15" s="3">
        <v>5</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v>3</v>
      </c>
      <c r="P16" s="2">
        <v>5</v>
      </c>
      <c r="Q16" s="2">
        <v>5</v>
      </c>
      <c r="R16" s="2">
        <v>5.2</v>
      </c>
      <c r="S16" s="2">
        <v>5.2</v>
      </c>
      <c r="T16" s="2">
        <v>5.4</v>
      </c>
      <c r="U16" s="2">
        <v>5.4</v>
      </c>
      <c r="V16" s="3">
        <v>5</v>
      </c>
      <c r="W16" s="3">
        <v>5</v>
      </c>
      <c r="X16" s="3">
        <v>0</v>
      </c>
      <c r="Y16" s="3">
        <v>0</v>
      </c>
      <c r="Z16" s="3">
        <v>0</v>
      </c>
      <c r="AA16" s="3">
        <v>1</v>
      </c>
      <c r="AB16" s="3">
        <v>0</v>
      </c>
      <c r="AC16" s="3">
        <v>1</v>
      </c>
      <c r="AD16" s="3">
        <v>1</v>
      </c>
      <c r="AE16" s="3">
        <v>1</v>
      </c>
      <c r="AF16" s="3">
        <v>3</v>
      </c>
      <c r="AG16" s="3">
        <v>3</v>
      </c>
      <c r="AH16" s="3">
        <v>5</v>
      </c>
      <c r="AI16" s="3">
        <v>5</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v>3</v>
      </c>
      <c r="P17" s="2">
        <v>5</v>
      </c>
      <c r="Q17" s="2">
        <v>5</v>
      </c>
      <c r="R17" s="2">
        <v>5.2</v>
      </c>
      <c r="S17" s="2">
        <v>5.2</v>
      </c>
      <c r="T17" s="2">
        <v>5.4</v>
      </c>
      <c r="U17" s="2">
        <v>5.4</v>
      </c>
      <c r="V17" s="3">
        <v>5</v>
      </c>
      <c r="W17" s="3">
        <v>5</v>
      </c>
      <c r="X17" s="3">
        <v>0</v>
      </c>
      <c r="Y17" s="3">
        <v>0</v>
      </c>
      <c r="Z17" s="3">
        <v>0</v>
      </c>
      <c r="AA17" s="3">
        <v>1</v>
      </c>
      <c r="AB17" s="3">
        <v>0</v>
      </c>
      <c r="AC17" s="3">
        <v>1</v>
      </c>
      <c r="AD17" s="3">
        <v>1</v>
      </c>
      <c r="AE17" s="3">
        <v>1</v>
      </c>
      <c r="AF17" s="3">
        <v>3</v>
      </c>
      <c r="AG17" s="3">
        <v>3</v>
      </c>
      <c r="AH17" s="3">
        <v>5</v>
      </c>
      <c r="AI17" s="3">
        <v>5</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v>3</v>
      </c>
      <c r="P18" s="2">
        <v>5</v>
      </c>
      <c r="Q18" s="2">
        <v>5</v>
      </c>
      <c r="R18" s="2">
        <v>5.2</v>
      </c>
      <c r="S18" s="2">
        <v>5.2</v>
      </c>
      <c r="T18" s="2">
        <v>5.4</v>
      </c>
      <c r="U18" s="2">
        <v>5.4</v>
      </c>
      <c r="V18" s="3">
        <v>5</v>
      </c>
      <c r="W18" s="3">
        <v>5</v>
      </c>
      <c r="X18" s="3">
        <v>0</v>
      </c>
      <c r="Y18" s="3">
        <v>0</v>
      </c>
      <c r="Z18" s="3">
        <v>0</v>
      </c>
      <c r="AA18" s="3">
        <v>1</v>
      </c>
      <c r="AB18" s="3">
        <v>0</v>
      </c>
      <c r="AC18" s="3">
        <v>1</v>
      </c>
      <c r="AD18" s="3">
        <v>1</v>
      </c>
      <c r="AE18" s="3">
        <v>1</v>
      </c>
      <c r="AF18" s="3">
        <v>3</v>
      </c>
      <c r="AG18" s="3">
        <v>3</v>
      </c>
      <c r="AH18" s="3">
        <v>5</v>
      </c>
      <c r="AI18" s="3">
        <v>5</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v>3</v>
      </c>
      <c r="P19" s="2">
        <v>5</v>
      </c>
      <c r="Q19" s="2">
        <v>5</v>
      </c>
      <c r="R19" s="2">
        <v>5.2</v>
      </c>
      <c r="S19" s="2">
        <v>5.2</v>
      </c>
      <c r="T19" s="2">
        <v>5.4</v>
      </c>
      <c r="U19" s="2">
        <v>5.4</v>
      </c>
      <c r="V19" s="3">
        <v>5</v>
      </c>
      <c r="W19" s="3">
        <v>5</v>
      </c>
      <c r="X19" s="3">
        <v>0</v>
      </c>
      <c r="Y19" s="3">
        <v>0</v>
      </c>
      <c r="Z19" s="3">
        <v>0</v>
      </c>
      <c r="AA19" s="3">
        <v>1</v>
      </c>
      <c r="AB19" s="3">
        <v>0</v>
      </c>
      <c r="AC19" s="3">
        <v>1</v>
      </c>
      <c r="AD19" s="3">
        <v>1</v>
      </c>
      <c r="AE19" s="3">
        <v>1</v>
      </c>
      <c r="AF19" s="3">
        <v>3</v>
      </c>
      <c r="AG19" s="3">
        <v>3</v>
      </c>
      <c r="AH19" s="3">
        <v>5</v>
      </c>
      <c r="AI19" s="3">
        <v>5</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v>3</v>
      </c>
      <c r="P20" s="2">
        <v>5</v>
      </c>
      <c r="Q20" s="2">
        <v>5</v>
      </c>
      <c r="R20" s="2">
        <v>5.2</v>
      </c>
      <c r="S20" s="2">
        <v>5.2</v>
      </c>
      <c r="T20" s="2">
        <v>5.4</v>
      </c>
      <c r="U20" s="2">
        <v>5.4</v>
      </c>
      <c r="V20" s="3">
        <v>5</v>
      </c>
      <c r="W20" s="3">
        <v>5</v>
      </c>
      <c r="X20" s="3">
        <v>0</v>
      </c>
      <c r="Y20" s="3">
        <v>0</v>
      </c>
      <c r="Z20" s="3">
        <v>0</v>
      </c>
      <c r="AA20" s="3">
        <v>1</v>
      </c>
      <c r="AB20" s="3">
        <v>0</v>
      </c>
      <c r="AC20" s="3">
        <v>1</v>
      </c>
      <c r="AD20" s="3">
        <v>1</v>
      </c>
      <c r="AE20" s="3">
        <v>1</v>
      </c>
      <c r="AF20" s="3">
        <v>3</v>
      </c>
      <c r="AG20" s="3">
        <v>3</v>
      </c>
      <c r="AH20" s="3">
        <v>5</v>
      </c>
      <c r="AI20" s="3">
        <v>5</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v>3</v>
      </c>
      <c r="P21" s="2">
        <v>5</v>
      </c>
      <c r="Q21" s="2">
        <v>5</v>
      </c>
      <c r="R21" s="2">
        <v>5.2</v>
      </c>
      <c r="S21" s="2">
        <v>5.2</v>
      </c>
      <c r="T21" s="2">
        <v>5.4</v>
      </c>
      <c r="U21" s="2">
        <v>5.4</v>
      </c>
      <c r="V21" s="3">
        <v>5</v>
      </c>
      <c r="W21" s="3">
        <v>5</v>
      </c>
      <c r="X21" s="3">
        <v>0</v>
      </c>
      <c r="Y21" s="3">
        <v>0</v>
      </c>
      <c r="Z21" s="3">
        <v>0</v>
      </c>
      <c r="AA21" s="3">
        <v>1</v>
      </c>
      <c r="AB21" s="3">
        <v>0</v>
      </c>
      <c r="AC21" s="3">
        <v>1</v>
      </c>
      <c r="AD21" s="3">
        <v>1</v>
      </c>
      <c r="AE21" s="3">
        <v>1</v>
      </c>
      <c r="AF21" s="3">
        <v>3</v>
      </c>
      <c r="AG21" s="3">
        <v>3</v>
      </c>
      <c r="AH21" s="3">
        <v>5</v>
      </c>
      <c r="AI21" s="3">
        <v>5</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v>3</v>
      </c>
      <c r="P22" s="2">
        <v>5</v>
      </c>
      <c r="Q22" s="2">
        <v>5</v>
      </c>
      <c r="R22" s="2">
        <v>5.2</v>
      </c>
      <c r="S22" s="2">
        <v>5.2</v>
      </c>
      <c r="T22" s="2">
        <v>5.4</v>
      </c>
      <c r="U22" s="2">
        <v>5.4</v>
      </c>
      <c r="V22" s="3">
        <v>5</v>
      </c>
      <c r="W22" s="3">
        <v>5</v>
      </c>
      <c r="X22" s="3">
        <v>0</v>
      </c>
      <c r="Y22" s="3">
        <v>0</v>
      </c>
      <c r="Z22" s="3">
        <v>0</v>
      </c>
      <c r="AA22" s="3">
        <v>1</v>
      </c>
      <c r="AB22" s="3">
        <v>0</v>
      </c>
      <c r="AC22" s="3">
        <v>1</v>
      </c>
      <c r="AD22" s="3">
        <v>1</v>
      </c>
      <c r="AE22" s="3">
        <v>1</v>
      </c>
      <c r="AF22" s="3">
        <v>3</v>
      </c>
      <c r="AG22" s="3">
        <v>3</v>
      </c>
      <c r="AH22" s="3">
        <v>5</v>
      </c>
      <c r="AI22" s="3">
        <v>5</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v>3</v>
      </c>
      <c r="P23" s="2">
        <v>5</v>
      </c>
      <c r="Q23" s="2">
        <v>5</v>
      </c>
      <c r="R23" s="2">
        <v>5.2</v>
      </c>
      <c r="S23" s="2">
        <v>5.2</v>
      </c>
      <c r="T23" s="2">
        <v>5.4</v>
      </c>
      <c r="U23" s="2">
        <v>5.4</v>
      </c>
      <c r="V23" s="3">
        <v>5</v>
      </c>
      <c r="W23" s="3">
        <v>5</v>
      </c>
      <c r="X23" s="3">
        <v>0</v>
      </c>
      <c r="Y23" s="3">
        <v>0</v>
      </c>
      <c r="Z23" s="3">
        <v>0</v>
      </c>
      <c r="AA23" s="3">
        <v>1</v>
      </c>
      <c r="AB23" s="3">
        <v>0</v>
      </c>
      <c r="AC23" s="3">
        <v>1</v>
      </c>
      <c r="AD23" s="3">
        <v>1</v>
      </c>
      <c r="AE23" s="3">
        <v>1</v>
      </c>
      <c r="AF23" s="3">
        <v>3</v>
      </c>
      <c r="AG23" s="3">
        <v>3</v>
      </c>
      <c r="AH23" s="3">
        <v>5</v>
      </c>
      <c r="AI23" s="3">
        <v>5</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v>3</v>
      </c>
      <c r="P24" s="2">
        <v>5</v>
      </c>
      <c r="Q24" s="2">
        <v>5</v>
      </c>
      <c r="R24" s="2">
        <v>5.2</v>
      </c>
      <c r="S24" s="2">
        <v>5.2</v>
      </c>
      <c r="T24" s="2">
        <v>5.4</v>
      </c>
      <c r="U24" s="2">
        <v>5.4</v>
      </c>
      <c r="V24" s="3">
        <v>5</v>
      </c>
      <c r="W24" s="3">
        <v>5</v>
      </c>
      <c r="X24" s="3">
        <v>0</v>
      </c>
      <c r="Y24" s="3">
        <v>0</v>
      </c>
      <c r="Z24" s="3">
        <v>0</v>
      </c>
      <c r="AA24" s="3">
        <v>1</v>
      </c>
      <c r="AB24" s="3">
        <v>0</v>
      </c>
      <c r="AC24" s="3">
        <v>1</v>
      </c>
      <c r="AD24" s="3">
        <v>1</v>
      </c>
      <c r="AE24" s="3">
        <v>1</v>
      </c>
      <c r="AF24" s="3">
        <v>3</v>
      </c>
      <c r="AG24" s="3">
        <v>3</v>
      </c>
      <c r="AH24" s="3">
        <v>5</v>
      </c>
      <c r="AI24" s="3">
        <v>5</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v>3</v>
      </c>
      <c r="P25" s="2">
        <v>5</v>
      </c>
      <c r="Q25" s="2">
        <v>5</v>
      </c>
      <c r="R25" s="2">
        <v>5.2</v>
      </c>
      <c r="S25" s="2">
        <v>5.2</v>
      </c>
      <c r="T25" s="2">
        <v>5.4</v>
      </c>
      <c r="U25" s="2">
        <v>5.4</v>
      </c>
      <c r="V25" s="3">
        <v>5</v>
      </c>
      <c r="W25" s="3">
        <v>5</v>
      </c>
      <c r="X25" s="3">
        <v>0</v>
      </c>
      <c r="Y25" s="3">
        <v>0</v>
      </c>
      <c r="Z25" s="3">
        <v>0</v>
      </c>
      <c r="AA25" s="3">
        <v>1</v>
      </c>
      <c r="AB25" s="3">
        <v>0</v>
      </c>
      <c r="AC25" s="3">
        <v>1</v>
      </c>
      <c r="AD25" s="3">
        <v>1</v>
      </c>
      <c r="AE25" s="3">
        <v>1</v>
      </c>
      <c r="AF25" s="3">
        <v>3</v>
      </c>
      <c r="AG25" s="3">
        <v>3</v>
      </c>
      <c r="AH25" s="3">
        <v>5</v>
      </c>
      <c r="AI25" s="3">
        <v>5</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v>3</v>
      </c>
      <c r="P26" s="2">
        <v>5</v>
      </c>
      <c r="Q26" s="2">
        <v>5</v>
      </c>
      <c r="R26" s="2">
        <v>5.2</v>
      </c>
      <c r="S26" s="2">
        <v>5.2</v>
      </c>
      <c r="T26" s="2">
        <v>5.4</v>
      </c>
      <c r="U26" s="2">
        <v>5.4</v>
      </c>
      <c r="V26" s="3">
        <v>5</v>
      </c>
      <c r="W26" s="3">
        <v>5</v>
      </c>
      <c r="X26" s="3">
        <v>0</v>
      </c>
      <c r="Y26" s="3">
        <v>0</v>
      </c>
      <c r="Z26" s="3">
        <v>0</v>
      </c>
      <c r="AA26" s="3">
        <v>1</v>
      </c>
      <c r="AB26" s="3">
        <v>0</v>
      </c>
      <c r="AC26" s="3">
        <v>1</v>
      </c>
      <c r="AD26" s="3">
        <v>1</v>
      </c>
      <c r="AE26" s="3">
        <v>1</v>
      </c>
      <c r="AF26" s="3">
        <v>3</v>
      </c>
      <c r="AG26" s="3">
        <v>3</v>
      </c>
      <c r="AH26" s="3">
        <v>5</v>
      </c>
      <c r="AI26" s="3">
        <v>5</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v>3</v>
      </c>
      <c r="P27" s="2">
        <v>5</v>
      </c>
      <c r="Q27" s="2">
        <v>5</v>
      </c>
      <c r="R27" s="2">
        <v>5.2</v>
      </c>
      <c r="S27" s="2">
        <v>5.2</v>
      </c>
      <c r="T27" s="2">
        <v>5.4</v>
      </c>
      <c r="U27" s="2">
        <v>5.4</v>
      </c>
      <c r="V27" s="3">
        <v>5</v>
      </c>
      <c r="W27" s="3">
        <v>5</v>
      </c>
      <c r="X27" s="3">
        <v>0</v>
      </c>
      <c r="Y27" s="3">
        <v>0</v>
      </c>
      <c r="Z27" s="3">
        <v>0</v>
      </c>
      <c r="AA27" s="3">
        <v>1</v>
      </c>
      <c r="AB27" s="3">
        <v>0</v>
      </c>
      <c r="AC27" s="3">
        <v>1</v>
      </c>
      <c r="AD27" s="3">
        <v>1</v>
      </c>
      <c r="AE27" s="3">
        <v>1</v>
      </c>
      <c r="AF27" s="3">
        <v>3</v>
      </c>
      <c r="AG27" s="3">
        <v>3</v>
      </c>
      <c r="AH27" s="3">
        <v>5</v>
      </c>
      <c r="AI27" s="3">
        <v>5</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v>3</v>
      </c>
      <c r="P28" s="2">
        <v>5</v>
      </c>
      <c r="Q28" s="2">
        <v>5</v>
      </c>
      <c r="R28" s="2">
        <v>5.2</v>
      </c>
      <c r="S28" s="2">
        <v>5.2</v>
      </c>
      <c r="T28" s="2">
        <v>5.4</v>
      </c>
      <c r="U28" s="2">
        <v>5.4</v>
      </c>
      <c r="V28" s="3">
        <v>5</v>
      </c>
      <c r="W28" s="3">
        <v>5</v>
      </c>
      <c r="X28" s="3">
        <v>0</v>
      </c>
      <c r="Y28" s="3">
        <v>0</v>
      </c>
      <c r="Z28" s="3">
        <v>0</v>
      </c>
      <c r="AA28" s="3">
        <v>1</v>
      </c>
      <c r="AB28" s="3">
        <v>0</v>
      </c>
      <c r="AC28" s="3">
        <v>1</v>
      </c>
      <c r="AD28" s="3">
        <v>1</v>
      </c>
      <c r="AE28" s="3">
        <v>1</v>
      </c>
      <c r="AF28" s="3">
        <v>3</v>
      </c>
      <c r="AG28" s="3">
        <v>3</v>
      </c>
      <c r="AH28" s="3">
        <v>5</v>
      </c>
      <c r="AI28" s="3">
        <v>5</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v>3</v>
      </c>
      <c r="P29" s="2">
        <v>5</v>
      </c>
      <c r="Q29" s="2">
        <v>5</v>
      </c>
      <c r="R29" s="2">
        <v>5.2</v>
      </c>
      <c r="S29" s="2">
        <v>5.2</v>
      </c>
      <c r="T29" s="2">
        <v>5.4</v>
      </c>
      <c r="U29" s="2">
        <v>5.4</v>
      </c>
      <c r="V29" s="3">
        <v>5</v>
      </c>
      <c r="W29" s="3">
        <v>5</v>
      </c>
      <c r="X29" s="3">
        <v>0</v>
      </c>
      <c r="Y29" s="3">
        <v>0</v>
      </c>
      <c r="Z29" s="3">
        <v>0</v>
      </c>
      <c r="AA29" s="3">
        <v>1</v>
      </c>
      <c r="AB29" s="3">
        <v>0</v>
      </c>
      <c r="AC29" s="3">
        <v>1</v>
      </c>
      <c r="AD29" s="3">
        <v>1</v>
      </c>
      <c r="AE29" s="3">
        <v>1</v>
      </c>
      <c r="AF29" s="3">
        <v>3</v>
      </c>
      <c r="AG29" s="3">
        <v>3</v>
      </c>
      <c r="AH29" s="3">
        <v>5</v>
      </c>
      <c r="AI29" s="3">
        <v>5</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v>3</v>
      </c>
      <c r="P30" s="2">
        <v>5</v>
      </c>
      <c r="Q30" s="2">
        <v>5</v>
      </c>
      <c r="R30" s="2">
        <v>5.2</v>
      </c>
      <c r="S30" s="2">
        <v>5.2</v>
      </c>
      <c r="T30" s="2">
        <v>5.4</v>
      </c>
      <c r="U30" s="2">
        <v>5.4</v>
      </c>
      <c r="V30" s="3">
        <v>5</v>
      </c>
      <c r="W30" s="3">
        <v>5</v>
      </c>
      <c r="X30" s="3">
        <v>0</v>
      </c>
      <c r="Y30" s="3">
        <v>0</v>
      </c>
      <c r="Z30" s="3">
        <v>0</v>
      </c>
      <c r="AA30" s="3">
        <v>1</v>
      </c>
      <c r="AB30" s="3">
        <v>0</v>
      </c>
      <c r="AC30" s="3">
        <v>1</v>
      </c>
      <c r="AD30" s="3">
        <v>1</v>
      </c>
      <c r="AE30" s="3">
        <v>1</v>
      </c>
      <c r="AF30" s="3">
        <v>3</v>
      </c>
      <c r="AG30" s="3">
        <v>3</v>
      </c>
      <c r="AH30" s="3">
        <v>5</v>
      </c>
      <c r="AI30" s="3">
        <v>5</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v>3</v>
      </c>
      <c r="P31" s="2">
        <v>5</v>
      </c>
      <c r="Q31" s="2">
        <v>5</v>
      </c>
      <c r="R31" s="2">
        <v>5.2</v>
      </c>
      <c r="S31" s="2">
        <v>5.2</v>
      </c>
      <c r="T31" s="2">
        <v>5.4</v>
      </c>
      <c r="U31" s="2">
        <v>5.4</v>
      </c>
      <c r="V31" s="3">
        <v>5</v>
      </c>
      <c r="W31" s="3">
        <v>5</v>
      </c>
      <c r="X31" s="3">
        <v>0</v>
      </c>
      <c r="Y31" s="3">
        <v>0</v>
      </c>
      <c r="Z31" s="3">
        <v>0</v>
      </c>
      <c r="AA31" s="3">
        <v>1</v>
      </c>
      <c r="AB31" s="3">
        <v>0</v>
      </c>
      <c r="AC31" s="3">
        <v>1</v>
      </c>
      <c r="AD31" s="3">
        <v>1</v>
      </c>
      <c r="AE31" s="3">
        <v>1</v>
      </c>
      <c r="AF31" s="3">
        <v>3</v>
      </c>
      <c r="AG31" s="3">
        <v>3</v>
      </c>
      <c r="AH31" s="3">
        <v>5</v>
      </c>
      <c r="AI31" s="3">
        <v>5</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v>3</v>
      </c>
      <c r="P32" s="2">
        <v>5</v>
      </c>
      <c r="Q32" s="2">
        <v>5</v>
      </c>
      <c r="R32" s="2">
        <v>5.2</v>
      </c>
      <c r="S32" s="2">
        <v>5.2</v>
      </c>
      <c r="T32" s="2">
        <v>5.4</v>
      </c>
      <c r="U32" s="2">
        <v>5.4</v>
      </c>
      <c r="V32" s="3">
        <v>5</v>
      </c>
      <c r="W32" s="3">
        <v>5</v>
      </c>
      <c r="X32" s="3">
        <v>0</v>
      </c>
      <c r="Y32" s="3">
        <v>0</v>
      </c>
      <c r="Z32" s="3">
        <v>0</v>
      </c>
      <c r="AA32" s="3">
        <v>1</v>
      </c>
      <c r="AB32" s="3">
        <v>0</v>
      </c>
      <c r="AC32" s="3">
        <v>1</v>
      </c>
      <c r="AD32" s="3">
        <v>1</v>
      </c>
      <c r="AE32" s="3">
        <v>1</v>
      </c>
      <c r="AF32" s="3">
        <v>3</v>
      </c>
      <c r="AG32" s="3">
        <v>3</v>
      </c>
      <c r="AH32" s="3">
        <v>5</v>
      </c>
      <c r="AI32" s="3">
        <v>5</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v>3</v>
      </c>
      <c r="P33" s="2">
        <v>5</v>
      </c>
      <c r="Q33" s="2">
        <v>5</v>
      </c>
      <c r="R33" s="2">
        <v>5.2</v>
      </c>
      <c r="S33" s="2">
        <v>5.2</v>
      </c>
      <c r="T33" s="2">
        <v>5.4</v>
      </c>
      <c r="U33" s="2">
        <v>5.4</v>
      </c>
      <c r="V33" s="3">
        <v>5</v>
      </c>
      <c r="W33" s="3">
        <v>5</v>
      </c>
      <c r="X33" s="3">
        <v>0</v>
      </c>
      <c r="Y33" s="3">
        <v>0</v>
      </c>
      <c r="Z33" s="3">
        <v>0</v>
      </c>
      <c r="AA33" s="3">
        <v>1</v>
      </c>
      <c r="AB33" s="3">
        <v>0</v>
      </c>
      <c r="AC33" s="3">
        <v>1</v>
      </c>
      <c r="AD33" s="3">
        <v>1</v>
      </c>
      <c r="AE33" s="3">
        <v>1</v>
      </c>
      <c r="AF33" s="3">
        <v>3</v>
      </c>
      <c r="AG33" s="3">
        <v>3</v>
      </c>
      <c r="AH33" s="3">
        <v>5</v>
      </c>
      <c r="AI33" s="3">
        <v>5</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v>3</v>
      </c>
      <c r="P34" s="2">
        <v>5</v>
      </c>
      <c r="Q34" s="2">
        <v>5</v>
      </c>
      <c r="R34" s="2">
        <v>5.2</v>
      </c>
      <c r="S34" s="2">
        <v>5.2</v>
      </c>
      <c r="T34" s="2">
        <v>5.4</v>
      </c>
      <c r="U34" s="2">
        <v>5.4</v>
      </c>
      <c r="V34" s="3">
        <v>5</v>
      </c>
      <c r="W34" s="3">
        <v>5</v>
      </c>
      <c r="X34" s="3">
        <v>0</v>
      </c>
      <c r="Y34" s="3">
        <v>0</v>
      </c>
      <c r="Z34" s="3">
        <v>0</v>
      </c>
      <c r="AA34" s="3">
        <v>1</v>
      </c>
      <c r="AB34" s="3">
        <v>0</v>
      </c>
      <c r="AC34" s="3">
        <v>1</v>
      </c>
      <c r="AD34" s="3">
        <v>1</v>
      </c>
      <c r="AE34" s="3">
        <v>1</v>
      </c>
      <c r="AF34" s="3">
        <v>3</v>
      </c>
      <c r="AG34" s="3">
        <v>3</v>
      </c>
      <c r="AH34" s="3">
        <v>5</v>
      </c>
      <c r="AI34" s="3">
        <v>5</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v>3</v>
      </c>
      <c r="P35" s="2">
        <v>5</v>
      </c>
      <c r="Q35" s="2">
        <v>5</v>
      </c>
      <c r="R35" s="2">
        <v>5.2</v>
      </c>
      <c r="S35" s="2">
        <v>5.2</v>
      </c>
      <c r="T35" s="2">
        <v>5.4</v>
      </c>
      <c r="U35" s="2">
        <v>5.4</v>
      </c>
      <c r="V35" s="3">
        <v>5</v>
      </c>
      <c r="W35" s="3">
        <v>5</v>
      </c>
      <c r="X35" s="3">
        <v>0</v>
      </c>
      <c r="Y35" s="3">
        <v>0</v>
      </c>
      <c r="Z35" s="3">
        <v>0</v>
      </c>
      <c r="AA35" s="3">
        <v>1</v>
      </c>
      <c r="AB35" s="3">
        <v>0</v>
      </c>
      <c r="AC35" s="3">
        <v>1</v>
      </c>
      <c r="AD35" s="3">
        <v>1</v>
      </c>
      <c r="AE35" s="3">
        <v>1</v>
      </c>
      <c r="AF35" s="3">
        <v>3</v>
      </c>
      <c r="AG35" s="3">
        <v>3</v>
      </c>
      <c r="AH35" s="3">
        <v>5</v>
      </c>
      <c r="AI35" s="3">
        <v>5</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v>3</v>
      </c>
      <c r="P36" s="2">
        <v>5</v>
      </c>
      <c r="Q36" s="2">
        <v>5</v>
      </c>
      <c r="R36" s="2">
        <v>5.2</v>
      </c>
      <c r="S36" s="2">
        <v>5.2</v>
      </c>
      <c r="T36" s="2">
        <v>5.4</v>
      </c>
      <c r="U36" s="2">
        <v>5.4</v>
      </c>
      <c r="V36" s="3">
        <v>5</v>
      </c>
      <c r="W36" s="3">
        <v>5</v>
      </c>
      <c r="X36" s="3">
        <v>0</v>
      </c>
      <c r="Y36" s="3">
        <v>0</v>
      </c>
      <c r="Z36" s="3">
        <v>0</v>
      </c>
      <c r="AA36" s="3">
        <v>1</v>
      </c>
      <c r="AB36" s="3">
        <v>0</v>
      </c>
      <c r="AC36" s="3">
        <v>1</v>
      </c>
      <c r="AD36" s="3">
        <v>1</v>
      </c>
      <c r="AE36" s="3">
        <v>1</v>
      </c>
      <c r="AF36" s="3">
        <v>3</v>
      </c>
      <c r="AG36" s="3">
        <v>3</v>
      </c>
      <c r="AH36" s="3">
        <v>5</v>
      </c>
      <c r="AI36" s="3">
        <v>5</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v>3</v>
      </c>
      <c r="P37" s="2">
        <v>5</v>
      </c>
      <c r="Q37" s="2">
        <v>5</v>
      </c>
      <c r="R37" s="2">
        <v>5.2</v>
      </c>
      <c r="S37" s="2">
        <v>5.2</v>
      </c>
      <c r="T37" s="2">
        <v>5.4</v>
      </c>
      <c r="U37" s="2">
        <v>5.4</v>
      </c>
      <c r="V37" s="3">
        <v>5</v>
      </c>
      <c r="W37" s="3">
        <v>5</v>
      </c>
      <c r="X37" s="3">
        <v>0</v>
      </c>
      <c r="Y37" s="3">
        <v>0</v>
      </c>
      <c r="Z37" s="3">
        <v>0</v>
      </c>
      <c r="AA37" s="3">
        <v>1</v>
      </c>
      <c r="AB37" s="3">
        <v>0</v>
      </c>
      <c r="AC37" s="3">
        <v>1</v>
      </c>
      <c r="AD37" s="3">
        <v>1</v>
      </c>
      <c r="AE37" s="3">
        <v>1</v>
      </c>
      <c r="AF37" s="3">
        <v>3</v>
      </c>
      <c r="AG37" s="3">
        <v>3</v>
      </c>
      <c r="AH37" s="3">
        <v>5</v>
      </c>
      <c r="AI37" s="3">
        <v>5</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v>3</v>
      </c>
      <c r="P38" s="2">
        <v>5</v>
      </c>
      <c r="Q38" s="2">
        <v>5</v>
      </c>
      <c r="R38" s="2">
        <v>5.2</v>
      </c>
      <c r="S38" s="2">
        <v>5.2</v>
      </c>
      <c r="T38" s="2">
        <v>5.4</v>
      </c>
      <c r="U38" s="2">
        <v>5.4</v>
      </c>
      <c r="V38" s="3">
        <v>5</v>
      </c>
      <c r="W38" s="3">
        <v>5</v>
      </c>
      <c r="X38" s="3">
        <v>0</v>
      </c>
      <c r="Y38" s="3">
        <v>0</v>
      </c>
      <c r="Z38" s="3">
        <v>0</v>
      </c>
      <c r="AA38" s="3">
        <v>1</v>
      </c>
      <c r="AB38" s="3">
        <v>0</v>
      </c>
      <c r="AC38" s="3">
        <v>1</v>
      </c>
      <c r="AD38" s="3">
        <v>1</v>
      </c>
      <c r="AE38" s="3">
        <v>1</v>
      </c>
      <c r="AF38" s="3">
        <v>3</v>
      </c>
      <c r="AG38" s="3">
        <v>3</v>
      </c>
      <c r="AH38" s="3">
        <v>5</v>
      </c>
      <c r="AI38" s="3">
        <v>5</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v>3</v>
      </c>
      <c r="P39" s="2">
        <v>5</v>
      </c>
      <c r="Q39" s="2">
        <v>5</v>
      </c>
      <c r="R39" s="2">
        <v>5.2</v>
      </c>
      <c r="S39" s="2">
        <v>5.2</v>
      </c>
      <c r="T39" s="2">
        <v>5.4</v>
      </c>
      <c r="U39" s="2">
        <v>5.4</v>
      </c>
      <c r="V39" s="3">
        <v>5</v>
      </c>
      <c r="W39" s="3">
        <v>5</v>
      </c>
      <c r="X39" s="3">
        <v>0</v>
      </c>
      <c r="Y39" s="3">
        <v>0</v>
      </c>
      <c r="Z39" s="3">
        <v>0</v>
      </c>
      <c r="AA39" s="3">
        <v>1</v>
      </c>
      <c r="AB39" s="3">
        <v>0</v>
      </c>
      <c r="AC39" s="3">
        <v>1</v>
      </c>
      <c r="AD39" s="3">
        <v>1</v>
      </c>
      <c r="AE39" s="3">
        <v>1</v>
      </c>
      <c r="AF39" s="3">
        <v>3</v>
      </c>
      <c r="AG39" s="3">
        <v>3</v>
      </c>
      <c r="AH39" s="3">
        <v>5</v>
      </c>
      <c r="AI39" s="3">
        <v>5</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v>3</v>
      </c>
      <c r="P40" s="2">
        <v>5</v>
      </c>
      <c r="Q40" s="2">
        <v>5</v>
      </c>
      <c r="R40" s="2">
        <v>5.2</v>
      </c>
      <c r="S40" s="2">
        <v>5.2</v>
      </c>
      <c r="T40" s="2">
        <v>5.4</v>
      </c>
      <c r="U40" s="2">
        <v>5.4</v>
      </c>
      <c r="V40" s="3">
        <v>5</v>
      </c>
      <c r="W40" s="3">
        <v>5</v>
      </c>
      <c r="X40" s="3">
        <v>0</v>
      </c>
      <c r="Y40" s="3">
        <v>0</v>
      </c>
      <c r="Z40" s="3">
        <v>0</v>
      </c>
      <c r="AA40" s="3">
        <v>1</v>
      </c>
      <c r="AB40" s="3">
        <v>0</v>
      </c>
      <c r="AC40" s="3">
        <v>1</v>
      </c>
      <c r="AD40" s="3">
        <v>1</v>
      </c>
      <c r="AE40" s="3">
        <v>1</v>
      </c>
      <c r="AF40" s="3">
        <v>3</v>
      </c>
      <c r="AG40" s="3">
        <v>3</v>
      </c>
      <c r="AH40" s="3">
        <v>5</v>
      </c>
      <c r="AI40" s="3">
        <v>5</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v>3</v>
      </c>
      <c r="P41" s="2">
        <v>5</v>
      </c>
      <c r="Q41" s="2">
        <v>5</v>
      </c>
      <c r="R41" s="2">
        <v>5.2</v>
      </c>
      <c r="S41" s="2">
        <v>5.2</v>
      </c>
      <c r="T41" s="2">
        <v>5.4</v>
      </c>
      <c r="U41" s="2">
        <v>5.4</v>
      </c>
      <c r="V41" s="3">
        <v>5</v>
      </c>
      <c r="W41" s="3">
        <v>5</v>
      </c>
      <c r="X41" s="3">
        <v>0</v>
      </c>
      <c r="Y41" s="3">
        <v>0</v>
      </c>
      <c r="Z41" s="3">
        <v>0</v>
      </c>
      <c r="AA41" s="3">
        <v>1</v>
      </c>
      <c r="AB41" s="3">
        <v>0</v>
      </c>
      <c r="AC41" s="3">
        <v>1</v>
      </c>
      <c r="AD41" s="3">
        <v>1</v>
      </c>
      <c r="AE41" s="3">
        <v>1</v>
      </c>
      <c r="AF41" s="3">
        <v>3</v>
      </c>
      <c r="AG41" s="3">
        <v>3</v>
      </c>
      <c r="AH41" s="3">
        <v>5</v>
      </c>
      <c r="AI41" s="3">
        <v>5</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v>3</v>
      </c>
      <c r="P42" s="2">
        <v>5</v>
      </c>
      <c r="Q42" s="2">
        <v>5</v>
      </c>
      <c r="R42" s="2">
        <v>5.2</v>
      </c>
      <c r="S42" s="2">
        <v>5.2</v>
      </c>
      <c r="T42" s="2">
        <v>5.4</v>
      </c>
      <c r="U42" s="2">
        <v>5.4</v>
      </c>
      <c r="V42" s="3">
        <v>5</v>
      </c>
      <c r="W42" s="3">
        <v>5</v>
      </c>
      <c r="X42" s="3">
        <v>0</v>
      </c>
      <c r="Y42" s="3">
        <v>0</v>
      </c>
      <c r="Z42" s="3">
        <v>0</v>
      </c>
      <c r="AA42" s="3">
        <v>1</v>
      </c>
      <c r="AB42" s="3">
        <v>0</v>
      </c>
      <c r="AC42" s="3">
        <v>1</v>
      </c>
      <c r="AD42" s="3">
        <v>1</v>
      </c>
      <c r="AE42" s="3">
        <v>1</v>
      </c>
      <c r="AF42" s="3">
        <v>3</v>
      </c>
      <c r="AG42" s="3">
        <v>3</v>
      </c>
      <c r="AH42" s="3">
        <v>5</v>
      </c>
      <c r="AI42" s="3">
        <v>5</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v>3</v>
      </c>
      <c r="P43" s="2">
        <v>5</v>
      </c>
      <c r="Q43" s="2">
        <v>5</v>
      </c>
      <c r="R43" s="2">
        <v>5.2</v>
      </c>
      <c r="S43" s="2">
        <v>5.2</v>
      </c>
      <c r="T43" s="2">
        <v>5.4</v>
      </c>
      <c r="U43" s="2">
        <v>5.4</v>
      </c>
      <c r="V43" s="3">
        <v>5</v>
      </c>
      <c r="W43" s="3">
        <v>5</v>
      </c>
      <c r="X43" s="3">
        <v>0</v>
      </c>
      <c r="Y43" s="3">
        <v>0</v>
      </c>
      <c r="Z43" s="3">
        <v>0</v>
      </c>
      <c r="AA43" s="3">
        <v>1</v>
      </c>
      <c r="AB43" s="3">
        <v>0</v>
      </c>
      <c r="AC43" s="3">
        <v>1</v>
      </c>
      <c r="AD43" s="3">
        <v>1</v>
      </c>
      <c r="AE43" s="3">
        <v>1</v>
      </c>
      <c r="AF43" s="3">
        <v>3</v>
      </c>
      <c r="AG43" s="3">
        <v>3</v>
      </c>
      <c r="AH43" s="3">
        <v>5</v>
      </c>
      <c r="AI43" s="3">
        <v>5</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v>3</v>
      </c>
      <c r="P44" s="2">
        <v>5</v>
      </c>
      <c r="Q44" s="2">
        <v>5</v>
      </c>
      <c r="R44" s="2">
        <v>5.2</v>
      </c>
      <c r="S44" s="2">
        <v>5.2</v>
      </c>
      <c r="T44" s="2">
        <v>5.4</v>
      </c>
      <c r="U44" s="2">
        <v>5.4</v>
      </c>
      <c r="V44" s="3">
        <v>5</v>
      </c>
      <c r="W44" s="3">
        <v>5</v>
      </c>
      <c r="X44" s="3">
        <v>0</v>
      </c>
      <c r="Y44" s="3">
        <v>0</v>
      </c>
      <c r="Z44" s="3">
        <v>0</v>
      </c>
      <c r="AA44" s="3">
        <v>1</v>
      </c>
      <c r="AB44" s="3">
        <v>0</v>
      </c>
      <c r="AC44" s="3">
        <v>1</v>
      </c>
      <c r="AD44" s="3">
        <v>1</v>
      </c>
      <c r="AE44" s="3">
        <v>1</v>
      </c>
      <c r="AF44" s="3">
        <v>3</v>
      </c>
      <c r="AG44" s="3">
        <v>3</v>
      </c>
      <c r="AH44" s="3">
        <v>5</v>
      </c>
      <c r="AI44" s="3">
        <v>5</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v>3</v>
      </c>
      <c r="P45" s="2">
        <v>5</v>
      </c>
      <c r="Q45" s="2">
        <v>5</v>
      </c>
      <c r="R45" s="2">
        <v>5.2</v>
      </c>
      <c r="S45" s="2">
        <v>5.2</v>
      </c>
      <c r="T45" s="2">
        <v>5.4</v>
      </c>
      <c r="U45" s="2">
        <v>5.4</v>
      </c>
      <c r="V45" s="3">
        <v>5</v>
      </c>
      <c r="W45" s="3">
        <v>5</v>
      </c>
      <c r="X45" s="3">
        <v>0</v>
      </c>
      <c r="Y45" s="3">
        <v>0</v>
      </c>
      <c r="Z45" s="3">
        <v>0</v>
      </c>
      <c r="AA45" s="3">
        <v>1</v>
      </c>
      <c r="AB45" s="3">
        <v>0</v>
      </c>
      <c r="AC45" s="3">
        <v>1</v>
      </c>
      <c r="AD45" s="3">
        <v>1</v>
      </c>
      <c r="AE45" s="3">
        <v>1</v>
      </c>
      <c r="AF45" s="3">
        <v>3</v>
      </c>
      <c r="AG45" s="3">
        <v>3</v>
      </c>
      <c r="AH45" s="3">
        <v>5</v>
      </c>
      <c r="AI45" s="3">
        <v>5</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v>3</v>
      </c>
      <c r="P46" s="2">
        <v>5</v>
      </c>
      <c r="Q46" s="2">
        <v>5</v>
      </c>
      <c r="R46" s="2">
        <v>5.2</v>
      </c>
      <c r="S46" s="2">
        <v>5.2</v>
      </c>
      <c r="T46" s="2">
        <v>5.4</v>
      </c>
      <c r="U46" s="2">
        <v>5.4</v>
      </c>
      <c r="V46" s="3">
        <v>5</v>
      </c>
      <c r="W46" s="3">
        <v>5</v>
      </c>
      <c r="X46" s="3">
        <v>0</v>
      </c>
      <c r="Y46" s="3">
        <v>0</v>
      </c>
      <c r="Z46" s="3">
        <v>0</v>
      </c>
      <c r="AA46" s="3">
        <v>1</v>
      </c>
      <c r="AB46" s="3">
        <v>0</v>
      </c>
      <c r="AC46" s="3">
        <v>1</v>
      </c>
      <c r="AD46" s="3">
        <v>1</v>
      </c>
      <c r="AE46" s="3">
        <v>1</v>
      </c>
      <c r="AF46" s="3">
        <v>3</v>
      </c>
      <c r="AG46" s="3">
        <v>3</v>
      </c>
      <c r="AH46" s="3">
        <v>5</v>
      </c>
      <c r="AI46" s="3">
        <v>5</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v>3</v>
      </c>
      <c r="P47" s="2">
        <v>5</v>
      </c>
      <c r="Q47" s="2">
        <v>5</v>
      </c>
      <c r="R47" s="2">
        <v>5.2</v>
      </c>
      <c r="S47" s="2">
        <v>5.2</v>
      </c>
      <c r="T47" s="2">
        <v>5.4</v>
      </c>
      <c r="U47" s="2">
        <v>5.4</v>
      </c>
      <c r="V47" s="3">
        <v>5</v>
      </c>
      <c r="W47" s="3">
        <v>5</v>
      </c>
      <c r="X47" s="3">
        <v>0</v>
      </c>
      <c r="Y47" s="3">
        <v>0</v>
      </c>
      <c r="Z47" s="3">
        <v>0</v>
      </c>
      <c r="AA47" s="3">
        <v>1</v>
      </c>
      <c r="AB47" s="3">
        <v>0</v>
      </c>
      <c r="AC47" s="3">
        <v>1</v>
      </c>
      <c r="AD47" s="3">
        <v>1</v>
      </c>
      <c r="AE47" s="3">
        <v>1</v>
      </c>
      <c r="AF47" s="3">
        <v>3</v>
      </c>
      <c r="AG47" s="3">
        <v>3</v>
      </c>
      <c r="AH47" s="3">
        <v>5</v>
      </c>
      <c r="AI47" s="3">
        <v>5</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v>3</v>
      </c>
      <c r="P48" s="2">
        <v>5</v>
      </c>
      <c r="Q48" s="2">
        <v>5</v>
      </c>
      <c r="R48" s="2">
        <v>5.2</v>
      </c>
      <c r="S48" s="2">
        <v>5.2</v>
      </c>
      <c r="T48" s="2">
        <v>5.4</v>
      </c>
      <c r="U48" s="2">
        <v>5.4</v>
      </c>
      <c r="V48" s="3">
        <v>5</v>
      </c>
      <c r="W48" s="3">
        <v>5</v>
      </c>
      <c r="X48" s="3">
        <v>0</v>
      </c>
      <c r="Y48" s="3">
        <v>0</v>
      </c>
      <c r="Z48" s="3">
        <v>0</v>
      </c>
      <c r="AA48" s="3">
        <v>1</v>
      </c>
      <c r="AB48" s="3">
        <v>0</v>
      </c>
      <c r="AC48" s="3">
        <v>1</v>
      </c>
      <c r="AD48" s="3">
        <v>1</v>
      </c>
      <c r="AE48" s="3">
        <v>1</v>
      </c>
      <c r="AF48" s="3">
        <v>3</v>
      </c>
      <c r="AG48" s="3">
        <v>3</v>
      </c>
      <c r="AH48" s="3">
        <v>5</v>
      </c>
      <c r="AI48" s="3">
        <v>5</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v>3</v>
      </c>
      <c r="P49" s="2">
        <v>5</v>
      </c>
      <c r="Q49" s="2">
        <v>5</v>
      </c>
      <c r="R49" s="2">
        <v>5.2</v>
      </c>
      <c r="S49" s="2">
        <v>5.2</v>
      </c>
      <c r="T49" s="2">
        <v>5.4</v>
      </c>
      <c r="U49" s="2">
        <v>5.4</v>
      </c>
      <c r="V49" s="3">
        <v>5</v>
      </c>
      <c r="W49" s="3">
        <v>5</v>
      </c>
      <c r="X49" s="3">
        <v>0</v>
      </c>
      <c r="Y49" s="3">
        <v>0</v>
      </c>
      <c r="Z49" s="3">
        <v>0</v>
      </c>
      <c r="AA49" s="3">
        <v>1</v>
      </c>
      <c r="AB49" s="3">
        <v>0</v>
      </c>
      <c r="AC49" s="3">
        <v>1</v>
      </c>
      <c r="AD49" s="3">
        <v>1</v>
      </c>
      <c r="AE49" s="3">
        <v>1</v>
      </c>
      <c r="AF49" s="3">
        <v>3</v>
      </c>
      <c r="AG49" s="3">
        <v>3</v>
      </c>
      <c r="AH49" s="3">
        <v>5</v>
      </c>
      <c r="AI49" s="3">
        <v>5</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v>3</v>
      </c>
      <c r="P50" s="2">
        <v>5</v>
      </c>
      <c r="Q50" s="2">
        <v>5</v>
      </c>
      <c r="R50" s="2">
        <v>5.2</v>
      </c>
      <c r="S50" s="2">
        <v>5.2</v>
      </c>
      <c r="T50" s="2">
        <v>5.4</v>
      </c>
      <c r="U50" s="2">
        <v>5.4</v>
      </c>
      <c r="V50" s="3">
        <v>5</v>
      </c>
      <c r="W50" s="3">
        <v>5</v>
      </c>
      <c r="X50" s="3">
        <v>0</v>
      </c>
      <c r="Y50" s="3">
        <v>0</v>
      </c>
      <c r="Z50" s="3">
        <v>0</v>
      </c>
      <c r="AA50" s="3">
        <v>1</v>
      </c>
      <c r="AB50" s="3">
        <v>0</v>
      </c>
      <c r="AC50" s="3">
        <v>1</v>
      </c>
      <c r="AD50" s="3">
        <v>1</v>
      </c>
      <c r="AE50" s="3">
        <v>1</v>
      </c>
      <c r="AF50" s="3">
        <v>3</v>
      </c>
      <c r="AG50" s="3">
        <v>3</v>
      </c>
      <c r="AH50" s="3">
        <v>5</v>
      </c>
      <c r="AI50" s="3">
        <v>5</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v>3</v>
      </c>
      <c r="P51" s="2">
        <v>5</v>
      </c>
      <c r="Q51" s="2">
        <v>5</v>
      </c>
      <c r="R51" s="2">
        <v>5.2</v>
      </c>
      <c r="S51" s="2">
        <v>5.2</v>
      </c>
      <c r="T51" s="2">
        <v>5.4</v>
      </c>
      <c r="U51" s="2">
        <v>5.4</v>
      </c>
      <c r="V51" s="3">
        <v>5</v>
      </c>
      <c r="W51" s="3">
        <v>5</v>
      </c>
      <c r="X51" s="3">
        <v>0</v>
      </c>
      <c r="Y51" s="3">
        <v>0</v>
      </c>
      <c r="Z51" s="3">
        <v>0</v>
      </c>
      <c r="AA51" s="3">
        <v>1</v>
      </c>
      <c r="AB51" s="3">
        <v>0</v>
      </c>
      <c r="AC51" s="3">
        <v>1</v>
      </c>
      <c r="AD51" s="3">
        <v>1</v>
      </c>
      <c r="AE51" s="3">
        <v>1</v>
      </c>
      <c r="AF51" s="3">
        <v>3</v>
      </c>
      <c r="AG51" s="3">
        <v>3</v>
      </c>
      <c r="AH51" s="3">
        <v>5</v>
      </c>
      <c r="AI51" s="3">
        <v>5</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v>3</v>
      </c>
      <c r="P52" s="2">
        <v>5</v>
      </c>
      <c r="Q52" s="2">
        <v>5</v>
      </c>
      <c r="R52" s="2">
        <v>5.2</v>
      </c>
      <c r="S52" s="2">
        <v>5.2</v>
      </c>
      <c r="T52" s="2">
        <v>5.4</v>
      </c>
      <c r="U52" s="2">
        <v>5.4</v>
      </c>
      <c r="V52" s="3">
        <v>5</v>
      </c>
      <c r="W52" s="3">
        <v>5</v>
      </c>
      <c r="X52" s="3">
        <v>0</v>
      </c>
      <c r="Y52" s="3">
        <v>0</v>
      </c>
      <c r="Z52" s="3">
        <v>0</v>
      </c>
      <c r="AA52" s="3">
        <v>1</v>
      </c>
      <c r="AB52" s="3">
        <v>0</v>
      </c>
      <c r="AC52" s="3">
        <v>1</v>
      </c>
      <c r="AD52" s="3">
        <v>1</v>
      </c>
      <c r="AE52" s="3">
        <v>1</v>
      </c>
      <c r="AF52" s="3">
        <v>3</v>
      </c>
      <c r="AG52" s="3">
        <v>3</v>
      </c>
      <c r="AH52" s="3">
        <v>5</v>
      </c>
      <c r="AI52" s="3">
        <v>5</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v>3</v>
      </c>
      <c r="P53" s="2">
        <v>5</v>
      </c>
      <c r="Q53" s="2">
        <v>5</v>
      </c>
      <c r="R53" s="2">
        <v>5.2</v>
      </c>
      <c r="S53" s="2">
        <v>5.2</v>
      </c>
      <c r="T53" s="2">
        <v>5.4</v>
      </c>
      <c r="U53" s="2">
        <v>5.4</v>
      </c>
      <c r="V53" s="3">
        <v>5</v>
      </c>
      <c r="W53" s="3">
        <v>5</v>
      </c>
      <c r="X53" s="3">
        <v>0</v>
      </c>
      <c r="Y53" s="3">
        <v>0</v>
      </c>
      <c r="Z53" s="3">
        <v>0</v>
      </c>
      <c r="AA53" s="3">
        <v>1</v>
      </c>
      <c r="AB53" s="3">
        <v>0</v>
      </c>
      <c r="AC53" s="3">
        <v>1</v>
      </c>
      <c r="AD53" s="3">
        <v>1</v>
      </c>
      <c r="AE53" s="3">
        <v>1</v>
      </c>
      <c r="AF53" s="3">
        <v>3</v>
      </c>
      <c r="AG53" s="3">
        <v>3</v>
      </c>
      <c r="AH53" s="3">
        <v>5</v>
      </c>
      <c r="AI53" s="3">
        <v>5</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v>3</v>
      </c>
      <c r="P54" s="2">
        <v>5</v>
      </c>
      <c r="Q54" s="2">
        <v>5</v>
      </c>
      <c r="R54" s="2">
        <v>5.2</v>
      </c>
      <c r="S54" s="2">
        <v>5.2</v>
      </c>
      <c r="T54" s="2">
        <v>5.4</v>
      </c>
      <c r="U54" s="2">
        <v>5.4</v>
      </c>
      <c r="V54" s="3">
        <v>5</v>
      </c>
      <c r="W54" s="3">
        <v>5</v>
      </c>
      <c r="X54" s="3">
        <v>0</v>
      </c>
      <c r="Y54" s="3">
        <v>0</v>
      </c>
      <c r="Z54" s="3">
        <v>0</v>
      </c>
      <c r="AA54" s="3">
        <v>1</v>
      </c>
      <c r="AB54" s="3">
        <v>0</v>
      </c>
      <c r="AC54" s="3">
        <v>1</v>
      </c>
      <c r="AD54" s="3">
        <v>1</v>
      </c>
      <c r="AE54" s="3">
        <v>1</v>
      </c>
      <c r="AF54" s="3">
        <v>3</v>
      </c>
      <c r="AG54" s="3">
        <v>3</v>
      </c>
      <c r="AH54" s="3">
        <v>5</v>
      </c>
      <c r="AI54" s="3">
        <v>5</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v>3</v>
      </c>
      <c r="P55" s="2">
        <v>5</v>
      </c>
      <c r="Q55" s="2">
        <v>5</v>
      </c>
      <c r="R55" s="2">
        <v>5.2</v>
      </c>
      <c r="S55" s="2">
        <v>5.2</v>
      </c>
      <c r="T55" s="2">
        <v>5.4</v>
      </c>
      <c r="U55" s="2">
        <v>5.4</v>
      </c>
      <c r="V55" s="3">
        <v>5</v>
      </c>
      <c r="W55" s="3">
        <v>5</v>
      </c>
      <c r="X55" s="3">
        <v>0</v>
      </c>
      <c r="Y55" s="3">
        <v>0</v>
      </c>
      <c r="Z55" s="3">
        <v>0</v>
      </c>
      <c r="AA55" s="3">
        <v>1</v>
      </c>
      <c r="AB55" s="3">
        <v>0</v>
      </c>
      <c r="AC55" s="3">
        <v>1</v>
      </c>
      <c r="AD55" s="3">
        <v>1</v>
      </c>
      <c r="AE55" s="3">
        <v>1</v>
      </c>
      <c r="AF55" s="3">
        <v>3</v>
      </c>
      <c r="AG55" s="3">
        <v>3</v>
      </c>
      <c r="AH55" s="3">
        <v>5</v>
      </c>
      <c r="AI55" s="3">
        <v>5</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v>3</v>
      </c>
      <c r="P56" s="2">
        <v>5</v>
      </c>
      <c r="Q56" s="2">
        <v>5</v>
      </c>
      <c r="R56" s="2">
        <v>5.2</v>
      </c>
      <c r="S56" s="2">
        <v>5.2</v>
      </c>
      <c r="T56" s="2">
        <v>5.4</v>
      </c>
      <c r="U56" s="2">
        <v>5.4</v>
      </c>
      <c r="V56" s="3">
        <v>5</v>
      </c>
      <c r="W56" s="3">
        <v>5</v>
      </c>
      <c r="X56" s="3">
        <v>0</v>
      </c>
      <c r="Y56" s="3">
        <v>0</v>
      </c>
      <c r="Z56" s="3">
        <v>0</v>
      </c>
      <c r="AA56" s="3">
        <v>1</v>
      </c>
      <c r="AB56" s="3">
        <v>0</v>
      </c>
      <c r="AC56" s="3">
        <v>1</v>
      </c>
      <c r="AD56" s="3">
        <v>1</v>
      </c>
      <c r="AE56" s="3">
        <v>1</v>
      </c>
      <c r="AF56" s="3">
        <v>3</v>
      </c>
      <c r="AG56" s="3">
        <v>3</v>
      </c>
      <c r="AH56" s="3">
        <v>5</v>
      </c>
      <c r="AI56" s="3">
        <v>5</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v>3</v>
      </c>
      <c r="P57" s="2">
        <v>5</v>
      </c>
      <c r="Q57" s="2">
        <v>5</v>
      </c>
      <c r="R57" s="2">
        <v>5.2</v>
      </c>
      <c r="S57" s="2">
        <v>5.2</v>
      </c>
      <c r="T57" s="2">
        <v>5.4</v>
      </c>
      <c r="U57" s="2">
        <v>5.4</v>
      </c>
      <c r="V57" s="3">
        <v>5</v>
      </c>
      <c r="W57" s="3">
        <v>5</v>
      </c>
      <c r="X57" s="3">
        <v>0</v>
      </c>
      <c r="Y57" s="3">
        <v>0</v>
      </c>
      <c r="Z57" s="3">
        <v>0</v>
      </c>
      <c r="AA57" s="3">
        <v>1</v>
      </c>
      <c r="AB57" s="3">
        <v>0</v>
      </c>
      <c r="AC57" s="3">
        <v>1</v>
      </c>
      <c r="AD57" s="3">
        <v>1</v>
      </c>
      <c r="AE57" s="3">
        <v>1</v>
      </c>
      <c r="AF57" s="3">
        <v>3</v>
      </c>
      <c r="AG57" s="3">
        <v>3</v>
      </c>
      <c r="AH57" s="3">
        <v>5</v>
      </c>
      <c r="AI57" s="3">
        <v>5</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v>3</v>
      </c>
      <c r="P58" s="2">
        <v>5</v>
      </c>
      <c r="Q58" s="2">
        <v>5</v>
      </c>
      <c r="R58" s="2">
        <v>5.2</v>
      </c>
      <c r="S58" s="2">
        <v>5.2</v>
      </c>
      <c r="T58" s="2">
        <v>5.4</v>
      </c>
      <c r="U58" s="2">
        <v>5.4</v>
      </c>
      <c r="V58" s="3">
        <v>5</v>
      </c>
      <c r="W58" s="3">
        <v>5</v>
      </c>
      <c r="X58" s="3">
        <v>0</v>
      </c>
      <c r="Y58" s="3">
        <v>0</v>
      </c>
      <c r="Z58" s="3">
        <v>0</v>
      </c>
      <c r="AA58" s="3">
        <v>1</v>
      </c>
      <c r="AB58" s="3">
        <v>0</v>
      </c>
      <c r="AC58" s="3">
        <v>1</v>
      </c>
      <c r="AD58" s="3">
        <v>1</v>
      </c>
      <c r="AE58" s="3">
        <v>1</v>
      </c>
      <c r="AF58" s="3">
        <v>3</v>
      </c>
      <c r="AG58" s="3">
        <v>3</v>
      </c>
      <c r="AH58" s="3">
        <v>5</v>
      </c>
      <c r="AI58" s="3">
        <v>5</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v>3</v>
      </c>
      <c r="P59" s="2">
        <v>5</v>
      </c>
      <c r="Q59" s="2">
        <v>5</v>
      </c>
      <c r="R59" s="2">
        <v>5.2</v>
      </c>
      <c r="S59" s="2">
        <v>5.2</v>
      </c>
      <c r="T59" s="2">
        <v>5.4</v>
      </c>
      <c r="U59" s="2">
        <v>5.4</v>
      </c>
      <c r="V59" s="3">
        <v>5</v>
      </c>
      <c r="W59" s="3">
        <v>5</v>
      </c>
      <c r="X59" s="3">
        <v>0</v>
      </c>
      <c r="Y59" s="3">
        <v>0</v>
      </c>
      <c r="Z59" s="3">
        <v>0</v>
      </c>
      <c r="AA59" s="3">
        <v>1</v>
      </c>
      <c r="AB59" s="3">
        <v>0</v>
      </c>
      <c r="AC59" s="3">
        <v>1</v>
      </c>
      <c r="AD59" s="3">
        <v>1</v>
      </c>
      <c r="AE59" s="3">
        <v>1</v>
      </c>
      <c r="AF59" s="3">
        <v>3</v>
      </c>
      <c r="AG59" s="3">
        <v>3</v>
      </c>
      <c r="AH59" s="3">
        <v>5</v>
      </c>
      <c r="AI59" s="3">
        <v>5</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v>3</v>
      </c>
      <c r="P60" s="2">
        <v>5</v>
      </c>
      <c r="Q60" s="2">
        <v>5</v>
      </c>
      <c r="R60" s="2">
        <v>5.2</v>
      </c>
      <c r="S60" s="2">
        <v>5.2</v>
      </c>
      <c r="T60" s="2">
        <v>5.4</v>
      </c>
      <c r="U60" s="2">
        <v>5.4</v>
      </c>
      <c r="V60" s="3">
        <v>5</v>
      </c>
      <c r="W60" s="3">
        <v>5</v>
      </c>
      <c r="X60" s="3">
        <v>0</v>
      </c>
      <c r="Y60" s="3">
        <v>0</v>
      </c>
      <c r="Z60" s="3">
        <v>0</v>
      </c>
      <c r="AA60" s="3">
        <v>1</v>
      </c>
      <c r="AB60" s="3">
        <v>0</v>
      </c>
      <c r="AC60" s="3">
        <v>1</v>
      </c>
      <c r="AD60" s="3">
        <v>1</v>
      </c>
      <c r="AE60" s="3">
        <v>1</v>
      </c>
      <c r="AF60" s="3">
        <v>3</v>
      </c>
      <c r="AG60" s="3">
        <v>3</v>
      </c>
      <c r="AH60" s="3">
        <v>5</v>
      </c>
      <c r="AI60" s="3">
        <v>5</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v>3</v>
      </c>
      <c r="P61" s="2">
        <v>5</v>
      </c>
      <c r="Q61" s="2">
        <v>5</v>
      </c>
      <c r="R61" s="2">
        <v>5.2</v>
      </c>
      <c r="S61" s="2">
        <v>5.2</v>
      </c>
      <c r="T61" s="2">
        <v>5.4</v>
      </c>
      <c r="U61" s="2">
        <v>5.4</v>
      </c>
      <c r="V61" s="3">
        <v>5</v>
      </c>
      <c r="W61" s="3">
        <v>5</v>
      </c>
      <c r="X61" s="3">
        <v>0</v>
      </c>
      <c r="Y61" s="3">
        <v>0</v>
      </c>
      <c r="Z61" s="3">
        <v>0</v>
      </c>
      <c r="AA61" s="3">
        <v>1</v>
      </c>
      <c r="AB61" s="3">
        <v>0</v>
      </c>
      <c r="AC61" s="3">
        <v>1</v>
      </c>
      <c r="AD61" s="3">
        <v>1</v>
      </c>
      <c r="AE61" s="3">
        <v>1</v>
      </c>
      <c r="AF61" s="3">
        <v>3</v>
      </c>
      <c r="AG61" s="3">
        <v>3</v>
      </c>
      <c r="AH61" s="3">
        <v>5</v>
      </c>
      <c r="AI61" s="3">
        <v>5</v>
      </c>
    </row>
    <row r="64" spans="1:35" x14ac:dyDescent="0.2">
      <c r="H64" t="s">
        <v>323</v>
      </c>
      <c r="I64">
        <f>SUM(I3:I61)-SUMIF(F3:F61,"Los",I3:I61)</f>
        <v>272.52532054794517</v>
      </c>
      <c r="J64" t="s">
        <v>216</v>
      </c>
    </row>
  </sheetData>
  <autoFilter ref="A2:AI2"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C25" sqref="C25"/>
    </sheetView>
  </sheetViews>
  <sheetFormatPr baseColWidth="10" defaultRowHeight="16" x14ac:dyDescent="0.2"/>
  <cols>
    <col min="8" max="8" width="12.1640625" bestFit="1" customWidth="1"/>
  </cols>
  <sheetData>
    <row r="1" spans="1:17" x14ac:dyDescent="0.2">
      <c r="A1" s="4" t="s">
        <v>32</v>
      </c>
      <c r="B1" s="57">
        <v>1</v>
      </c>
      <c r="C1" s="57"/>
      <c r="D1" s="57"/>
      <c r="E1" s="57"/>
      <c r="F1" s="57"/>
      <c r="G1" s="57"/>
      <c r="H1" s="57"/>
      <c r="I1" s="57"/>
      <c r="J1" s="57"/>
      <c r="K1" s="57"/>
      <c r="L1" s="57"/>
      <c r="M1" s="57"/>
      <c r="N1" s="57"/>
      <c r="O1" s="57"/>
      <c r="P1" s="57"/>
      <c r="Q1" s="57"/>
    </row>
    <row r="2" spans="1:17" x14ac:dyDescent="0.2">
      <c r="A2" s="4" t="s">
        <v>26</v>
      </c>
      <c r="B2" s="57">
        <v>1</v>
      </c>
      <c r="C2" s="57"/>
      <c r="D2" s="57"/>
      <c r="E2" s="57"/>
      <c r="F2" s="57"/>
      <c r="G2" s="57"/>
      <c r="H2" s="57"/>
      <c r="I2" s="57"/>
      <c r="J2" s="57"/>
      <c r="K2" s="57"/>
      <c r="L2" s="57"/>
      <c r="M2" s="57"/>
      <c r="N2" s="57"/>
      <c r="O2" s="57"/>
      <c r="P2" s="57"/>
      <c r="Q2" s="57"/>
    </row>
    <row r="3" spans="1:17" x14ac:dyDescent="0.2">
      <c r="A3" s="4"/>
      <c r="B3" s="58" t="s">
        <v>27</v>
      </c>
      <c r="C3" s="58"/>
      <c r="D3" s="58"/>
      <c r="E3" s="58"/>
      <c r="F3" s="58"/>
      <c r="G3" s="58"/>
      <c r="H3" s="58"/>
      <c r="I3" s="58"/>
      <c r="J3" s="59" t="s">
        <v>28</v>
      </c>
      <c r="K3" s="59"/>
      <c r="L3" s="59"/>
      <c r="M3" s="59"/>
      <c r="N3" s="59"/>
      <c r="O3" s="59"/>
      <c r="P3" s="59"/>
      <c r="Q3" s="59"/>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zoomScale="125" zoomScaleNormal="200" workbookViewId="0">
      <selection activeCell="BF12" sqref="BF12"/>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7">
        <v>5</v>
      </c>
      <c r="C1" s="57"/>
      <c r="D1" s="57"/>
      <c r="E1" s="57"/>
      <c r="F1" s="57"/>
      <c r="G1" s="57"/>
      <c r="H1" s="57"/>
      <c r="I1" s="57"/>
      <c r="J1" s="57"/>
      <c r="K1" s="57"/>
      <c r="L1" s="57"/>
      <c r="M1" s="57"/>
      <c r="N1" s="57"/>
      <c r="O1" s="57"/>
      <c r="P1" s="57"/>
      <c r="Q1" s="57"/>
      <c r="R1" s="57">
        <f>B1+Parameters!$B$7</f>
        <v>13</v>
      </c>
      <c r="S1" s="57"/>
      <c r="T1" s="57"/>
      <c r="U1" s="57"/>
      <c r="V1" s="57"/>
      <c r="W1" s="57"/>
      <c r="X1" s="57"/>
      <c r="Y1" s="57"/>
      <c r="Z1" s="57"/>
      <c r="AA1" s="57"/>
      <c r="AB1" s="57"/>
      <c r="AC1" s="57"/>
      <c r="AD1" s="57"/>
      <c r="AE1" s="57"/>
      <c r="AF1" s="57"/>
      <c r="AG1" s="57"/>
      <c r="AH1" s="57">
        <f>R1+Parameters!$B$7</f>
        <v>21</v>
      </c>
      <c r="AI1" s="57"/>
      <c r="AJ1" s="57"/>
      <c r="AK1" s="57"/>
      <c r="AL1" s="57"/>
      <c r="AM1" s="57"/>
      <c r="AN1" s="57"/>
      <c r="AO1" s="57"/>
      <c r="AP1" s="57"/>
      <c r="AQ1" s="57"/>
      <c r="AR1" s="57"/>
      <c r="AS1" s="57"/>
      <c r="AT1" s="57"/>
      <c r="AU1" s="57"/>
      <c r="AV1" s="57"/>
      <c r="AW1" s="57"/>
      <c r="AX1" s="57">
        <f>AH1+Parameters!$B$7</f>
        <v>29</v>
      </c>
      <c r="AY1" s="57"/>
      <c r="AZ1" s="57"/>
      <c r="BA1" s="57"/>
      <c r="BB1" s="57"/>
      <c r="BC1" s="57"/>
      <c r="BD1" s="57"/>
      <c r="BE1" s="57"/>
      <c r="BF1" s="57"/>
      <c r="BG1" s="57"/>
      <c r="BH1" s="57"/>
      <c r="BI1" s="57"/>
      <c r="BJ1" s="57"/>
      <c r="BK1" s="57"/>
      <c r="BL1" s="57"/>
      <c r="BM1" s="57"/>
    </row>
    <row r="2" spans="1:65" x14ac:dyDescent="0.2">
      <c r="A2" s="4" t="s">
        <v>26</v>
      </c>
      <c r="B2" s="57">
        <v>0.25</v>
      </c>
      <c r="C2" s="57"/>
      <c r="D2" s="57"/>
      <c r="E2" s="57"/>
      <c r="F2" s="57"/>
      <c r="G2" s="57"/>
      <c r="H2" s="57"/>
      <c r="I2" s="57"/>
      <c r="J2" s="57"/>
      <c r="K2" s="57"/>
      <c r="L2" s="57"/>
      <c r="M2" s="57"/>
      <c r="N2" s="57"/>
      <c r="O2" s="57"/>
      <c r="P2" s="57"/>
      <c r="Q2" s="57"/>
      <c r="R2" s="57">
        <f>B2</f>
        <v>0.25</v>
      </c>
      <c r="S2" s="57"/>
      <c r="T2" s="57"/>
      <c r="U2" s="57"/>
      <c r="V2" s="57"/>
      <c r="W2" s="57"/>
      <c r="X2" s="57"/>
      <c r="Y2" s="57"/>
      <c r="Z2" s="57"/>
      <c r="AA2" s="57"/>
      <c r="AB2" s="57"/>
      <c r="AC2" s="57"/>
      <c r="AD2" s="57"/>
      <c r="AE2" s="57"/>
      <c r="AF2" s="57"/>
      <c r="AG2" s="57"/>
      <c r="AH2" s="57">
        <f>B2</f>
        <v>0.25</v>
      </c>
      <c r="AI2" s="57"/>
      <c r="AJ2" s="57"/>
      <c r="AK2" s="57"/>
      <c r="AL2" s="57"/>
      <c r="AM2" s="57"/>
      <c r="AN2" s="57"/>
      <c r="AO2" s="57"/>
      <c r="AP2" s="57"/>
      <c r="AQ2" s="57"/>
      <c r="AR2" s="57"/>
      <c r="AS2" s="57"/>
      <c r="AT2" s="57"/>
      <c r="AU2" s="57"/>
      <c r="AV2" s="57"/>
      <c r="AW2" s="57"/>
      <c r="AX2" s="57">
        <f>B2</f>
        <v>0.25</v>
      </c>
      <c r="AY2" s="57"/>
      <c r="AZ2" s="57"/>
      <c r="BA2" s="57"/>
      <c r="BB2" s="57"/>
      <c r="BC2" s="57"/>
      <c r="BD2" s="57"/>
      <c r="BE2" s="57"/>
      <c r="BF2" s="57"/>
      <c r="BG2" s="57"/>
      <c r="BH2" s="57"/>
      <c r="BI2" s="57"/>
      <c r="BJ2" s="57"/>
      <c r="BK2" s="57"/>
      <c r="BL2" s="57"/>
      <c r="BM2" s="57"/>
    </row>
    <row r="3" spans="1:65" x14ac:dyDescent="0.2">
      <c r="A3" s="4"/>
      <c r="B3" s="58" t="s">
        <v>27</v>
      </c>
      <c r="C3" s="58"/>
      <c r="D3" s="58"/>
      <c r="E3" s="58"/>
      <c r="F3" s="58"/>
      <c r="G3" s="58"/>
      <c r="H3" s="58"/>
      <c r="I3" s="58"/>
      <c r="J3" s="59" t="s">
        <v>28</v>
      </c>
      <c r="K3" s="59"/>
      <c r="L3" s="59"/>
      <c r="M3" s="59"/>
      <c r="N3" s="59"/>
      <c r="O3" s="59"/>
      <c r="P3" s="59"/>
      <c r="Q3" s="59"/>
      <c r="R3" s="58" t="s">
        <v>27</v>
      </c>
      <c r="S3" s="58"/>
      <c r="T3" s="58"/>
      <c r="U3" s="58"/>
      <c r="V3" s="58"/>
      <c r="W3" s="58"/>
      <c r="X3" s="58"/>
      <c r="Y3" s="58"/>
      <c r="Z3" s="59" t="s">
        <v>28</v>
      </c>
      <c r="AA3" s="59"/>
      <c r="AB3" s="59"/>
      <c r="AC3" s="59"/>
      <c r="AD3" s="59"/>
      <c r="AE3" s="59"/>
      <c r="AF3" s="59"/>
      <c r="AG3" s="59"/>
      <c r="AH3" s="58" t="s">
        <v>27</v>
      </c>
      <c r="AI3" s="58"/>
      <c r="AJ3" s="58"/>
      <c r="AK3" s="58"/>
      <c r="AL3" s="58"/>
      <c r="AM3" s="58"/>
      <c r="AN3" s="58"/>
      <c r="AO3" s="58"/>
      <c r="AP3" s="59" t="s">
        <v>28</v>
      </c>
      <c r="AQ3" s="59"/>
      <c r="AR3" s="59"/>
      <c r="AS3" s="59"/>
      <c r="AT3" s="59"/>
      <c r="AU3" s="59"/>
      <c r="AV3" s="59"/>
      <c r="AW3" s="59"/>
      <c r="AX3" s="58" t="s">
        <v>27</v>
      </c>
      <c r="AY3" s="58"/>
      <c r="AZ3" s="58"/>
      <c r="BA3" s="58"/>
      <c r="BB3" s="58"/>
      <c r="BC3" s="58"/>
      <c r="BD3" s="58"/>
      <c r="BE3" s="58"/>
      <c r="BF3" s="59" t="s">
        <v>28</v>
      </c>
      <c r="BG3" s="59"/>
      <c r="BH3" s="59"/>
      <c r="BI3" s="59"/>
      <c r="BJ3" s="59"/>
      <c r="BK3" s="59"/>
      <c r="BL3" s="59"/>
      <c r="BM3" s="59"/>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40</v>
      </c>
      <c r="V9" s="2">
        <f t="shared" si="8"/>
        <v>40</v>
      </c>
      <c r="W9" s="2">
        <f t="shared" si="8"/>
        <v>40</v>
      </c>
      <c r="X9" s="2">
        <f t="shared" si="8"/>
        <v>50</v>
      </c>
      <c r="Y9" s="2">
        <f t="shared" si="8"/>
        <v>20</v>
      </c>
      <c r="Z9" s="3"/>
      <c r="AA9" s="3"/>
      <c r="AB9" s="3"/>
      <c r="AC9" s="3"/>
      <c r="AD9" s="3"/>
      <c r="AE9" s="3"/>
      <c r="AF9" s="3"/>
      <c r="AG9" s="3"/>
      <c r="AH9" s="2">
        <f t="shared" si="13"/>
        <v>10</v>
      </c>
      <c r="AI9" s="2">
        <f t="shared" si="9"/>
        <v>10</v>
      </c>
      <c r="AJ9" s="2">
        <f t="shared" si="9"/>
        <v>10</v>
      </c>
      <c r="AK9" s="2">
        <f t="shared" si="9"/>
        <v>50</v>
      </c>
      <c r="AL9" s="2">
        <f t="shared" si="9"/>
        <v>50</v>
      </c>
      <c r="AM9" s="2">
        <f t="shared" si="9"/>
        <v>40</v>
      </c>
      <c r="AN9" s="2">
        <f t="shared" si="9"/>
        <v>40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40</v>
      </c>
      <c r="V12" s="2">
        <f t="shared" si="8"/>
        <v>40</v>
      </c>
      <c r="W12" s="2">
        <f t="shared" si="8"/>
        <v>40</v>
      </c>
      <c r="X12" s="2">
        <f t="shared" si="8"/>
        <v>45</v>
      </c>
      <c r="Y12" s="2">
        <f t="shared" si="8"/>
        <v>20</v>
      </c>
      <c r="Z12" s="3"/>
      <c r="AA12" s="3"/>
      <c r="AB12" s="3"/>
      <c r="AC12" s="3"/>
      <c r="AD12" s="3"/>
      <c r="AE12" s="3"/>
      <c r="AF12" s="3"/>
      <c r="AG12" s="3"/>
      <c r="AH12" s="2">
        <f t="shared" si="13"/>
        <v>10</v>
      </c>
      <c r="AI12" s="2">
        <f t="shared" si="9"/>
        <v>10</v>
      </c>
      <c r="AJ12" s="2">
        <f t="shared" si="9"/>
        <v>10</v>
      </c>
      <c r="AK12" s="2">
        <f t="shared" si="9"/>
        <v>50</v>
      </c>
      <c r="AL12" s="2">
        <f t="shared" si="9"/>
        <v>50</v>
      </c>
      <c r="AM12" s="2">
        <f t="shared" si="9"/>
        <v>40</v>
      </c>
      <c r="AN12" s="2">
        <f t="shared" si="9"/>
        <v>35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topLeftCell="ID1" zoomScale="150" zoomScaleNormal="90" workbookViewId="0">
      <selection activeCell="JA13" sqref="JA13"/>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7">
        <f>(Parameters!B8+1)*Parameters!B7 + 1</f>
        <v>41</v>
      </c>
      <c r="C1" s="57"/>
      <c r="D1" s="57"/>
      <c r="E1" s="57"/>
      <c r="F1" s="57"/>
      <c r="G1" s="57"/>
      <c r="H1" s="57"/>
      <c r="I1" s="57"/>
      <c r="J1" s="57"/>
      <c r="K1" s="57"/>
      <c r="L1" s="57"/>
      <c r="M1" s="57"/>
      <c r="N1" s="57"/>
      <c r="O1" s="57"/>
      <c r="P1" s="57"/>
      <c r="Q1" s="57"/>
      <c r="R1" s="57">
        <f>B1+Parameters!$B$7</f>
        <v>49</v>
      </c>
      <c r="S1" s="57"/>
      <c r="T1" s="57"/>
      <c r="U1" s="57"/>
      <c r="V1" s="57"/>
      <c r="W1" s="57"/>
      <c r="X1" s="57"/>
      <c r="Y1" s="57"/>
      <c r="Z1" s="57"/>
      <c r="AA1" s="57"/>
      <c r="AB1" s="57"/>
      <c r="AC1" s="57"/>
      <c r="AD1" s="57"/>
      <c r="AE1" s="57"/>
      <c r="AF1" s="57"/>
      <c r="AG1" s="57"/>
      <c r="AH1" s="57">
        <f>R1+Parameters!$B$7</f>
        <v>57</v>
      </c>
      <c r="AI1" s="57"/>
      <c r="AJ1" s="57"/>
      <c r="AK1" s="57"/>
      <c r="AL1" s="57"/>
      <c r="AM1" s="57"/>
      <c r="AN1" s="57"/>
      <c r="AO1" s="57"/>
      <c r="AP1" s="57"/>
      <c r="AQ1" s="57"/>
      <c r="AR1" s="57"/>
      <c r="AS1" s="57"/>
      <c r="AT1" s="57"/>
      <c r="AU1" s="57"/>
      <c r="AV1" s="57"/>
      <c r="AW1" s="57"/>
      <c r="AX1" s="57">
        <f>AH1+Parameters!$B$7</f>
        <v>65</v>
      </c>
      <c r="AY1" s="57"/>
      <c r="AZ1" s="57"/>
      <c r="BA1" s="57"/>
      <c r="BB1" s="57"/>
      <c r="BC1" s="57"/>
      <c r="BD1" s="57"/>
      <c r="BE1" s="57"/>
      <c r="BF1" s="57"/>
      <c r="BG1" s="57"/>
      <c r="BH1" s="57"/>
      <c r="BI1" s="57"/>
      <c r="BJ1" s="57"/>
      <c r="BK1" s="57"/>
      <c r="BL1" s="57"/>
      <c r="BM1" s="57"/>
      <c r="BN1" s="57">
        <f>AX1+Parameters!$B$7</f>
        <v>73</v>
      </c>
      <c r="BO1" s="57"/>
      <c r="BP1" s="57"/>
      <c r="BQ1" s="57"/>
      <c r="BR1" s="57"/>
      <c r="BS1" s="57"/>
      <c r="BT1" s="57"/>
      <c r="BU1" s="57"/>
      <c r="BV1" s="57"/>
      <c r="BW1" s="57"/>
      <c r="BX1" s="57"/>
      <c r="BY1" s="57"/>
      <c r="BZ1" s="57"/>
      <c r="CA1" s="57"/>
      <c r="CB1" s="57"/>
      <c r="CC1" s="57"/>
      <c r="CD1" s="57">
        <f>BN1+Parameters!$B$7</f>
        <v>81</v>
      </c>
      <c r="CE1" s="57"/>
      <c r="CF1" s="57"/>
      <c r="CG1" s="57"/>
      <c r="CH1" s="57"/>
      <c r="CI1" s="57"/>
      <c r="CJ1" s="57"/>
      <c r="CK1" s="57"/>
      <c r="CL1" s="57"/>
      <c r="CM1" s="57"/>
      <c r="CN1" s="57"/>
      <c r="CO1" s="57"/>
      <c r="CP1" s="57"/>
      <c r="CQ1" s="57"/>
      <c r="CR1" s="57"/>
      <c r="CS1" s="57"/>
      <c r="CT1" s="57">
        <f>CD1+Parameters!$B$7</f>
        <v>89</v>
      </c>
      <c r="CU1" s="57"/>
      <c r="CV1" s="57"/>
      <c r="CW1" s="57"/>
      <c r="CX1" s="57"/>
      <c r="CY1" s="57"/>
      <c r="CZ1" s="57"/>
      <c r="DA1" s="57"/>
      <c r="DB1" s="57"/>
      <c r="DC1" s="57"/>
      <c r="DD1" s="57"/>
      <c r="DE1" s="57"/>
      <c r="DF1" s="57"/>
      <c r="DG1" s="57"/>
      <c r="DH1" s="57"/>
      <c r="DI1" s="57"/>
      <c r="DJ1" s="57">
        <f>CT1+Parameters!$B$7</f>
        <v>97</v>
      </c>
      <c r="DK1" s="57"/>
      <c r="DL1" s="57"/>
      <c r="DM1" s="57"/>
      <c r="DN1" s="57"/>
      <c r="DO1" s="57"/>
      <c r="DP1" s="57"/>
      <c r="DQ1" s="57"/>
      <c r="DR1" s="57"/>
      <c r="DS1" s="57"/>
      <c r="DT1" s="57"/>
      <c r="DU1" s="57"/>
      <c r="DV1" s="57"/>
      <c r="DW1" s="57"/>
      <c r="DX1" s="57"/>
      <c r="DY1" s="57"/>
      <c r="DZ1" s="57">
        <f>DJ1+Parameters!$B$7</f>
        <v>105</v>
      </c>
      <c r="EA1" s="57"/>
      <c r="EB1" s="57"/>
      <c r="EC1" s="57"/>
      <c r="ED1" s="57"/>
      <c r="EE1" s="57"/>
      <c r="EF1" s="57"/>
      <c r="EG1" s="57"/>
      <c r="EH1" s="57"/>
      <c r="EI1" s="57"/>
      <c r="EJ1" s="57"/>
      <c r="EK1" s="57"/>
      <c r="EL1" s="57"/>
      <c r="EM1" s="57"/>
      <c r="EN1" s="57"/>
      <c r="EO1" s="57"/>
      <c r="EP1" s="57">
        <f>DZ1+Parameters!$B$7</f>
        <v>113</v>
      </c>
      <c r="EQ1" s="57"/>
      <c r="ER1" s="57"/>
      <c r="ES1" s="57"/>
      <c r="ET1" s="57"/>
      <c r="EU1" s="57"/>
      <c r="EV1" s="57"/>
      <c r="EW1" s="57"/>
      <c r="EX1" s="57"/>
      <c r="EY1" s="57"/>
      <c r="EZ1" s="57"/>
      <c r="FA1" s="57"/>
      <c r="FB1" s="57"/>
      <c r="FC1" s="57"/>
      <c r="FD1" s="57"/>
      <c r="FE1" s="57"/>
      <c r="FF1" s="57">
        <f>EP1+Parameters!$B$7</f>
        <v>121</v>
      </c>
      <c r="FG1" s="57"/>
      <c r="FH1" s="57"/>
      <c r="FI1" s="57"/>
      <c r="FJ1" s="57"/>
      <c r="FK1" s="57"/>
      <c r="FL1" s="57"/>
      <c r="FM1" s="57"/>
      <c r="FN1" s="57"/>
      <c r="FO1" s="57"/>
      <c r="FP1" s="57"/>
      <c r="FQ1" s="57"/>
      <c r="FR1" s="57"/>
      <c r="FS1" s="57"/>
      <c r="FT1" s="57"/>
      <c r="FU1" s="57"/>
      <c r="FV1" s="57">
        <f>FF1+Parameters!$B$7</f>
        <v>129</v>
      </c>
      <c r="FW1" s="57"/>
      <c r="FX1" s="57"/>
      <c r="FY1" s="57"/>
      <c r="FZ1" s="57"/>
      <c r="GA1" s="57"/>
      <c r="GB1" s="57"/>
      <c r="GC1" s="57"/>
      <c r="GD1" s="57"/>
      <c r="GE1" s="57"/>
      <c r="GF1" s="57"/>
      <c r="GG1" s="57"/>
      <c r="GH1" s="57"/>
      <c r="GI1" s="57"/>
      <c r="GJ1" s="57"/>
      <c r="GK1" s="57"/>
      <c r="GL1" s="57">
        <f>FV1+Parameters!$B$7</f>
        <v>137</v>
      </c>
      <c r="GM1" s="57"/>
      <c r="GN1" s="57"/>
      <c r="GO1" s="57"/>
      <c r="GP1" s="57"/>
      <c r="GQ1" s="57"/>
      <c r="GR1" s="57"/>
      <c r="GS1" s="57"/>
      <c r="GT1" s="57"/>
      <c r="GU1" s="57"/>
      <c r="GV1" s="57"/>
      <c r="GW1" s="57"/>
      <c r="GX1" s="57"/>
      <c r="GY1" s="57"/>
      <c r="GZ1" s="57"/>
      <c r="HA1" s="57"/>
      <c r="HB1" s="57">
        <f>GL1+Parameters!$B$7</f>
        <v>145</v>
      </c>
      <c r="HC1" s="57"/>
      <c r="HD1" s="57"/>
      <c r="HE1" s="57"/>
      <c r="HF1" s="57"/>
      <c r="HG1" s="57"/>
      <c r="HH1" s="57"/>
      <c r="HI1" s="57"/>
      <c r="HJ1" s="57"/>
      <c r="HK1" s="57"/>
      <c r="HL1" s="57"/>
      <c r="HM1" s="57"/>
      <c r="HN1" s="57"/>
      <c r="HO1" s="57"/>
      <c r="HP1" s="57"/>
      <c r="HQ1" s="57"/>
      <c r="HR1" s="57">
        <f>HB1+Parameters!$B$7</f>
        <v>153</v>
      </c>
      <c r="HS1" s="57"/>
      <c r="HT1" s="57"/>
      <c r="HU1" s="57"/>
      <c r="HV1" s="57"/>
      <c r="HW1" s="57"/>
      <c r="HX1" s="57"/>
      <c r="HY1" s="57"/>
      <c r="HZ1" s="57"/>
      <c r="IA1" s="57"/>
      <c r="IB1" s="57"/>
      <c r="IC1" s="57"/>
      <c r="ID1" s="57"/>
      <c r="IE1" s="57"/>
      <c r="IF1" s="57"/>
      <c r="IG1" s="57"/>
      <c r="IH1" s="57">
        <f>HR1+Parameters!$B$7</f>
        <v>161</v>
      </c>
      <c r="II1" s="57"/>
      <c r="IJ1" s="57"/>
      <c r="IK1" s="57"/>
      <c r="IL1" s="57"/>
      <c r="IM1" s="57"/>
      <c r="IN1" s="57"/>
      <c r="IO1" s="57"/>
      <c r="IP1" s="57"/>
      <c r="IQ1" s="57"/>
      <c r="IR1" s="57"/>
      <c r="IS1" s="57"/>
      <c r="IT1" s="57"/>
      <c r="IU1" s="57"/>
      <c r="IV1" s="57"/>
      <c r="IW1" s="57"/>
    </row>
    <row r="2" spans="1:257" x14ac:dyDescent="0.2">
      <c r="A2" s="4" t="s">
        <v>26</v>
      </c>
      <c r="B2" s="57">
        <f>1/16</f>
        <v>6.25E-2</v>
      </c>
      <c r="C2" s="57"/>
      <c r="D2" s="57"/>
      <c r="E2" s="57"/>
      <c r="F2" s="57"/>
      <c r="G2" s="57"/>
      <c r="H2" s="57"/>
      <c r="I2" s="57"/>
      <c r="J2" s="57"/>
      <c r="K2" s="57"/>
      <c r="L2" s="57"/>
      <c r="M2" s="57"/>
      <c r="N2" s="57"/>
      <c r="O2" s="57"/>
      <c r="P2" s="57"/>
      <c r="Q2" s="57"/>
      <c r="R2" s="57">
        <f>B2</f>
        <v>6.25E-2</v>
      </c>
      <c r="S2" s="57"/>
      <c r="T2" s="57"/>
      <c r="U2" s="57"/>
      <c r="V2" s="57"/>
      <c r="W2" s="57"/>
      <c r="X2" s="57"/>
      <c r="Y2" s="57"/>
      <c r="Z2" s="57"/>
      <c r="AA2" s="57"/>
      <c r="AB2" s="57"/>
      <c r="AC2" s="57"/>
      <c r="AD2" s="57"/>
      <c r="AE2" s="57"/>
      <c r="AF2" s="57"/>
      <c r="AG2" s="57"/>
      <c r="AH2" s="57">
        <f t="shared" ref="AH2" si="0">R2</f>
        <v>6.25E-2</v>
      </c>
      <c r="AI2" s="57"/>
      <c r="AJ2" s="57"/>
      <c r="AK2" s="57"/>
      <c r="AL2" s="57"/>
      <c r="AM2" s="57"/>
      <c r="AN2" s="57"/>
      <c r="AO2" s="57"/>
      <c r="AP2" s="57"/>
      <c r="AQ2" s="57"/>
      <c r="AR2" s="57"/>
      <c r="AS2" s="57"/>
      <c r="AT2" s="57"/>
      <c r="AU2" s="57"/>
      <c r="AV2" s="57"/>
      <c r="AW2" s="57"/>
      <c r="AX2" s="57">
        <f t="shared" ref="AX2" si="1">AH2</f>
        <v>6.25E-2</v>
      </c>
      <c r="AY2" s="57"/>
      <c r="AZ2" s="57"/>
      <c r="BA2" s="57"/>
      <c r="BB2" s="57"/>
      <c r="BC2" s="57"/>
      <c r="BD2" s="57"/>
      <c r="BE2" s="57"/>
      <c r="BF2" s="57"/>
      <c r="BG2" s="57"/>
      <c r="BH2" s="57"/>
      <c r="BI2" s="57"/>
      <c r="BJ2" s="57"/>
      <c r="BK2" s="57"/>
      <c r="BL2" s="57"/>
      <c r="BM2" s="57"/>
      <c r="BN2" s="57">
        <f t="shared" ref="BN2" si="2">AX2</f>
        <v>6.25E-2</v>
      </c>
      <c r="BO2" s="57"/>
      <c r="BP2" s="57"/>
      <c r="BQ2" s="57"/>
      <c r="BR2" s="57"/>
      <c r="BS2" s="57"/>
      <c r="BT2" s="57"/>
      <c r="BU2" s="57"/>
      <c r="BV2" s="57"/>
      <c r="BW2" s="57"/>
      <c r="BX2" s="57"/>
      <c r="BY2" s="57"/>
      <c r="BZ2" s="57"/>
      <c r="CA2" s="57"/>
      <c r="CB2" s="57"/>
      <c r="CC2" s="57"/>
      <c r="CD2" s="57">
        <f t="shared" ref="CD2" si="3">BN2</f>
        <v>6.25E-2</v>
      </c>
      <c r="CE2" s="57"/>
      <c r="CF2" s="57"/>
      <c r="CG2" s="57"/>
      <c r="CH2" s="57"/>
      <c r="CI2" s="57"/>
      <c r="CJ2" s="57"/>
      <c r="CK2" s="57"/>
      <c r="CL2" s="57"/>
      <c r="CM2" s="57"/>
      <c r="CN2" s="57"/>
      <c r="CO2" s="57"/>
      <c r="CP2" s="57"/>
      <c r="CQ2" s="57"/>
      <c r="CR2" s="57"/>
      <c r="CS2" s="57"/>
      <c r="CT2" s="57">
        <f t="shared" ref="CT2" si="4">CD2</f>
        <v>6.25E-2</v>
      </c>
      <c r="CU2" s="57"/>
      <c r="CV2" s="57"/>
      <c r="CW2" s="57"/>
      <c r="CX2" s="57"/>
      <c r="CY2" s="57"/>
      <c r="CZ2" s="57"/>
      <c r="DA2" s="57"/>
      <c r="DB2" s="57"/>
      <c r="DC2" s="57"/>
      <c r="DD2" s="57"/>
      <c r="DE2" s="57"/>
      <c r="DF2" s="57"/>
      <c r="DG2" s="57"/>
      <c r="DH2" s="57"/>
      <c r="DI2" s="57"/>
      <c r="DJ2" s="57">
        <f t="shared" ref="DJ2" si="5">CT2</f>
        <v>6.25E-2</v>
      </c>
      <c r="DK2" s="57"/>
      <c r="DL2" s="57"/>
      <c r="DM2" s="57"/>
      <c r="DN2" s="57"/>
      <c r="DO2" s="57"/>
      <c r="DP2" s="57"/>
      <c r="DQ2" s="57"/>
      <c r="DR2" s="57"/>
      <c r="DS2" s="57"/>
      <c r="DT2" s="57"/>
      <c r="DU2" s="57"/>
      <c r="DV2" s="57"/>
      <c r="DW2" s="57"/>
      <c r="DX2" s="57"/>
      <c r="DY2" s="57"/>
      <c r="DZ2" s="57">
        <f t="shared" ref="DZ2" si="6">DJ2</f>
        <v>6.25E-2</v>
      </c>
      <c r="EA2" s="57"/>
      <c r="EB2" s="57"/>
      <c r="EC2" s="57"/>
      <c r="ED2" s="57"/>
      <c r="EE2" s="57"/>
      <c r="EF2" s="57"/>
      <c r="EG2" s="57"/>
      <c r="EH2" s="57"/>
      <c r="EI2" s="57"/>
      <c r="EJ2" s="57"/>
      <c r="EK2" s="57"/>
      <c r="EL2" s="57"/>
      <c r="EM2" s="57"/>
      <c r="EN2" s="57"/>
      <c r="EO2" s="57"/>
      <c r="EP2" s="57">
        <f t="shared" ref="EP2" si="7">DZ2</f>
        <v>6.25E-2</v>
      </c>
      <c r="EQ2" s="57"/>
      <c r="ER2" s="57"/>
      <c r="ES2" s="57"/>
      <c r="ET2" s="57"/>
      <c r="EU2" s="57"/>
      <c r="EV2" s="57"/>
      <c r="EW2" s="57"/>
      <c r="EX2" s="57"/>
      <c r="EY2" s="57"/>
      <c r="EZ2" s="57"/>
      <c r="FA2" s="57"/>
      <c r="FB2" s="57"/>
      <c r="FC2" s="57"/>
      <c r="FD2" s="57"/>
      <c r="FE2" s="57"/>
      <c r="FF2" s="57">
        <f t="shared" ref="FF2" si="8">EP2</f>
        <v>6.25E-2</v>
      </c>
      <c r="FG2" s="57"/>
      <c r="FH2" s="57"/>
      <c r="FI2" s="57"/>
      <c r="FJ2" s="57"/>
      <c r="FK2" s="57"/>
      <c r="FL2" s="57"/>
      <c r="FM2" s="57"/>
      <c r="FN2" s="57"/>
      <c r="FO2" s="57"/>
      <c r="FP2" s="57"/>
      <c r="FQ2" s="57"/>
      <c r="FR2" s="57"/>
      <c r="FS2" s="57"/>
      <c r="FT2" s="57"/>
      <c r="FU2" s="57"/>
      <c r="FV2" s="57">
        <f t="shared" ref="FV2" si="9">FF2</f>
        <v>6.25E-2</v>
      </c>
      <c r="FW2" s="57"/>
      <c r="FX2" s="57"/>
      <c r="FY2" s="57"/>
      <c r="FZ2" s="57"/>
      <c r="GA2" s="57"/>
      <c r="GB2" s="57"/>
      <c r="GC2" s="57"/>
      <c r="GD2" s="57"/>
      <c r="GE2" s="57"/>
      <c r="GF2" s="57"/>
      <c r="GG2" s="57"/>
      <c r="GH2" s="57"/>
      <c r="GI2" s="57"/>
      <c r="GJ2" s="57"/>
      <c r="GK2" s="57"/>
      <c r="GL2" s="57">
        <f t="shared" ref="GL2" si="10">FV2</f>
        <v>6.25E-2</v>
      </c>
      <c r="GM2" s="57"/>
      <c r="GN2" s="57"/>
      <c r="GO2" s="57"/>
      <c r="GP2" s="57"/>
      <c r="GQ2" s="57"/>
      <c r="GR2" s="57"/>
      <c r="GS2" s="57"/>
      <c r="GT2" s="57"/>
      <c r="GU2" s="57"/>
      <c r="GV2" s="57"/>
      <c r="GW2" s="57"/>
      <c r="GX2" s="57"/>
      <c r="GY2" s="57"/>
      <c r="GZ2" s="57"/>
      <c r="HA2" s="57"/>
      <c r="HB2" s="57">
        <f t="shared" ref="HB2" si="11">GL2</f>
        <v>6.25E-2</v>
      </c>
      <c r="HC2" s="57"/>
      <c r="HD2" s="57"/>
      <c r="HE2" s="57"/>
      <c r="HF2" s="57"/>
      <c r="HG2" s="57"/>
      <c r="HH2" s="57"/>
      <c r="HI2" s="57"/>
      <c r="HJ2" s="57"/>
      <c r="HK2" s="57"/>
      <c r="HL2" s="57"/>
      <c r="HM2" s="57"/>
      <c r="HN2" s="57"/>
      <c r="HO2" s="57"/>
      <c r="HP2" s="57"/>
      <c r="HQ2" s="57"/>
      <c r="HR2" s="57">
        <f t="shared" ref="HR2" si="12">HB2</f>
        <v>6.25E-2</v>
      </c>
      <c r="HS2" s="57"/>
      <c r="HT2" s="57"/>
      <c r="HU2" s="57"/>
      <c r="HV2" s="57"/>
      <c r="HW2" s="57"/>
      <c r="HX2" s="57"/>
      <c r="HY2" s="57"/>
      <c r="HZ2" s="57"/>
      <c r="IA2" s="57"/>
      <c r="IB2" s="57"/>
      <c r="IC2" s="57"/>
      <c r="ID2" s="57"/>
      <c r="IE2" s="57"/>
      <c r="IF2" s="57"/>
      <c r="IG2" s="57"/>
      <c r="IH2" s="57">
        <f t="shared" ref="IH2" si="13">HR2</f>
        <v>6.25E-2</v>
      </c>
      <c r="II2" s="57"/>
      <c r="IJ2" s="57"/>
      <c r="IK2" s="57"/>
      <c r="IL2" s="57"/>
      <c r="IM2" s="57"/>
      <c r="IN2" s="57"/>
      <c r="IO2" s="57"/>
      <c r="IP2" s="57"/>
      <c r="IQ2" s="57"/>
      <c r="IR2" s="57"/>
      <c r="IS2" s="57"/>
      <c r="IT2" s="57"/>
      <c r="IU2" s="57"/>
      <c r="IV2" s="57"/>
      <c r="IW2" s="57"/>
    </row>
    <row r="3" spans="1:257" x14ac:dyDescent="0.2">
      <c r="A3" s="4" t="s">
        <v>33</v>
      </c>
      <c r="B3" s="60">
        <v>9</v>
      </c>
      <c r="C3" s="61"/>
      <c r="D3" s="61"/>
      <c r="E3" s="61"/>
      <c r="F3" s="61"/>
      <c r="G3" s="61"/>
      <c r="H3" s="61"/>
      <c r="I3" s="61"/>
      <c r="J3" s="61"/>
      <c r="K3" s="61"/>
      <c r="L3" s="61"/>
      <c r="M3" s="61"/>
      <c r="N3" s="61"/>
      <c r="O3" s="61"/>
      <c r="P3" s="61"/>
      <c r="Q3" s="62"/>
      <c r="R3" s="60">
        <v>9</v>
      </c>
      <c r="S3" s="61"/>
      <c r="T3" s="61"/>
      <c r="U3" s="61"/>
      <c r="V3" s="61"/>
      <c r="W3" s="61"/>
      <c r="X3" s="61"/>
      <c r="Y3" s="61"/>
      <c r="Z3" s="61"/>
      <c r="AA3" s="61"/>
      <c r="AB3" s="61"/>
      <c r="AC3" s="61"/>
      <c r="AD3" s="61"/>
      <c r="AE3" s="61"/>
      <c r="AF3" s="61"/>
      <c r="AG3" s="62"/>
      <c r="AH3" s="60">
        <v>9</v>
      </c>
      <c r="AI3" s="61"/>
      <c r="AJ3" s="61"/>
      <c r="AK3" s="61"/>
      <c r="AL3" s="61"/>
      <c r="AM3" s="61"/>
      <c r="AN3" s="61"/>
      <c r="AO3" s="61"/>
      <c r="AP3" s="61"/>
      <c r="AQ3" s="61"/>
      <c r="AR3" s="61"/>
      <c r="AS3" s="61"/>
      <c r="AT3" s="61"/>
      <c r="AU3" s="61"/>
      <c r="AV3" s="61"/>
      <c r="AW3" s="62"/>
      <c r="AX3" s="60">
        <v>9</v>
      </c>
      <c r="AY3" s="61"/>
      <c r="AZ3" s="61"/>
      <c r="BA3" s="61"/>
      <c r="BB3" s="61"/>
      <c r="BC3" s="61"/>
      <c r="BD3" s="61"/>
      <c r="BE3" s="61"/>
      <c r="BF3" s="61"/>
      <c r="BG3" s="61"/>
      <c r="BH3" s="61"/>
      <c r="BI3" s="61"/>
      <c r="BJ3" s="61"/>
      <c r="BK3" s="61"/>
      <c r="BL3" s="61"/>
      <c r="BM3" s="62"/>
      <c r="BN3" s="60">
        <v>17</v>
      </c>
      <c r="BO3" s="61"/>
      <c r="BP3" s="61"/>
      <c r="BQ3" s="61"/>
      <c r="BR3" s="61"/>
      <c r="BS3" s="61"/>
      <c r="BT3" s="61"/>
      <c r="BU3" s="61"/>
      <c r="BV3" s="61"/>
      <c r="BW3" s="61"/>
      <c r="BX3" s="61"/>
      <c r="BY3" s="61"/>
      <c r="BZ3" s="61"/>
      <c r="CA3" s="61"/>
      <c r="CB3" s="61"/>
      <c r="CC3" s="62"/>
      <c r="CD3" s="60">
        <v>17</v>
      </c>
      <c r="CE3" s="61"/>
      <c r="CF3" s="61"/>
      <c r="CG3" s="61"/>
      <c r="CH3" s="61"/>
      <c r="CI3" s="61"/>
      <c r="CJ3" s="61"/>
      <c r="CK3" s="61"/>
      <c r="CL3" s="61"/>
      <c r="CM3" s="61"/>
      <c r="CN3" s="61"/>
      <c r="CO3" s="61"/>
      <c r="CP3" s="61"/>
      <c r="CQ3" s="61"/>
      <c r="CR3" s="61"/>
      <c r="CS3" s="62"/>
      <c r="CT3" s="60">
        <v>17</v>
      </c>
      <c r="CU3" s="61"/>
      <c r="CV3" s="61"/>
      <c r="CW3" s="61"/>
      <c r="CX3" s="61"/>
      <c r="CY3" s="61"/>
      <c r="CZ3" s="61"/>
      <c r="DA3" s="61"/>
      <c r="DB3" s="61"/>
      <c r="DC3" s="61"/>
      <c r="DD3" s="61"/>
      <c r="DE3" s="61"/>
      <c r="DF3" s="61"/>
      <c r="DG3" s="61"/>
      <c r="DH3" s="61"/>
      <c r="DI3" s="62"/>
      <c r="DJ3" s="60">
        <v>17</v>
      </c>
      <c r="DK3" s="61"/>
      <c r="DL3" s="61"/>
      <c r="DM3" s="61"/>
      <c r="DN3" s="61"/>
      <c r="DO3" s="61"/>
      <c r="DP3" s="61"/>
      <c r="DQ3" s="61"/>
      <c r="DR3" s="61"/>
      <c r="DS3" s="61"/>
      <c r="DT3" s="61"/>
      <c r="DU3" s="61"/>
      <c r="DV3" s="61"/>
      <c r="DW3" s="61"/>
      <c r="DX3" s="61"/>
      <c r="DY3" s="62"/>
      <c r="DZ3" s="63">
        <v>25</v>
      </c>
      <c r="EA3" s="64"/>
      <c r="EB3" s="64"/>
      <c r="EC3" s="64"/>
      <c r="ED3" s="64"/>
      <c r="EE3" s="64"/>
      <c r="EF3" s="64"/>
      <c r="EG3" s="64"/>
      <c r="EH3" s="64"/>
      <c r="EI3" s="64"/>
      <c r="EJ3" s="64"/>
      <c r="EK3" s="64"/>
      <c r="EL3" s="64"/>
      <c r="EM3" s="64"/>
      <c r="EN3" s="64"/>
      <c r="EO3" s="65"/>
      <c r="EP3" s="66">
        <v>25</v>
      </c>
      <c r="EQ3" s="64"/>
      <c r="ER3" s="64"/>
      <c r="ES3" s="64"/>
      <c r="ET3" s="64"/>
      <c r="EU3" s="64"/>
      <c r="EV3" s="64"/>
      <c r="EW3" s="64"/>
      <c r="EX3" s="64"/>
      <c r="EY3" s="64"/>
      <c r="EZ3" s="64"/>
      <c r="FA3" s="64"/>
      <c r="FB3" s="64"/>
      <c r="FC3" s="64"/>
      <c r="FD3" s="64"/>
      <c r="FE3" s="65"/>
      <c r="FF3" s="66">
        <v>25</v>
      </c>
      <c r="FG3" s="64"/>
      <c r="FH3" s="64"/>
      <c r="FI3" s="64"/>
      <c r="FJ3" s="64"/>
      <c r="FK3" s="64"/>
      <c r="FL3" s="64"/>
      <c r="FM3" s="64"/>
      <c r="FN3" s="64"/>
      <c r="FO3" s="64"/>
      <c r="FP3" s="64"/>
      <c r="FQ3" s="64"/>
      <c r="FR3" s="64"/>
      <c r="FS3" s="64"/>
      <c r="FT3" s="64"/>
      <c r="FU3" s="65"/>
      <c r="FV3" s="66">
        <v>25</v>
      </c>
      <c r="FW3" s="64"/>
      <c r="FX3" s="64"/>
      <c r="FY3" s="64"/>
      <c r="FZ3" s="64"/>
      <c r="GA3" s="64"/>
      <c r="GB3" s="64"/>
      <c r="GC3" s="64"/>
      <c r="GD3" s="64"/>
      <c r="GE3" s="64"/>
      <c r="GF3" s="64"/>
      <c r="GG3" s="64"/>
      <c r="GH3" s="64"/>
      <c r="GI3" s="64"/>
      <c r="GJ3" s="64"/>
      <c r="GK3" s="65"/>
      <c r="GL3" s="66">
        <v>33</v>
      </c>
      <c r="GM3" s="64"/>
      <c r="GN3" s="64"/>
      <c r="GO3" s="64"/>
      <c r="GP3" s="64"/>
      <c r="GQ3" s="64"/>
      <c r="GR3" s="64"/>
      <c r="GS3" s="64"/>
      <c r="GT3" s="64"/>
      <c r="GU3" s="64"/>
      <c r="GV3" s="64"/>
      <c r="GW3" s="64"/>
      <c r="GX3" s="64"/>
      <c r="GY3" s="64"/>
      <c r="GZ3" s="64"/>
      <c r="HA3" s="65"/>
      <c r="HB3" s="66">
        <v>33</v>
      </c>
      <c r="HC3" s="64"/>
      <c r="HD3" s="64"/>
      <c r="HE3" s="64"/>
      <c r="HF3" s="64"/>
      <c r="HG3" s="64"/>
      <c r="HH3" s="64"/>
      <c r="HI3" s="64"/>
      <c r="HJ3" s="64"/>
      <c r="HK3" s="64"/>
      <c r="HL3" s="64"/>
      <c r="HM3" s="64"/>
      <c r="HN3" s="64"/>
      <c r="HO3" s="64"/>
      <c r="HP3" s="64"/>
      <c r="HQ3" s="65"/>
      <c r="HR3" s="66">
        <v>33</v>
      </c>
      <c r="HS3" s="64"/>
      <c r="HT3" s="64"/>
      <c r="HU3" s="64"/>
      <c r="HV3" s="64"/>
      <c r="HW3" s="64"/>
      <c r="HX3" s="64"/>
      <c r="HY3" s="64"/>
      <c r="HZ3" s="64"/>
      <c r="IA3" s="64"/>
      <c r="IB3" s="64"/>
      <c r="IC3" s="64"/>
      <c r="ID3" s="64"/>
      <c r="IE3" s="64"/>
      <c r="IF3" s="64"/>
      <c r="IG3" s="65"/>
      <c r="IH3" s="66">
        <v>33</v>
      </c>
      <c r="II3" s="64"/>
      <c r="IJ3" s="64"/>
      <c r="IK3" s="64"/>
      <c r="IL3" s="64"/>
      <c r="IM3" s="64"/>
      <c r="IN3" s="64"/>
      <c r="IO3" s="64"/>
      <c r="IP3" s="64"/>
      <c r="IQ3" s="64"/>
      <c r="IR3" s="64"/>
      <c r="IS3" s="64"/>
      <c r="IT3" s="64"/>
      <c r="IU3" s="64"/>
      <c r="IV3" s="64"/>
      <c r="IW3" s="65"/>
    </row>
    <row r="4" spans="1:257" x14ac:dyDescent="0.2">
      <c r="A4" s="4"/>
      <c r="B4" s="58" t="s">
        <v>27</v>
      </c>
      <c r="C4" s="58"/>
      <c r="D4" s="58"/>
      <c r="E4" s="58"/>
      <c r="F4" s="58"/>
      <c r="G4" s="58"/>
      <c r="H4" s="58"/>
      <c r="I4" s="58"/>
      <c r="J4" s="59" t="s">
        <v>28</v>
      </c>
      <c r="K4" s="59"/>
      <c r="L4" s="59"/>
      <c r="M4" s="59"/>
      <c r="N4" s="59"/>
      <c r="O4" s="59"/>
      <c r="P4" s="59"/>
      <c r="Q4" s="59"/>
      <c r="R4" s="58" t="s">
        <v>27</v>
      </c>
      <c r="S4" s="58"/>
      <c r="T4" s="58"/>
      <c r="U4" s="58"/>
      <c r="V4" s="58"/>
      <c r="W4" s="58"/>
      <c r="X4" s="58"/>
      <c r="Y4" s="58"/>
      <c r="Z4" s="59" t="s">
        <v>28</v>
      </c>
      <c r="AA4" s="59"/>
      <c r="AB4" s="59"/>
      <c r="AC4" s="59"/>
      <c r="AD4" s="59"/>
      <c r="AE4" s="59"/>
      <c r="AF4" s="59"/>
      <c r="AG4" s="59"/>
      <c r="AH4" s="58" t="s">
        <v>27</v>
      </c>
      <c r="AI4" s="58"/>
      <c r="AJ4" s="58"/>
      <c r="AK4" s="58"/>
      <c r="AL4" s="58"/>
      <c r="AM4" s="58"/>
      <c r="AN4" s="58"/>
      <c r="AO4" s="58"/>
      <c r="AP4" s="59" t="s">
        <v>28</v>
      </c>
      <c r="AQ4" s="59"/>
      <c r="AR4" s="59"/>
      <c r="AS4" s="59"/>
      <c r="AT4" s="59"/>
      <c r="AU4" s="59"/>
      <c r="AV4" s="59"/>
      <c r="AW4" s="59"/>
      <c r="AX4" s="58" t="s">
        <v>27</v>
      </c>
      <c r="AY4" s="58"/>
      <c r="AZ4" s="58"/>
      <c r="BA4" s="58"/>
      <c r="BB4" s="58"/>
      <c r="BC4" s="58"/>
      <c r="BD4" s="58"/>
      <c r="BE4" s="58"/>
      <c r="BF4" s="59" t="s">
        <v>28</v>
      </c>
      <c r="BG4" s="59"/>
      <c r="BH4" s="59"/>
      <c r="BI4" s="59"/>
      <c r="BJ4" s="59"/>
      <c r="BK4" s="59"/>
      <c r="BL4" s="59"/>
      <c r="BM4" s="59"/>
      <c r="BN4" s="58" t="s">
        <v>27</v>
      </c>
      <c r="BO4" s="58"/>
      <c r="BP4" s="58"/>
      <c r="BQ4" s="58"/>
      <c r="BR4" s="58"/>
      <c r="BS4" s="58"/>
      <c r="BT4" s="58"/>
      <c r="BU4" s="58"/>
      <c r="BV4" s="59" t="s">
        <v>28</v>
      </c>
      <c r="BW4" s="59"/>
      <c r="BX4" s="59"/>
      <c r="BY4" s="59"/>
      <c r="BZ4" s="59"/>
      <c r="CA4" s="59"/>
      <c r="CB4" s="59"/>
      <c r="CC4" s="59"/>
      <c r="CD4" s="58" t="s">
        <v>27</v>
      </c>
      <c r="CE4" s="58"/>
      <c r="CF4" s="58"/>
      <c r="CG4" s="58"/>
      <c r="CH4" s="58"/>
      <c r="CI4" s="58"/>
      <c r="CJ4" s="58"/>
      <c r="CK4" s="58"/>
      <c r="CL4" s="59" t="s">
        <v>28</v>
      </c>
      <c r="CM4" s="59"/>
      <c r="CN4" s="59"/>
      <c r="CO4" s="59"/>
      <c r="CP4" s="59"/>
      <c r="CQ4" s="59"/>
      <c r="CR4" s="59"/>
      <c r="CS4" s="59"/>
      <c r="CT4" s="58" t="s">
        <v>27</v>
      </c>
      <c r="CU4" s="58"/>
      <c r="CV4" s="58"/>
      <c r="CW4" s="58"/>
      <c r="CX4" s="58"/>
      <c r="CY4" s="58"/>
      <c r="CZ4" s="58"/>
      <c r="DA4" s="58"/>
      <c r="DB4" s="59" t="s">
        <v>28</v>
      </c>
      <c r="DC4" s="59"/>
      <c r="DD4" s="59"/>
      <c r="DE4" s="59"/>
      <c r="DF4" s="59"/>
      <c r="DG4" s="59"/>
      <c r="DH4" s="59"/>
      <c r="DI4" s="59"/>
      <c r="DJ4" s="58" t="s">
        <v>27</v>
      </c>
      <c r="DK4" s="58"/>
      <c r="DL4" s="58"/>
      <c r="DM4" s="58"/>
      <c r="DN4" s="58"/>
      <c r="DO4" s="58"/>
      <c r="DP4" s="58"/>
      <c r="DQ4" s="58"/>
      <c r="DR4" s="59" t="s">
        <v>28</v>
      </c>
      <c r="DS4" s="59"/>
      <c r="DT4" s="59"/>
      <c r="DU4" s="59"/>
      <c r="DV4" s="59"/>
      <c r="DW4" s="59"/>
      <c r="DX4" s="59"/>
      <c r="DY4" s="59"/>
      <c r="DZ4" s="58" t="s">
        <v>27</v>
      </c>
      <c r="EA4" s="58"/>
      <c r="EB4" s="58"/>
      <c r="EC4" s="58"/>
      <c r="ED4" s="58"/>
      <c r="EE4" s="58"/>
      <c r="EF4" s="58"/>
      <c r="EG4" s="58"/>
      <c r="EH4" s="59" t="s">
        <v>28</v>
      </c>
      <c r="EI4" s="59"/>
      <c r="EJ4" s="59"/>
      <c r="EK4" s="59"/>
      <c r="EL4" s="59"/>
      <c r="EM4" s="59"/>
      <c r="EN4" s="59"/>
      <c r="EO4" s="59"/>
      <c r="EP4" s="58" t="s">
        <v>27</v>
      </c>
      <c r="EQ4" s="58"/>
      <c r="ER4" s="58"/>
      <c r="ES4" s="58"/>
      <c r="ET4" s="58"/>
      <c r="EU4" s="58"/>
      <c r="EV4" s="58"/>
      <c r="EW4" s="58"/>
      <c r="EX4" s="59" t="s">
        <v>28</v>
      </c>
      <c r="EY4" s="59"/>
      <c r="EZ4" s="59"/>
      <c r="FA4" s="59"/>
      <c r="FB4" s="59"/>
      <c r="FC4" s="59"/>
      <c r="FD4" s="59"/>
      <c r="FE4" s="59"/>
      <c r="FF4" s="58" t="s">
        <v>27</v>
      </c>
      <c r="FG4" s="58"/>
      <c r="FH4" s="58"/>
      <c r="FI4" s="58"/>
      <c r="FJ4" s="58"/>
      <c r="FK4" s="58"/>
      <c r="FL4" s="58"/>
      <c r="FM4" s="58"/>
      <c r="FN4" s="59" t="s">
        <v>28</v>
      </c>
      <c r="FO4" s="59"/>
      <c r="FP4" s="59"/>
      <c r="FQ4" s="59"/>
      <c r="FR4" s="59"/>
      <c r="FS4" s="59"/>
      <c r="FT4" s="59"/>
      <c r="FU4" s="59"/>
      <c r="FV4" s="58" t="s">
        <v>27</v>
      </c>
      <c r="FW4" s="58"/>
      <c r="FX4" s="58"/>
      <c r="FY4" s="58"/>
      <c r="FZ4" s="58"/>
      <c r="GA4" s="58"/>
      <c r="GB4" s="58"/>
      <c r="GC4" s="58"/>
      <c r="GD4" s="59" t="s">
        <v>28</v>
      </c>
      <c r="GE4" s="59"/>
      <c r="GF4" s="59"/>
      <c r="GG4" s="59"/>
      <c r="GH4" s="59"/>
      <c r="GI4" s="59"/>
      <c r="GJ4" s="59"/>
      <c r="GK4" s="59"/>
      <c r="GL4" s="58" t="s">
        <v>27</v>
      </c>
      <c r="GM4" s="58"/>
      <c r="GN4" s="58"/>
      <c r="GO4" s="58"/>
      <c r="GP4" s="58"/>
      <c r="GQ4" s="58"/>
      <c r="GR4" s="58"/>
      <c r="GS4" s="58"/>
      <c r="GT4" s="59" t="s">
        <v>28</v>
      </c>
      <c r="GU4" s="59"/>
      <c r="GV4" s="59"/>
      <c r="GW4" s="59"/>
      <c r="GX4" s="59"/>
      <c r="GY4" s="59"/>
      <c r="GZ4" s="59"/>
      <c r="HA4" s="59"/>
      <c r="HB4" s="58" t="s">
        <v>27</v>
      </c>
      <c r="HC4" s="58"/>
      <c r="HD4" s="58"/>
      <c r="HE4" s="58"/>
      <c r="HF4" s="58"/>
      <c r="HG4" s="58"/>
      <c r="HH4" s="58"/>
      <c r="HI4" s="58"/>
      <c r="HJ4" s="59" t="s">
        <v>28</v>
      </c>
      <c r="HK4" s="59"/>
      <c r="HL4" s="59"/>
      <c r="HM4" s="59"/>
      <c r="HN4" s="59"/>
      <c r="HO4" s="59"/>
      <c r="HP4" s="59"/>
      <c r="HQ4" s="59"/>
      <c r="HR4" s="58" t="s">
        <v>27</v>
      </c>
      <c r="HS4" s="58"/>
      <c r="HT4" s="58"/>
      <c r="HU4" s="58"/>
      <c r="HV4" s="58"/>
      <c r="HW4" s="58"/>
      <c r="HX4" s="58"/>
      <c r="HY4" s="58"/>
      <c r="HZ4" s="59" t="s">
        <v>28</v>
      </c>
      <c r="IA4" s="59"/>
      <c r="IB4" s="59"/>
      <c r="IC4" s="59"/>
      <c r="ID4" s="59"/>
      <c r="IE4" s="59"/>
      <c r="IF4" s="59"/>
      <c r="IG4" s="59"/>
      <c r="IH4" s="58" t="s">
        <v>27</v>
      </c>
      <c r="II4" s="58"/>
      <c r="IJ4" s="58"/>
      <c r="IK4" s="58"/>
      <c r="IL4" s="58"/>
      <c r="IM4" s="58"/>
      <c r="IN4" s="58"/>
      <c r="IO4" s="58"/>
      <c r="IP4" s="59" t="s">
        <v>28</v>
      </c>
      <c r="IQ4" s="59"/>
      <c r="IR4" s="59"/>
      <c r="IS4" s="59"/>
      <c r="IT4" s="59"/>
      <c r="IU4" s="59"/>
      <c r="IV4" s="59"/>
      <c r="IW4" s="59"/>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40</v>
      </c>
      <c r="BR10" s="2">
        <f>'Demand Stage 2'!V9</f>
        <v>40</v>
      </c>
      <c r="BS10" s="2">
        <f>'Demand Stage 2'!W9</f>
        <v>40</v>
      </c>
      <c r="BT10" s="2">
        <f>'Demand Stage 2'!X9</f>
        <v>50</v>
      </c>
      <c r="BU10" s="2">
        <f>'Demand Stage 2'!Y9</f>
        <v>20</v>
      </c>
      <c r="BV10" s="3"/>
      <c r="BW10" s="3"/>
      <c r="BX10" s="3"/>
      <c r="BY10" s="3"/>
      <c r="BZ10" s="3"/>
      <c r="CA10" s="3"/>
      <c r="CB10" s="3"/>
      <c r="CC10" s="3"/>
      <c r="CD10" s="2">
        <f t="shared" si="38"/>
        <v>10</v>
      </c>
      <c r="CE10" s="2">
        <f t="shared" si="14"/>
        <v>10</v>
      </c>
      <c r="CF10" s="2">
        <f t="shared" si="14"/>
        <v>10</v>
      </c>
      <c r="CG10" s="2">
        <f t="shared" si="14"/>
        <v>40</v>
      </c>
      <c r="CH10" s="2">
        <f t="shared" si="14"/>
        <v>40</v>
      </c>
      <c r="CI10" s="2">
        <f t="shared" si="14"/>
        <v>40</v>
      </c>
      <c r="CJ10" s="2">
        <f t="shared" si="14"/>
        <v>50</v>
      </c>
      <c r="CK10" s="2">
        <f t="shared" si="14"/>
        <v>20</v>
      </c>
      <c r="CL10" s="3"/>
      <c r="CM10" s="3"/>
      <c r="CN10" s="3"/>
      <c r="CO10" s="3"/>
      <c r="CP10" s="3"/>
      <c r="CQ10" s="3"/>
      <c r="CR10" s="3"/>
      <c r="CS10" s="3"/>
      <c r="CT10" s="2">
        <f t="shared" si="74"/>
        <v>10</v>
      </c>
      <c r="CU10" s="2">
        <f t="shared" si="16"/>
        <v>10</v>
      </c>
      <c r="CV10" s="2">
        <f t="shared" si="16"/>
        <v>10</v>
      </c>
      <c r="CW10" s="2">
        <f t="shared" si="16"/>
        <v>40</v>
      </c>
      <c r="CX10" s="2">
        <f t="shared" si="16"/>
        <v>40</v>
      </c>
      <c r="CY10" s="2">
        <f t="shared" si="16"/>
        <v>40</v>
      </c>
      <c r="CZ10" s="2">
        <f t="shared" si="16"/>
        <v>50</v>
      </c>
      <c r="DA10" s="2">
        <f t="shared" si="16"/>
        <v>20</v>
      </c>
      <c r="DB10" s="3"/>
      <c r="DC10" s="3"/>
      <c r="DD10" s="3"/>
      <c r="DE10" s="3"/>
      <c r="DF10" s="3"/>
      <c r="DG10" s="3"/>
      <c r="DH10" s="3"/>
      <c r="DI10" s="3"/>
      <c r="DJ10" s="2">
        <f t="shared" si="40"/>
        <v>10</v>
      </c>
      <c r="DK10" s="2">
        <f t="shared" si="24"/>
        <v>10</v>
      </c>
      <c r="DL10" s="2">
        <f t="shared" si="24"/>
        <v>10</v>
      </c>
      <c r="DM10" s="2">
        <f t="shared" si="24"/>
        <v>40</v>
      </c>
      <c r="DN10" s="2">
        <f t="shared" si="24"/>
        <v>40</v>
      </c>
      <c r="DO10" s="2">
        <f t="shared" si="24"/>
        <v>40</v>
      </c>
      <c r="DP10" s="2">
        <f t="shared" si="24"/>
        <v>50</v>
      </c>
      <c r="DQ10" s="2">
        <f t="shared" si="24"/>
        <v>20</v>
      </c>
      <c r="DR10" s="3"/>
      <c r="DS10" s="3"/>
      <c r="DT10" s="3"/>
      <c r="DU10" s="3"/>
      <c r="DV10" s="3"/>
      <c r="DW10" s="3"/>
      <c r="DX10" s="3"/>
      <c r="DY10" s="3"/>
      <c r="DZ10" s="2">
        <f>'Demand Stage 2'!AH9</f>
        <v>10</v>
      </c>
      <c r="EA10" s="2">
        <f>'Demand Stage 2'!AI9</f>
        <v>10</v>
      </c>
      <c r="EB10" s="2">
        <f>'Demand Stage 2'!AJ9</f>
        <v>10</v>
      </c>
      <c r="EC10" s="2">
        <f>'Demand Stage 2'!AK9</f>
        <v>50</v>
      </c>
      <c r="ED10" s="2">
        <f>'Demand Stage 2'!AL9</f>
        <v>50</v>
      </c>
      <c r="EE10" s="2">
        <f>'Demand Stage 2'!AM9</f>
        <v>40</v>
      </c>
      <c r="EF10" s="2">
        <f>'Demand Stage 2'!AN9</f>
        <v>40</v>
      </c>
      <c r="EG10" s="2">
        <f>'Demand Stage 2'!AO9</f>
        <v>20</v>
      </c>
      <c r="EH10" s="3"/>
      <c r="EI10" s="3"/>
      <c r="EJ10" s="3"/>
      <c r="EK10" s="3"/>
      <c r="EL10" s="3"/>
      <c r="EM10" s="3"/>
      <c r="EN10" s="3"/>
      <c r="EO10" s="3"/>
      <c r="EP10" s="2">
        <f t="shared" si="49"/>
        <v>10</v>
      </c>
      <c r="EQ10" s="2">
        <f t="shared" si="26"/>
        <v>10</v>
      </c>
      <c r="ER10" s="2">
        <f t="shared" si="26"/>
        <v>10</v>
      </c>
      <c r="ES10" s="2">
        <f t="shared" si="26"/>
        <v>50</v>
      </c>
      <c r="ET10" s="2">
        <f t="shared" si="26"/>
        <v>50</v>
      </c>
      <c r="EU10" s="2">
        <f t="shared" si="26"/>
        <v>40</v>
      </c>
      <c r="EV10" s="2">
        <f t="shared" si="26"/>
        <v>40</v>
      </c>
      <c r="EW10" s="2">
        <f t="shared" si="26"/>
        <v>20</v>
      </c>
      <c r="EX10" s="3"/>
      <c r="EY10" s="3"/>
      <c r="EZ10" s="3"/>
      <c r="FA10" s="3"/>
      <c r="FB10" s="3"/>
      <c r="FC10" s="3"/>
      <c r="FD10" s="3"/>
      <c r="FE10" s="3"/>
      <c r="FF10" s="2">
        <f t="shared" si="51"/>
        <v>10</v>
      </c>
      <c r="FG10" s="2">
        <f t="shared" si="28"/>
        <v>10</v>
      </c>
      <c r="FH10" s="2">
        <f t="shared" si="28"/>
        <v>10</v>
      </c>
      <c r="FI10" s="2">
        <f t="shared" si="28"/>
        <v>50</v>
      </c>
      <c r="FJ10" s="2">
        <f t="shared" si="28"/>
        <v>50</v>
      </c>
      <c r="FK10" s="2">
        <f t="shared" si="28"/>
        <v>40</v>
      </c>
      <c r="FL10" s="2">
        <f t="shared" si="28"/>
        <v>40</v>
      </c>
      <c r="FM10" s="2">
        <f t="shared" si="28"/>
        <v>20</v>
      </c>
      <c r="FN10" s="3"/>
      <c r="FO10" s="3"/>
      <c r="FP10" s="3"/>
      <c r="FQ10" s="3"/>
      <c r="FR10" s="3"/>
      <c r="FS10" s="3"/>
      <c r="FT10" s="3"/>
      <c r="FU10" s="3"/>
      <c r="FV10" s="2">
        <f t="shared" si="60"/>
        <v>10</v>
      </c>
      <c r="FW10" s="2">
        <f t="shared" si="30"/>
        <v>10</v>
      </c>
      <c r="FX10" s="2">
        <f t="shared" si="30"/>
        <v>10</v>
      </c>
      <c r="FY10" s="2">
        <f t="shared" si="30"/>
        <v>50</v>
      </c>
      <c r="FZ10" s="2">
        <f t="shared" si="30"/>
        <v>50</v>
      </c>
      <c r="GA10" s="2">
        <f t="shared" si="30"/>
        <v>40</v>
      </c>
      <c r="GB10" s="2">
        <f t="shared" si="30"/>
        <v>40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40</v>
      </c>
      <c r="BR13" s="2">
        <f>'Demand Stage 2'!V12</f>
        <v>40</v>
      </c>
      <c r="BS13" s="2">
        <f>'Demand Stage 2'!W12</f>
        <v>40</v>
      </c>
      <c r="BT13" s="2">
        <f>'Demand Stage 2'!X12</f>
        <v>45</v>
      </c>
      <c r="BU13" s="2">
        <f>'Demand Stage 2'!Y12</f>
        <v>20</v>
      </c>
      <c r="BV13" s="3"/>
      <c r="BW13" s="3"/>
      <c r="BX13" s="3"/>
      <c r="BY13" s="3"/>
      <c r="BZ13" s="3"/>
      <c r="CA13" s="3"/>
      <c r="CB13" s="3"/>
      <c r="CC13" s="3"/>
      <c r="CD13" s="2">
        <f t="shared" si="38"/>
        <v>10</v>
      </c>
      <c r="CE13" s="2">
        <f t="shared" si="14"/>
        <v>10</v>
      </c>
      <c r="CF13" s="2">
        <f t="shared" si="14"/>
        <v>10</v>
      </c>
      <c r="CG13" s="2">
        <f t="shared" si="14"/>
        <v>40</v>
      </c>
      <c r="CH13" s="2">
        <f t="shared" si="14"/>
        <v>40</v>
      </c>
      <c r="CI13" s="2">
        <f t="shared" si="14"/>
        <v>40</v>
      </c>
      <c r="CJ13" s="2">
        <f t="shared" si="14"/>
        <v>45</v>
      </c>
      <c r="CK13" s="2">
        <f t="shared" si="14"/>
        <v>20</v>
      </c>
      <c r="CL13" s="3"/>
      <c r="CM13" s="3"/>
      <c r="CN13" s="3"/>
      <c r="CO13" s="3"/>
      <c r="CP13" s="3"/>
      <c r="CQ13" s="3"/>
      <c r="CR13" s="3"/>
      <c r="CS13" s="3"/>
      <c r="CT13" s="2">
        <f t="shared" si="74"/>
        <v>10</v>
      </c>
      <c r="CU13" s="2">
        <f t="shared" si="16"/>
        <v>10</v>
      </c>
      <c r="CV13" s="2">
        <f t="shared" si="16"/>
        <v>10</v>
      </c>
      <c r="CW13" s="2">
        <f t="shared" si="16"/>
        <v>40</v>
      </c>
      <c r="CX13" s="2">
        <f t="shared" si="16"/>
        <v>40</v>
      </c>
      <c r="CY13" s="2">
        <f t="shared" si="16"/>
        <v>40</v>
      </c>
      <c r="CZ13" s="2">
        <f>CJ13</f>
        <v>45</v>
      </c>
      <c r="DA13" s="2">
        <f t="shared" si="16"/>
        <v>20</v>
      </c>
      <c r="DB13" s="3"/>
      <c r="DC13" s="3"/>
      <c r="DD13" s="3"/>
      <c r="DE13" s="3"/>
      <c r="DF13" s="3"/>
      <c r="DG13" s="3"/>
      <c r="DH13" s="3"/>
      <c r="DI13" s="3"/>
      <c r="DJ13" s="2">
        <f t="shared" si="40"/>
        <v>10</v>
      </c>
      <c r="DK13" s="2">
        <f t="shared" si="24"/>
        <v>10</v>
      </c>
      <c r="DL13" s="2">
        <f t="shared" si="24"/>
        <v>10</v>
      </c>
      <c r="DM13" s="2">
        <f t="shared" si="24"/>
        <v>40</v>
      </c>
      <c r="DN13" s="2">
        <f t="shared" si="24"/>
        <v>40</v>
      </c>
      <c r="DO13" s="2">
        <f t="shared" si="24"/>
        <v>40</v>
      </c>
      <c r="DP13" s="2">
        <f t="shared" si="24"/>
        <v>45</v>
      </c>
      <c r="DQ13" s="2">
        <f t="shared" si="24"/>
        <v>20</v>
      </c>
      <c r="DR13" s="3"/>
      <c r="DS13" s="3"/>
      <c r="DT13" s="3"/>
      <c r="DU13" s="3"/>
      <c r="DV13" s="3"/>
      <c r="DW13" s="3"/>
      <c r="DX13" s="3"/>
      <c r="DY13" s="3"/>
      <c r="DZ13" s="2">
        <f>'Demand Stage 2'!AH12</f>
        <v>10</v>
      </c>
      <c r="EA13" s="2">
        <f>'Demand Stage 2'!AI12</f>
        <v>10</v>
      </c>
      <c r="EB13" s="2">
        <f>'Demand Stage 2'!AJ12</f>
        <v>10</v>
      </c>
      <c r="EC13" s="2">
        <f>'Demand Stage 2'!AK12</f>
        <v>50</v>
      </c>
      <c r="ED13" s="2">
        <f>'Demand Stage 2'!AL12</f>
        <v>50</v>
      </c>
      <c r="EE13" s="2">
        <f>'Demand Stage 2'!AM12</f>
        <v>40</v>
      </c>
      <c r="EF13" s="2">
        <f>'Demand Stage 2'!AN12</f>
        <v>35</v>
      </c>
      <c r="EG13" s="2">
        <f>'Demand Stage 2'!AO12</f>
        <v>20</v>
      </c>
      <c r="EH13" s="3"/>
      <c r="EI13" s="3"/>
      <c r="EJ13" s="3"/>
      <c r="EK13" s="3"/>
      <c r="EL13" s="3"/>
      <c r="EM13" s="3"/>
      <c r="EN13" s="3"/>
      <c r="EO13" s="3"/>
      <c r="EP13" s="2">
        <f t="shared" si="49"/>
        <v>10</v>
      </c>
      <c r="EQ13" s="2">
        <f t="shared" si="26"/>
        <v>10</v>
      </c>
      <c r="ER13" s="2">
        <f t="shared" si="26"/>
        <v>10</v>
      </c>
      <c r="ES13" s="2">
        <f t="shared" si="26"/>
        <v>50</v>
      </c>
      <c r="ET13" s="2">
        <f t="shared" si="26"/>
        <v>50</v>
      </c>
      <c r="EU13" s="2">
        <f t="shared" si="26"/>
        <v>40</v>
      </c>
      <c r="EV13" s="2">
        <f t="shared" si="26"/>
        <v>35</v>
      </c>
      <c r="EW13" s="2">
        <f t="shared" si="26"/>
        <v>20</v>
      </c>
      <c r="EX13" s="3"/>
      <c r="EY13" s="3"/>
      <c r="EZ13" s="3"/>
      <c r="FA13" s="3"/>
      <c r="FB13" s="3"/>
      <c r="FC13" s="3"/>
      <c r="FD13" s="3"/>
      <c r="FE13" s="3"/>
      <c r="FF13" s="2">
        <f t="shared" si="51"/>
        <v>10</v>
      </c>
      <c r="FG13" s="2">
        <f t="shared" si="28"/>
        <v>10</v>
      </c>
      <c r="FH13" s="2">
        <f t="shared" si="28"/>
        <v>10</v>
      </c>
      <c r="FI13" s="2">
        <f t="shared" si="28"/>
        <v>50</v>
      </c>
      <c r="FJ13" s="2">
        <f t="shared" si="28"/>
        <v>50</v>
      </c>
      <c r="FK13" s="2">
        <f t="shared" si="28"/>
        <v>40</v>
      </c>
      <c r="FL13" s="2">
        <f t="shared" si="28"/>
        <v>35</v>
      </c>
      <c r="FM13" s="2">
        <f t="shared" si="28"/>
        <v>20</v>
      </c>
      <c r="FN13" s="3"/>
      <c r="FO13" s="3"/>
      <c r="FP13" s="3"/>
      <c r="FQ13" s="3"/>
      <c r="FR13" s="3"/>
      <c r="FS13" s="3"/>
      <c r="FT13" s="3"/>
      <c r="FU13" s="3"/>
      <c r="FV13" s="2">
        <f t="shared" si="60"/>
        <v>10</v>
      </c>
      <c r="FW13" s="2">
        <f t="shared" si="30"/>
        <v>10</v>
      </c>
      <c r="FX13" s="2">
        <f t="shared" si="30"/>
        <v>10</v>
      </c>
      <c r="FY13" s="2">
        <f t="shared" si="30"/>
        <v>50</v>
      </c>
      <c r="FZ13" s="2">
        <f t="shared" si="30"/>
        <v>50</v>
      </c>
      <c r="GA13" s="2">
        <f t="shared" si="30"/>
        <v>40</v>
      </c>
      <c r="GB13" s="2">
        <f t="shared" si="30"/>
        <v>35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K2" sqref="K2"/>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tabSelected="1"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1"/>
  <sheetViews>
    <sheetView zoomScale="180" zoomScaleNormal="180" workbookViewId="0">
      <selection activeCell="B8" sqref="B8"/>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1"/>
  <sheetViews>
    <sheetView topLeftCell="A32" zoomScale="160" zoomScaleNormal="160" workbookViewId="0">
      <selection activeCell="M3" sqref="M3"/>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v>
      </c>
      <c r="N2" s="3">
        <v>0.2</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1"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v>
      </c>
      <c r="N3" s="3">
        <v>0.2</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v>
      </c>
      <c r="N4" s="3">
        <v>0.2</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v>
      </c>
      <c r="N5" s="3">
        <v>0.2</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v>
      </c>
      <c r="N6" s="3">
        <v>0.2</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v>
      </c>
      <c r="N7" s="3">
        <v>0.2</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v>
      </c>
      <c r="N8" s="3">
        <v>0.2</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v>
      </c>
      <c r="N9" s="3">
        <v>0.2</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v>
      </c>
      <c r="N10" s="3">
        <v>0.2</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v>
      </c>
      <c r="N11" s="3">
        <v>0.2</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v>
      </c>
      <c r="N12" s="3">
        <v>0.2</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v>
      </c>
      <c r="N13" s="3">
        <v>0.2</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v>
      </c>
      <c r="N14" s="3">
        <v>0.2</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v>
      </c>
      <c r="N15" s="3">
        <v>0.2</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v>
      </c>
      <c r="N16" s="3">
        <v>0.2</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v>
      </c>
      <c r="N17" s="3">
        <v>0.2</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v>
      </c>
      <c r="N18" s="3">
        <v>0.2</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v>
      </c>
      <c r="N19" s="3">
        <v>0.2</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v>
      </c>
      <c r="N20" s="3">
        <v>0.2</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v>
      </c>
      <c r="N21" s="3">
        <v>0.2</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v>
      </c>
      <c r="N22" s="3">
        <v>0.2</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v>
      </c>
      <c r="N23" s="3">
        <v>0.2</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v>
      </c>
      <c r="N24" s="3">
        <v>0.2</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v>
      </c>
      <c r="N25" s="3">
        <v>0.2</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v>
      </c>
      <c r="N26" s="3">
        <v>0.2</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v>
      </c>
      <c r="N27" s="3">
        <v>0.2</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v>
      </c>
      <c r="N28" s="3">
        <v>0.2</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v>
      </c>
      <c r="N29" s="3">
        <v>0.2</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v>
      </c>
      <c r="N30" s="3">
        <v>0.2</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v>
      </c>
      <c r="N31" s="3">
        <v>0.2</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v>
      </c>
      <c r="N32" s="3">
        <v>0.2</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v>
      </c>
      <c r="N33" s="3">
        <v>0.2</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v>
      </c>
      <c r="N34" s="3">
        <v>0.2</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v>
      </c>
      <c r="N35" s="3">
        <v>0.2</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v>
      </c>
      <c r="N36" s="3">
        <v>0.2</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v>
      </c>
      <c r="N37" s="3">
        <v>0.2</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v>
      </c>
      <c r="N38" s="3">
        <v>0.2</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v>
      </c>
      <c r="N39" s="3">
        <v>0.2</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v>
      </c>
      <c r="N40" s="3">
        <v>0.2</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v>
      </c>
      <c r="N41" s="3">
        <v>0.2</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v>
      </c>
      <c r="N42" s="3">
        <v>0.2</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v>
      </c>
      <c r="N43" s="3">
        <v>0.2</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v>
      </c>
      <c r="N44" s="3">
        <v>0.2</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v>
      </c>
      <c r="N45" s="3">
        <v>0.2</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v>
      </c>
      <c r="N46" s="3">
        <v>0.2</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v>
      </c>
      <c r="N47" s="3">
        <v>0.2</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v>
      </c>
      <c r="N48" s="3">
        <v>0.2</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v>
      </c>
      <c r="N49" s="3">
        <v>0.2</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v>
      </c>
      <c r="N50" s="3">
        <v>0.2</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v>
      </c>
      <c r="N51" s="3">
        <v>0.2</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v>
      </c>
      <c r="N52" s="3">
        <v>0.2</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v>
      </c>
      <c r="N53" s="3">
        <v>0.2</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v>
      </c>
      <c r="N54" s="3">
        <v>0.2</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v>
      </c>
      <c r="N55" s="3">
        <v>0.2</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v>
      </c>
      <c r="N56" s="3">
        <v>0.2</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v>
      </c>
      <c r="N57" s="3">
        <v>0.2</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v>
      </c>
      <c r="N58" s="3">
        <v>0.2</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v>
      </c>
      <c r="N59" s="3">
        <v>0.2</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v>
      </c>
      <c r="N60" s="3">
        <v>0.2</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v>
      </c>
      <c r="N61" s="3">
        <v>0.2</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I19" sqref="I19"/>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98</v>
      </c>
      <c r="C2" t="s">
        <v>110</v>
      </c>
      <c r="D2" s="26" t="s">
        <v>74</v>
      </c>
      <c r="E2" s="26" t="s">
        <v>98</v>
      </c>
      <c r="F2" s="51" t="s">
        <v>188</v>
      </c>
      <c r="G2" s="51" t="s">
        <v>75</v>
      </c>
      <c r="H2" s="51" t="s">
        <v>92</v>
      </c>
    </row>
    <row r="3" spans="1:8" x14ac:dyDescent="0.2">
      <c r="B3" t="s">
        <v>110</v>
      </c>
      <c r="D3" s="26" t="s">
        <v>101</v>
      </c>
      <c r="H3" s="51" t="s">
        <v>188</v>
      </c>
    </row>
    <row r="4" spans="1:8" x14ac:dyDescent="0.2">
      <c r="B4" t="s">
        <v>76</v>
      </c>
      <c r="D4" s="26" t="s">
        <v>77</v>
      </c>
    </row>
    <row r="5" spans="1:8" x14ac:dyDescent="0.2">
      <c r="B5" s="13"/>
      <c r="D5" s="26" t="s">
        <v>102</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16.798879452054791</v>
      </c>
      <c r="C15" cm="1">
        <f t="array" ref="C15">SUM(IF(ISNUMBER(VLOOKUP(C2:C13,Nodes!$B$3:$I$61,8)),VLOOKUP(C2:C13,Nodes!$B$3:$I$61,8)))</f>
        <v>3.8482712328767121</v>
      </c>
      <c r="D15" cm="1">
        <f t="array" ref="D15">SUM(IF(ISNUMBER(VLOOKUP(D2:D13,Nodes!$B$3:$I$61,8)),VLOOKUP(D2:D13,Nodes!$B$3:$I$61,8)))</f>
        <v>240.19259726027397</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10.738131506849314</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B9" sqref="B9:I9"/>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v>0.2</v>
      </c>
      <c r="C2">
        <v>0.2</v>
      </c>
      <c r="D2">
        <v>0</v>
      </c>
      <c r="E2">
        <v>0.2</v>
      </c>
      <c r="F2">
        <v>0</v>
      </c>
      <c r="G2">
        <v>0.2</v>
      </c>
      <c r="H2">
        <v>0.2</v>
      </c>
      <c r="I2">
        <v>0</v>
      </c>
      <c r="K2">
        <f>HLOOKUP(A2,Traders!$A$1:$H$15,15,)</f>
        <v>32.633767123287676</v>
      </c>
      <c r="L2" cm="1">
        <f t="array" ref="L2">SUM(B2:I2*MAX('Demand Stage 1'!$B$5:$I$12))</f>
        <v>45</v>
      </c>
    </row>
    <row r="3" spans="1:12" x14ac:dyDescent="0.2">
      <c r="A3" t="s">
        <v>177</v>
      </c>
      <c r="B3">
        <v>0</v>
      </c>
      <c r="C3">
        <v>0</v>
      </c>
      <c r="D3">
        <v>0</v>
      </c>
      <c r="E3">
        <v>0</v>
      </c>
      <c r="F3">
        <v>0</v>
      </c>
      <c r="G3">
        <v>0</v>
      </c>
      <c r="H3">
        <v>0</v>
      </c>
      <c r="I3">
        <v>0</v>
      </c>
      <c r="K3">
        <f>HLOOKUP(A3,Traders!$A$1:$H$15,15,)</f>
        <v>16.798879452054791</v>
      </c>
      <c r="L3" cm="1">
        <f t="array" ref="L3">SUM(B3:I3*MAX('Demand Stage 1'!$B$5:$I$12))</f>
        <v>0</v>
      </c>
    </row>
    <row r="4" spans="1:12" x14ac:dyDescent="0.2">
      <c r="A4" t="s">
        <v>210</v>
      </c>
      <c r="B4">
        <v>0</v>
      </c>
      <c r="C4">
        <v>0</v>
      </c>
      <c r="D4">
        <v>0</v>
      </c>
      <c r="E4">
        <v>0</v>
      </c>
      <c r="F4">
        <v>0</v>
      </c>
      <c r="G4">
        <v>0</v>
      </c>
      <c r="H4">
        <v>0</v>
      </c>
      <c r="I4">
        <v>0</v>
      </c>
      <c r="K4">
        <f>HLOOKUP(A4,Traders!$A$1:$H$15,15,)</f>
        <v>3.8482712328767121</v>
      </c>
      <c r="L4" cm="1">
        <f t="array" ref="L4">SUM(B4:I4*MAX('Demand Stage 1'!$B$5:$I$12))</f>
        <v>0</v>
      </c>
    </row>
    <row r="5" spans="1:12" x14ac:dyDescent="0.2">
      <c r="A5" t="s">
        <v>163</v>
      </c>
      <c r="B5">
        <v>0.75</v>
      </c>
      <c r="C5">
        <v>0.75</v>
      </c>
      <c r="D5">
        <v>1</v>
      </c>
      <c r="E5">
        <v>0.75</v>
      </c>
      <c r="F5">
        <v>0</v>
      </c>
      <c r="G5">
        <v>0.75</v>
      </c>
      <c r="H5">
        <v>0.75</v>
      </c>
      <c r="I5">
        <v>1</v>
      </c>
      <c r="K5">
        <f>HLOOKUP(A5,Traders!$A$1:$H$15,15,)</f>
        <v>240.19259726027397</v>
      </c>
      <c r="L5" cm="1">
        <f t="array" ref="L5">SUM(B5:I5*MAX('Demand Stage 1'!$B$5:$I$12))</f>
        <v>258.75</v>
      </c>
    </row>
    <row r="6" spans="1:12" x14ac:dyDescent="0.2">
      <c r="A6" t="s">
        <v>211</v>
      </c>
      <c r="B6">
        <v>0</v>
      </c>
      <c r="C6">
        <v>0</v>
      </c>
      <c r="D6">
        <v>0</v>
      </c>
      <c r="E6">
        <v>0</v>
      </c>
      <c r="F6">
        <v>0</v>
      </c>
      <c r="G6">
        <v>0</v>
      </c>
      <c r="H6">
        <v>0</v>
      </c>
      <c r="I6">
        <v>0</v>
      </c>
      <c r="K6">
        <f>HLOOKUP(A6,Traders!$A$1:$H$15,15,)</f>
        <v>4.0645178082191773</v>
      </c>
      <c r="L6" cm="1">
        <f t="array" ref="L6">SUM(B6:I6*MAX('Demand Stage 1'!$B$5:$I$12))</f>
        <v>0</v>
      </c>
    </row>
    <row r="7" spans="1:12" x14ac:dyDescent="0.2">
      <c r="A7" t="s">
        <v>212</v>
      </c>
      <c r="B7">
        <v>0</v>
      </c>
      <c r="C7">
        <v>0</v>
      </c>
      <c r="D7">
        <v>0</v>
      </c>
      <c r="E7">
        <v>0</v>
      </c>
      <c r="F7">
        <v>0</v>
      </c>
      <c r="G7">
        <v>0</v>
      </c>
      <c r="H7">
        <v>0</v>
      </c>
      <c r="I7">
        <v>0</v>
      </c>
      <c r="K7">
        <f>HLOOKUP(A7,Traders!$A$1:$H$15,15,)</f>
        <v>10.738131506849314</v>
      </c>
      <c r="L7" cm="1">
        <f t="array" ref="L7">SUM(B7:I7*MAX('Demand Stage 1'!$B$5:$I$12))</f>
        <v>0</v>
      </c>
    </row>
    <row r="8" spans="1:12" x14ac:dyDescent="0.2">
      <c r="A8" t="s">
        <v>214</v>
      </c>
      <c r="B8">
        <v>0</v>
      </c>
      <c r="C8">
        <v>0</v>
      </c>
      <c r="D8">
        <v>0</v>
      </c>
      <c r="E8">
        <v>0</v>
      </c>
      <c r="F8">
        <v>0</v>
      </c>
      <c r="G8">
        <v>0</v>
      </c>
      <c r="H8">
        <v>0</v>
      </c>
      <c r="I8">
        <v>0</v>
      </c>
      <c r="K8">
        <f>HLOOKUP(A8,Traders!$A$1:$H$15,15,)</f>
        <v>1.5822602739726026</v>
      </c>
      <c r="L8" cm="1">
        <f t="array" ref="L8">SUM(B8:I8*MAX('Demand Stage 1'!$B$5:$I$12))</f>
        <v>0</v>
      </c>
    </row>
    <row r="9" spans="1:12" ht="17" thickBot="1" x14ac:dyDescent="0.25">
      <c r="A9" s="40" t="s">
        <v>213</v>
      </c>
      <c r="B9">
        <v>0</v>
      </c>
      <c r="C9">
        <v>0</v>
      </c>
      <c r="D9">
        <v>0</v>
      </c>
      <c r="E9">
        <v>0</v>
      </c>
      <c r="F9">
        <v>0</v>
      </c>
      <c r="G9">
        <v>0</v>
      </c>
      <c r="H9">
        <v>0</v>
      </c>
      <c r="I9">
        <v>0</v>
      </c>
      <c r="J9" s="40"/>
      <c r="K9">
        <f>HLOOKUP(A9,Traders!$A$1:$H$15,15,)</f>
        <v>10.738131506849314</v>
      </c>
      <c r="L9" s="40" cm="1">
        <f t="array" ref="L9">SUM(B9:I9*MAX('Demand Stage 1'!$B$5:$I$12))</f>
        <v>0</v>
      </c>
    </row>
    <row r="10" spans="1:12" ht="17" thickTop="1" x14ac:dyDescent="0.2">
      <c r="A10" s="8" t="s">
        <v>308</v>
      </c>
      <c r="B10">
        <f>SUM(B2:B9)</f>
        <v>0.95</v>
      </c>
      <c r="C10">
        <f t="shared" ref="C10:I10" si="0">SUM(C2:C9)</f>
        <v>0.95</v>
      </c>
      <c r="D10">
        <f t="shared" si="0"/>
        <v>1</v>
      </c>
      <c r="E10">
        <f>SUM(E2:E9)</f>
        <v>0.95</v>
      </c>
      <c r="F10">
        <f>SUM(F2:F9)</f>
        <v>0</v>
      </c>
      <c r="G10">
        <f t="shared" si="0"/>
        <v>0.95</v>
      </c>
      <c r="H10">
        <f t="shared" si="0"/>
        <v>0.95</v>
      </c>
      <c r="I10">
        <f t="shared" si="0"/>
        <v>1</v>
      </c>
      <c r="L10" cm="1">
        <f t="array" ref="L10">SUM(B10:I10*MAX('Demand Stage 1'!$B$5:$I$12))</f>
        <v>303.75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C2" sqref="C2"/>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12"/>
  <sheetViews>
    <sheetView workbookViewId="0">
      <selection activeCell="B12" sqref="B12"/>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16</vt:i4>
      </vt:variant>
    </vt:vector>
  </HeadingPairs>
  <TitlesOfParts>
    <vt:vector size="16"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2025-03-05T13:01:16Z</dcterms:modified>
</cp:coreProperties>
</file>