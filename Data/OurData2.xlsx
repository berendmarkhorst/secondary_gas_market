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C2CD28D3-87F6-F74D-AA19-039383E25C9B}" xr6:coauthVersionLast="47" xr6:coauthVersionMax="47" xr10:uidLastSave="{00000000-0000-0000-0000-000000000000}"/>
  <bookViews>
    <workbookView xWindow="1300" yWindow="500" windowWidth="28800" windowHeight="16060" firstSheet="1" activeTab="11"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10" i="16" l="1"/>
  <c r="K8" i="16"/>
  <c r="K3" i="16"/>
  <c r="K4" i="16"/>
  <c r="K5" i="16"/>
  <c r="K6" i="16"/>
  <c r="K7" i="16"/>
  <c r="K9" i="16"/>
  <c r="K2" i="16"/>
  <c r="L5" i="16" a="1"/>
  <c r="L5" i="16" s="1"/>
  <c r="K3" i="11"/>
  <c r="K4" i="11"/>
  <c r="K5" i="11"/>
  <c r="K2" i="11"/>
  <c r="J61" i="1"/>
  <c r="K61" i="1"/>
  <c r="O61" i="1" s="1" a="1"/>
  <c r="O61" i="1" s="1"/>
  <c r="L61" i="1"/>
  <c r="P61" i="1" s="1" a="1"/>
  <c r="P61" i="1" s="1"/>
  <c r="J56" i="1"/>
  <c r="K56" i="1"/>
  <c r="L56" i="1"/>
  <c r="P56" i="1" s="1" a="1"/>
  <c r="P56" i="1" s="1"/>
  <c r="J57" i="1"/>
  <c r="K57" i="1"/>
  <c r="Q57" i="1" s="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Q54" i="1" s="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I45" i="2"/>
  <c r="I46" i="2"/>
  <c r="I47" i="2"/>
  <c r="A15" i="3" s="1" a="1"/>
  <c r="A15" i="3" s="1"/>
  <c r="I48" i="2"/>
  <c r="I49" i="2"/>
  <c r="I50" i="2"/>
  <c r="I51" i="2"/>
  <c r="I52" i="2"/>
  <c r="I53" i="2"/>
  <c r="I54" i="2"/>
  <c r="I55" i="2"/>
  <c r="I56" i="2"/>
  <c r="I57" i="2"/>
  <c r="I58" i="2"/>
  <c r="I59" i="2"/>
  <c r="I60" i="2"/>
  <c r="I61" i="2"/>
  <c r="I3" i="2"/>
  <c r="I5" i="13"/>
  <c r="I6" i="13"/>
  <c r="I7" i="13"/>
  <c r="I8" i="13"/>
  <c r="K48" i="1"/>
  <c r="O48" i="1" s="1" a="1"/>
  <c r="O48" i="1" s="1"/>
  <c r="L48" i="1"/>
  <c r="P48" i="1" s="1" a="1"/>
  <c r="P48" i="1" s="1"/>
  <c r="K49" i="1"/>
  <c r="Q49" i="1" s="1"/>
  <c r="L49" i="1"/>
  <c r="P49" i="1" s="1" a="1"/>
  <c r="P49" i="1" s="1"/>
  <c r="L8" i="1"/>
  <c r="P8" i="1" s="1" a="1"/>
  <c r="P8" i="1" s="1"/>
  <c r="K8" i="1"/>
  <c r="J8" i="1"/>
  <c r="Q56" i="1" l="1"/>
  <c r="Q50" i="1"/>
  <c r="Q8" i="1"/>
  <c r="Q60" i="1"/>
  <c r="O57" i="1" a="1"/>
  <c r="O57" i="1" s="1"/>
  <c r="H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H15" i="3" a="1"/>
  <c r="H15" i="3" s="1"/>
  <c r="D15" i="3" a="1"/>
  <c r="D15" i="3" s="1"/>
  <c r="B15" i="3" a="1"/>
  <c r="B15" i="3" s="1"/>
  <c r="F15" i="3" a="1"/>
  <c r="F15" i="3" s="1"/>
  <c r="E15" i="3" a="1"/>
  <c r="E15" i="3" s="1"/>
  <c r="D10" i="16"/>
  <c r="E10" i="16"/>
  <c r="F10" i="16"/>
  <c r="G10" i="16"/>
  <c r="H10" i="16"/>
  <c r="I10" i="16"/>
  <c r="B10" i="16"/>
  <c r="L10" i="16" l="1" a="1"/>
  <c r="L10" i="16" s="1"/>
  <c r="H8" i="1"/>
  <c r="H60" i="1"/>
  <c r="J49" i="1"/>
  <c r="J48"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M4" i="13"/>
  <c r="L4" i="13"/>
  <c r="K4" i="13"/>
  <c r="J4" i="13"/>
  <c r="I4" i="13"/>
  <c r="H4" i="13"/>
  <c r="G4" i="13"/>
  <c r="E4" i="13"/>
  <c r="D4" i="13"/>
  <c r="C4" i="13"/>
  <c r="B4" i="13"/>
  <c r="IQ5" i="9"/>
  <c r="IR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M5" i="9"/>
  <c r="IN5" i="9"/>
  <c r="IO5" i="9"/>
  <c r="IH5" i="9"/>
  <c r="IA5" i="9"/>
  <c r="IB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N5" i="9"/>
  <c r="HO5" i="9"/>
  <c r="HP5" i="9"/>
  <c r="HQ5" i="9"/>
  <c r="HJ5" i="9"/>
  <c r="HC5" i="9"/>
  <c r="HD5" i="9"/>
  <c r="HE5" i="9"/>
  <c r="HG5" i="9"/>
  <c r="HH5" i="9"/>
  <c r="HI5" i="9"/>
  <c r="HB5" i="9"/>
  <c r="GU5" i="9"/>
  <c r="GV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Q5" i="9"/>
  <c r="GR5" i="9"/>
  <c r="GS5" i="9"/>
  <c r="GL5" i="9"/>
  <c r="GE5" i="9"/>
  <c r="GF5" i="9"/>
  <c r="GG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S5" i="9"/>
  <c r="FT5" i="9"/>
  <c r="FU5" i="9"/>
  <c r="FN5" i="9"/>
  <c r="FG5" i="9"/>
  <c r="FH5" i="9"/>
  <c r="FI5" i="9"/>
  <c r="FK5" i="9"/>
  <c r="FL5" i="9"/>
  <c r="FM5" i="9"/>
  <c r="FF5" i="9"/>
  <c r="EY5" i="9"/>
  <c r="EZ5" i="9"/>
  <c r="FA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FB5" i="9" s="1"/>
  <c r="FR5" i="9" s="1"/>
  <c r="GH5" i="9" s="1"/>
  <c r="EM5" i="9"/>
  <c r="EN5" i="9"/>
  <c r="EO5" i="9"/>
  <c r="EH5" i="9"/>
  <c r="EA5" i="9"/>
  <c r="EB5" i="9"/>
  <c r="EC5" i="9"/>
  <c r="ED5" i="9"/>
  <c r="ET5" i="9" s="1"/>
  <c r="FJ5" i="9" s="1"/>
  <c r="FZ5" i="9" s="1"/>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W5" i="9"/>
  <c r="DX5" i="9"/>
  <c r="DY5" i="9"/>
  <c r="DR5" i="9"/>
  <c r="DK5" i="9"/>
  <c r="DL5" i="9"/>
  <c r="DM5" i="9"/>
  <c r="DO5" i="9"/>
  <c r="DP5" i="9"/>
  <c r="DQ5" i="9"/>
  <c r="DC5" i="9"/>
  <c r="DD5" i="9"/>
  <c r="DE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Y5" i="9"/>
  <c r="CZ5" i="9"/>
  <c r="DA5" i="9"/>
  <c r="CM5" i="9"/>
  <c r="CN5" i="9"/>
  <c r="CO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I5" i="9"/>
  <c r="CJ5" i="9"/>
  <c r="CK5" i="9"/>
  <c r="BO5" i="9"/>
  <c r="BP5" i="9"/>
  <c r="BQ5" i="9"/>
  <c r="BS5" i="9"/>
  <c r="BT5" i="9"/>
  <c r="BU5" i="9"/>
  <c r="BV5" i="9"/>
  <c r="BW5" i="9"/>
  <c r="BX5" i="9"/>
  <c r="BY5" i="9"/>
  <c r="BZ5" i="9"/>
  <c r="CP5" i="9" s="1"/>
  <c r="DF5" i="9" s="1"/>
  <c r="DV5" i="9" s="1"/>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K5" i="9"/>
  <c r="BL5" i="9"/>
  <c r="BM5" i="9"/>
  <c r="AX5" i="9"/>
  <c r="AQ5" i="9"/>
  <c r="AR5" i="9"/>
  <c r="AS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J4" i="5"/>
  <c r="BK4" i="5"/>
  <c r="BL4" i="5"/>
  <c r="BM4" i="5"/>
  <c r="BF4" i="5"/>
  <c r="AY4" i="5"/>
  <c r="AZ4" i="5"/>
  <c r="BA4" i="5"/>
  <c r="BB4" i="5"/>
  <c r="GP5" i="9" s="1"/>
  <c r="HF5" i="9" s="1"/>
  <c r="HV5" i="9" s="1"/>
  <c r="IL5" i="9" s="1"/>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BI4" i="5" s="1"/>
  <c r="GW5" i="9" s="1"/>
  <c r="HM5" i="9" s="1"/>
  <c r="IC5" i="9" s="1"/>
  <c r="IS5" i="9"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BR5" i="9" l="1"/>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BE8" i="9"/>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H25" i="1" l="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<sst xmlns="http://schemas.openxmlformats.org/spreadsheetml/2006/main" count="773" uniqueCount="341">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</sst>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7">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M1" zoomScale="108" zoomScaleNormal="108" workbookViewId="0">
      <selection activeCell="U7" sqref="U7"/>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v>3</v>
      </c>
      <c r="P3" s="2">
        <v>5</v>
      </c>
      <c r="Q3" s="2">
        <v>5</v>
      </c>
      <c r="R3" s="2">
        <v>5.2</v>
      </c>
      <c r="S3" s="2">
        <v>5.2</v>
      </c>
      <c r="T3" s="2">
        <v>5.4</v>
      </c>
      <c r="U3" s="2">
        <v>5.4</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v>3</v>
      </c>
      <c r="P4" s="2">
        <v>5</v>
      </c>
      <c r="Q4" s="2">
        <v>5</v>
      </c>
      <c r="R4" s="2">
        <v>5.2</v>
      </c>
      <c r="S4" s="2">
        <v>5.2</v>
      </c>
      <c r="T4" s="2">
        <v>5.4</v>
      </c>
      <c r="U4" s="2">
        <v>5.4</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v>3</v>
      </c>
      <c r="P5" s="2">
        <v>5</v>
      </c>
      <c r="Q5" s="2">
        <v>5</v>
      </c>
      <c r="R5" s="2">
        <v>5.2</v>
      </c>
      <c r="S5" s="2">
        <v>5.2</v>
      </c>
      <c r="T5" s="2">
        <v>5.4</v>
      </c>
      <c r="U5" s="2">
        <v>5.4</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v>3</v>
      </c>
      <c r="P6" s="2">
        <v>5</v>
      </c>
      <c r="Q6" s="2">
        <v>5</v>
      </c>
      <c r="R6" s="2">
        <v>5.2</v>
      </c>
      <c r="S6" s="2">
        <v>5.2</v>
      </c>
      <c r="T6" s="2">
        <v>5.4</v>
      </c>
      <c r="U6" s="2">
        <v>5.4</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v>3</v>
      </c>
      <c r="P7" s="2">
        <v>5</v>
      </c>
      <c r="Q7" s="2">
        <v>5</v>
      </c>
      <c r="R7" s="2">
        <v>5.2</v>
      </c>
      <c r="S7" s="2">
        <v>5.2</v>
      </c>
      <c r="T7" s="2">
        <v>5.4</v>
      </c>
      <c r="U7" s="2">
        <v>5.4</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v>3</v>
      </c>
      <c r="P8" s="2">
        <v>5</v>
      </c>
      <c r="Q8" s="2">
        <v>5</v>
      </c>
      <c r="R8" s="2">
        <v>5.2</v>
      </c>
      <c r="S8" s="2">
        <v>5.2</v>
      </c>
      <c r="T8" s="2">
        <v>5.4</v>
      </c>
      <c r="U8" s="2">
        <v>5.4</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v>3</v>
      </c>
      <c r="P9" s="2">
        <v>5</v>
      </c>
      <c r="Q9" s="2">
        <v>5</v>
      </c>
      <c r="R9" s="2">
        <v>5.2</v>
      </c>
      <c r="S9" s="2">
        <v>5.2</v>
      </c>
      <c r="T9" s="2">
        <v>5.4</v>
      </c>
      <c r="U9" s="2">
        <v>5.4</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v>3</v>
      </c>
      <c r="P10" s="2">
        <v>5</v>
      </c>
      <c r="Q10" s="2">
        <v>5</v>
      </c>
      <c r="R10" s="2">
        <v>5.2</v>
      </c>
      <c r="S10" s="2">
        <v>5.2</v>
      </c>
      <c r="T10" s="2">
        <v>5.4</v>
      </c>
      <c r="U10" s="2">
        <v>5.4</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v>3</v>
      </c>
      <c r="P11" s="2">
        <v>5</v>
      </c>
      <c r="Q11" s="2">
        <v>5</v>
      </c>
      <c r="R11" s="2">
        <v>5.2</v>
      </c>
      <c r="S11" s="2">
        <v>5.2</v>
      </c>
      <c r="T11" s="2">
        <v>5.4</v>
      </c>
      <c r="U11" s="2">
        <v>5.4</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v>3</v>
      </c>
      <c r="P12" s="2">
        <v>5</v>
      </c>
      <c r="Q12" s="2">
        <v>5</v>
      </c>
      <c r="R12" s="2">
        <v>5.2</v>
      </c>
      <c r="S12" s="2">
        <v>5.2</v>
      </c>
      <c r="T12" s="2">
        <v>5.4</v>
      </c>
      <c r="U12" s="2">
        <v>5.4</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v>3</v>
      </c>
      <c r="P13" s="2">
        <v>5</v>
      </c>
      <c r="Q13" s="2">
        <v>5</v>
      </c>
      <c r="R13" s="2">
        <v>5.2</v>
      </c>
      <c r="S13" s="2">
        <v>5.2</v>
      </c>
      <c r="T13" s="2">
        <v>5.4</v>
      </c>
      <c r="U13" s="2">
        <v>5.4</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v>3</v>
      </c>
      <c r="P14" s="2">
        <v>5</v>
      </c>
      <c r="Q14" s="2">
        <v>5</v>
      </c>
      <c r="R14" s="2">
        <v>5.2</v>
      </c>
      <c r="S14" s="2">
        <v>5.2</v>
      </c>
      <c r="T14" s="2">
        <v>5.4</v>
      </c>
      <c r="U14" s="2">
        <v>5.4</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v>3</v>
      </c>
      <c r="P15" s="2">
        <v>5</v>
      </c>
      <c r="Q15" s="2">
        <v>5</v>
      </c>
      <c r="R15" s="2">
        <v>5.2</v>
      </c>
      <c r="S15" s="2">
        <v>5.2</v>
      </c>
      <c r="T15" s="2">
        <v>5.4</v>
      </c>
      <c r="U15" s="2">
        <v>5.4</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v>3</v>
      </c>
      <c r="P16" s="2">
        <v>5</v>
      </c>
      <c r="Q16" s="2">
        <v>5</v>
      </c>
      <c r="R16" s="2">
        <v>5.2</v>
      </c>
      <c r="S16" s="2">
        <v>5.2</v>
      </c>
      <c r="T16" s="2">
        <v>5.4</v>
      </c>
      <c r="U16" s="2">
        <v>5.4</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v>3</v>
      </c>
      <c r="P17" s="2">
        <v>5</v>
      </c>
      <c r="Q17" s="2">
        <v>5</v>
      </c>
      <c r="R17" s="2">
        <v>5.2</v>
      </c>
      <c r="S17" s="2">
        <v>5.2</v>
      </c>
      <c r="T17" s="2">
        <v>5.4</v>
      </c>
      <c r="U17" s="2">
        <v>5.4</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v>3</v>
      </c>
      <c r="P18" s="2">
        <v>5</v>
      </c>
      <c r="Q18" s="2">
        <v>5</v>
      </c>
      <c r="R18" s="2">
        <v>5.2</v>
      </c>
      <c r="S18" s="2">
        <v>5.2</v>
      </c>
      <c r="T18" s="2">
        <v>5.4</v>
      </c>
      <c r="U18" s="2">
        <v>5.4</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v>3</v>
      </c>
      <c r="P19" s="2">
        <v>5</v>
      </c>
      <c r="Q19" s="2">
        <v>5</v>
      </c>
      <c r="R19" s="2">
        <v>5.2</v>
      </c>
      <c r="S19" s="2">
        <v>5.2</v>
      </c>
      <c r="T19" s="2">
        <v>5.4</v>
      </c>
      <c r="U19" s="2">
        <v>5.4</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v>3</v>
      </c>
      <c r="P20" s="2">
        <v>5</v>
      </c>
      <c r="Q20" s="2">
        <v>5</v>
      </c>
      <c r="R20" s="2">
        <v>5.2</v>
      </c>
      <c r="S20" s="2">
        <v>5.2</v>
      </c>
      <c r="T20" s="2">
        <v>5.4</v>
      </c>
      <c r="U20" s="2">
        <v>5.4</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v>3</v>
      </c>
      <c r="P21" s="2">
        <v>5</v>
      </c>
      <c r="Q21" s="2">
        <v>5</v>
      </c>
      <c r="R21" s="2">
        <v>5.2</v>
      </c>
      <c r="S21" s="2">
        <v>5.2</v>
      </c>
      <c r="T21" s="2">
        <v>5.4</v>
      </c>
      <c r="U21" s="2">
        <v>5.4</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v>3</v>
      </c>
      <c r="P22" s="2">
        <v>5</v>
      </c>
      <c r="Q22" s="2">
        <v>5</v>
      </c>
      <c r="R22" s="2">
        <v>5.2</v>
      </c>
      <c r="S22" s="2">
        <v>5.2</v>
      </c>
      <c r="T22" s="2">
        <v>5.4</v>
      </c>
      <c r="U22" s="2">
        <v>5.4</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v>3</v>
      </c>
      <c r="P23" s="2">
        <v>5</v>
      </c>
      <c r="Q23" s="2">
        <v>5</v>
      </c>
      <c r="R23" s="2">
        <v>5.2</v>
      </c>
      <c r="S23" s="2">
        <v>5.2</v>
      </c>
      <c r="T23" s="2">
        <v>5.4</v>
      </c>
      <c r="U23" s="2">
        <v>5.4</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v>3</v>
      </c>
      <c r="P24" s="2">
        <v>5</v>
      </c>
      <c r="Q24" s="2">
        <v>5</v>
      </c>
      <c r="R24" s="2">
        <v>5.2</v>
      </c>
      <c r="S24" s="2">
        <v>5.2</v>
      </c>
      <c r="T24" s="2">
        <v>5.4</v>
      </c>
      <c r="U24" s="2">
        <v>5.4</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v>3</v>
      </c>
      <c r="P25" s="2">
        <v>5</v>
      </c>
      <c r="Q25" s="2">
        <v>5</v>
      </c>
      <c r="R25" s="2">
        <v>5.2</v>
      </c>
      <c r="S25" s="2">
        <v>5.2</v>
      </c>
      <c r="T25" s="2">
        <v>5.4</v>
      </c>
      <c r="U25" s="2">
        <v>5.4</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v>3</v>
      </c>
      <c r="P26" s="2">
        <v>5</v>
      </c>
      <c r="Q26" s="2">
        <v>5</v>
      </c>
      <c r="R26" s="2">
        <v>5.2</v>
      </c>
      <c r="S26" s="2">
        <v>5.2</v>
      </c>
      <c r="T26" s="2">
        <v>5.4</v>
      </c>
      <c r="U26" s="2">
        <v>5.4</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v>3</v>
      </c>
      <c r="P27" s="2">
        <v>5</v>
      </c>
      <c r="Q27" s="2">
        <v>5</v>
      </c>
      <c r="R27" s="2">
        <v>5.2</v>
      </c>
      <c r="S27" s="2">
        <v>5.2</v>
      </c>
      <c r="T27" s="2">
        <v>5.4</v>
      </c>
      <c r="U27" s="2">
        <v>5.4</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v>3</v>
      </c>
      <c r="P28" s="2">
        <v>5</v>
      </c>
      <c r="Q28" s="2">
        <v>5</v>
      </c>
      <c r="R28" s="2">
        <v>5.2</v>
      </c>
      <c r="S28" s="2">
        <v>5.2</v>
      </c>
      <c r="T28" s="2">
        <v>5.4</v>
      </c>
      <c r="U28" s="2">
        <v>5.4</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v>3</v>
      </c>
      <c r="P29" s="2">
        <v>5</v>
      </c>
      <c r="Q29" s="2">
        <v>5</v>
      </c>
      <c r="R29" s="2">
        <v>5.2</v>
      </c>
      <c r="S29" s="2">
        <v>5.2</v>
      </c>
      <c r="T29" s="2">
        <v>5.4</v>
      </c>
      <c r="U29" s="2">
        <v>5.4</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v>3</v>
      </c>
      <c r="P30" s="2">
        <v>5</v>
      </c>
      <c r="Q30" s="2">
        <v>5</v>
      </c>
      <c r="R30" s="2">
        <v>5.2</v>
      </c>
      <c r="S30" s="2">
        <v>5.2</v>
      </c>
      <c r="T30" s="2">
        <v>5.4</v>
      </c>
      <c r="U30" s="2">
        <v>5.4</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v>3</v>
      </c>
      <c r="P31" s="2">
        <v>5</v>
      </c>
      <c r="Q31" s="2">
        <v>5</v>
      </c>
      <c r="R31" s="2">
        <v>5.2</v>
      </c>
      <c r="S31" s="2">
        <v>5.2</v>
      </c>
      <c r="T31" s="2">
        <v>5.4</v>
      </c>
      <c r="U31" s="2">
        <v>5.4</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v>3</v>
      </c>
      <c r="P32" s="2">
        <v>5</v>
      </c>
      <c r="Q32" s="2">
        <v>5</v>
      </c>
      <c r="R32" s="2">
        <v>5.2</v>
      </c>
      <c r="S32" s="2">
        <v>5.2</v>
      </c>
      <c r="T32" s="2">
        <v>5.4</v>
      </c>
      <c r="U32" s="2">
        <v>5.4</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v>3</v>
      </c>
      <c r="P33" s="2">
        <v>5</v>
      </c>
      <c r="Q33" s="2">
        <v>5</v>
      </c>
      <c r="R33" s="2">
        <v>5.2</v>
      </c>
      <c r="S33" s="2">
        <v>5.2</v>
      </c>
      <c r="T33" s="2">
        <v>5.4</v>
      </c>
      <c r="U33" s="2">
        <v>5.4</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v>3</v>
      </c>
      <c r="P34" s="2">
        <v>5</v>
      </c>
      <c r="Q34" s="2">
        <v>5</v>
      </c>
      <c r="R34" s="2">
        <v>5.2</v>
      </c>
      <c r="S34" s="2">
        <v>5.2</v>
      </c>
      <c r="T34" s="2">
        <v>5.4</v>
      </c>
      <c r="U34" s="2">
        <v>5.4</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v>3</v>
      </c>
      <c r="P35" s="2">
        <v>5</v>
      </c>
      <c r="Q35" s="2">
        <v>5</v>
      </c>
      <c r="R35" s="2">
        <v>5.2</v>
      </c>
      <c r="S35" s="2">
        <v>5.2</v>
      </c>
      <c r="T35" s="2">
        <v>5.4</v>
      </c>
      <c r="U35" s="2">
        <v>5.4</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v>3</v>
      </c>
      <c r="P36" s="2">
        <v>5</v>
      </c>
      <c r="Q36" s="2">
        <v>5</v>
      </c>
      <c r="R36" s="2">
        <v>5.2</v>
      </c>
      <c r="S36" s="2">
        <v>5.2</v>
      </c>
      <c r="T36" s="2">
        <v>5.4</v>
      </c>
      <c r="U36" s="2">
        <v>5.4</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v>3</v>
      </c>
      <c r="P37" s="2">
        <v>5</v>
      </c>
      <c r="Q37" s="2">
        <v>5</v>
      </c>
      <c r="R37" s="2">
        <v>5.2</v>
      </c>
      <c r="S37" s="2">
        <v>5.2</v>
      </c>
      <c r="T37" s="2">
        <v>5.4</v>
      </c>
      <c r="U37" s="2">
        <v>5.4</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v>3</v>
      </c>
      <c r="P38" s="2">
        <v>5</v>
      </c>
      <c r="Q38" s="2">
        <v>5</v>
      </c>
      <c r="R38" s="2">
        <v>5.2</v>
      </c>
      <c r="S38" s="2">
        <v>5.2</v>
      </c>
      <c r="T38" s="2">
        <v>5.4</v>
      </c>
      <c r="U38" s="2">
        <v>5.4</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v>3</v>
      </c>
      <c r="P39" s="2">
        <v>5</v>
      </c>
      <c r="Q39" s="2">
        <v>5</v>
      </c>
      <c r="R39" s="2">
        <v>5.2</v>
      </c>
      <c r="S39" s="2">
        <v>5.2</v>
      </c>
      <c r="T39" s="2">
        <v>5.4</v>
      </c>
      <c r="U39" s="2">
        <v>5.4</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v>3</v>
      </c>
      <c r="P40" s="2">
        <v>5</v>
      </c>
      <c r="Q40" s="2">
        <v>5</v>
      </c>
      <c r="R40" s="2">
        <v>5.2</v>
      </c>
      <c r="S40" s="2">
        <v>5.2</v>
      </c>
      <c r="T40" s="2">
        <v>5.4</v>
      </c>
      <c r="U40" s="2">
        <v>5.4</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v>3</v>
      </c>
      <c r="P41" s="2">
        <v>5</v>
      </c>
      <c r="Q41" s="2">
        <v>5</v>
      </c>
      <c r="R41" s="2">
        <v>5.2</v>
      </c>
      <c r="S41" s="2">
        <v>5.2</v>
      </c>
      <c r="T41" s="2">
        <v>5.4</v>
      </c>
      <c r="U41" s="2">
        <v>5.4</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v>3</v>
      </c>
      <c r="P42" s="2">
        <v>5</v>
      </c>
      <c r="Q42" s="2">
        <v>5</v>
      </c>
      <c r="R42" s="2">
        <v>5.2</v>
      </c>
      <c r="S42" s="2">
        <v>5.2</v>
      </c>
      <c r="T42" s="2">
        <v>5.4</v>
      </c>
      <c r="U42" s="2">
        <v>5.4</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v>3</v>
      </c>
      <c r="P43" s="2">
        <v>5</v>
      </c>
      <c r="Q43" s="2">
        <v>5</v>
      </c>
      <c r="R43" s="2">
        <v>5.2</v>
      </c>
      <c r="S43" s="2">
        <v>5.2</v>
      </c>
      <c r="T43" s="2">
        <v>5.4</v>
      </c>
      <c r="U43" s="2">
        <v>5.4</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v>3</v>
      </c>
      <c r="P44" s="2">
        <v>5</v>
      </c>
      <c r="Q44" s="2">
        <v>5</v>
      </c>
      <c r="R44" s="2">
        <v>5.2</v>
      </c>
      <c r="S44" s="2">
        <v>5.2</v>
      </c>
      <c r="T44" s="2">
        <v>5.4</v>
      </c>
      <c r="U44" s="2">
        <v>5.4</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v>3</v>
      </c>
      <c r="P45" s="2">
        <v>5</v>
      </c>
      <c r="Q45" s="2">
        <v>5</v>
      </c>
      <c r="R45" s="2">
        <v>5.2</v>
      </c>
      <c r="S45" s="2">
        <v>5.2</v>
      </c>
      <c r="T45" s="2">
        <v>5.4</v>
      </c>
      <c r="U45" s="2">
        <v>5.4</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v>3</v>
      </c>
      <c r="P46" s="2">
        <v>5</v>
      </c>
      <c r="Q46" s="2">
        <v>5</v>
      </c>
      <c r="R46" s="2">
        <v>5.2</v>
      </c>
      <c r="S46" s="2">
        <v>5.2</v>
      </c>
      <c r="T46" s="2">
        <v>5.4</v>
      </c>
      <c r="U46" s="2">
        <v>5.4</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v>3</v>
      </c>
      <c r="P47" s="2">
        <v>5</v>
      </c>
      <c r="Q47" s="2">
        <v>5</v>
      </c>
      <c r="R47" s="2">
        <v>5.2</v>
      </c>
      <c r="S47" s="2">
        <v>5.2</v>
      </c>
      <c r="T47" s="2">
        <v>5.4</v>
      </c>
      <c r="U47" s="2">
        <v>5.4</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v>3</v>
      </c>
      <c r="P48" s="2">
        <v>5</v>
      </c>
      <c r="Q48" s="2">
        <v>5</v>
      </c>
      <c r="R48" s="2">
        <v>5.2</v>
      </c>
      <c r="S48" s="2">
        <v>5.2</v>
      </c>
      <c r="T48" s="2">
        <v>5.4</v>
      </c>
      <c r="U48" s="2">
        <v>5.4</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v>3</v>
      </c>
      <c r="P49" s="2">
        <v>5</v>
      </c>
      <c r="Q49" s="2">
        <v>5</v>
      </c>
      <c r="R49" s="2">
        <v>5.2</v>
      </c>
      <c r="S49" s="2">
        <v>5.2</v>
      </c>
      <c r="T49" s="2">
        <v>5.4</v>
      </c>
      <c r="U49" s="2">
        <v>5.4</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v>3</v>
      </c>
      <c r="P50" s="2">
        <v>5</v>
      </c>
      <c r="Q50" s="2">
        <v>5</v>
      </c>
      <c r="R50" s="2">
        <v>5.2</v>
      </c>
      <c r="S50" s="2">
        <v>5.2</v>
      </c>
      <c r="T50" s="2">
        <v>5.4</v>
      </c>
      <c r="U50" s="2">
        <v>5.4</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v>3</v>
      </c>
      <c r="P51" s="2">
        <v>5</v>
      </c>
      <c r="Q51" s="2">
        <v>5</v>
      </c>
      <c r="R51" s="2">
        <v>5.2</v>
      </c>
      <c r="S51" s="2">
        <v>5.2</v>
      </c>
      <c r="T51" s="2">
        <v>5.4</v>
      </c>
      <c r="U51" s="2">
        <v>5.4</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v>3</v>
      </c>
      <c r="P52" s="2">
        <v>5</v>
      </c>
      <c r="Q52" s="2">
        <v>5</v>
      </c>
      <c r="R52" s="2">
        <v>5.2</v>
      </c>
      <c r="S52" s="2">
        <v>5.2</v>
      </c>
      <c r="T52" s="2">
        <v>5.4</v>
      </c>
      <c r="U52" s="2">
        <v>5.4</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v>3</v>
      </c>
      <c r="P53" s="2">
        <v>5</v>
      </c>
      <c r="Q53" s="2">
        <v>5</v>
      </c>
      <c r="R53" s="2">
        <v>5.2</v>
      </c>
      <c r="S53" s="2">
        <v>5.2</v>
      </c>
      <c r="T53" s="2">
        <v>5.4</v>
      </c>
      <c r="U53" s="2">
        <v>5.4</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v>3</v>
      </c>
      <c r="P54" s="2">
        <v>5</v>
      </c>
      <c r="Q54" s="2">
        <v>5</v>
      </c>
      <c r="R54" s="2">
        <v>5.2</v>
      </c>
      <c r="S54" s="2">
        <v>5.2</v>
      </c>
      <c r="T54" s="2">
        <v>5.4</v>
      </c>
      <c r="U54" s="2">
        <v>5.4</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v>3</v>
      </c>
      <c r="P55" s="2">
        <v>5</v>
      </c>
      <c r="Q55" s="2">
        <v>5</v>
      </c>
      <c r="R55" s="2">
        <v>5.2</v>
      </c>
      <c r="S55" s="2">
        <v>5.2</v>
      </c>
      <c r="T55" s="2">
        <v>5.4</v>
      </c>
      <c r="U55" s="2">
        <v>5.4</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v>3</v>
      </c>
      <c r="P56" s="2">
        <v>5</v>
      </c>
      <c r="Q56" s="2">
        <v>5</v>
      </c>
      <c r="R56" s="2">
        <v>5.2</v>
      </c>
      <c r="S56" s="2">
        <v>5.2</v>
      </c>
      <c r="T56" s="2">
        <v>5.4</v>
      </c>
      <c r="U56" s="2">
        <v>5.4</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v>3</v>
      </c>
      <c r="P57" s="2">
        <v>5</v>
      </c>
      <c r="Q57" s="2">
        <v>5</v>
      </c>
      <c r="R57" s="2">
        <v>5.2</v>
      </c>
      <c r="S57" s="2">
        <v>5.2</v>
      </c>
      <c r="T57" s="2">
        <v>5.4</v>
      </c>
      <c r="U57" s="2">
        <v>5.4</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v>3</v>
      </c>
      <c r="P58" s="2">
        <v>5</v>
      </c>
      <c r="Q58" s="2">
        <v>5</v>
      </c>
      <c r="R58" s="2">
        <v>5.2</v>
      </c>
      <c r="S58" s="2">
        <v>5.2</v>
      </c>
      <c r="T58" s="2">
        <v>5.4</v>
      </c>
      <c r="U58" s="2">
        <v>5.4</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v>3</v>
      </c>
      <c r="P59" s="2">
        <v>5</v>
      </c>
      <c r="Q59" s="2">
        <v>5</v>
      </c>
      <c r="R59" s="2">
        <v>5.2</v>
      </c>
      <c r="S59" s="2">
        <v>5.2</v>
      </c>
      <c r="T59" s="2">
        <v>5.4</v>
      </c>
      <c r="U59" s="2">
        <v>5.4</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v>3</v>
      </c>
      <c r="P60" s="2">
        <v>5</v>
      </c>
      <c r="Q60" s="2">
        <v>5</v>
      </c>
      <c r="R60" s="2">
        <v>5.2</v>
      </c>
      <c r="S60" s="2">
        <v>5.2</v>
      </c>
      <c r="T60" s="2">
        <v>5.4</v>
      </c>
      <c r="U60" s="2">
        <v>5.4</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v>3</v>
      </c>
      <c r="P61" s="2">
        <v>5</v>
      </c>
      <c r="Q61" s="2">
        <v>5</v>
      </c>
      <c r="R61" s="2">
        <v>5.2</v>
      </c>
      <c r="S61" s="2">
        <v>5.2</v>
      </c>
      <c r="T61" s="2">
        <v>5.4</v>
      </c>
      <c r="U61" s="2">
        <v>5.4</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N5" sqref="N5"/>
    </sheetView>
  </sheetViews>
  <sheetFormatPr baseColWidth="10" defaultRowHeight="16" x14ac:dyDescent="0.2"/>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B1" zoomScale="125" zoomScaleNormal="200" workbookViewId="0">
      <selection activeCell="N6" sqref="N6"/>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9</v>
      </c>
      <c r="S1" s="57"/>
      <c r="T1" s="57"/>
      <c r="U1" s="57"/>
      <c r="V1" s="57"/>
      <c r="W1" s="57"/>
      <c r="X1" s="57"/>
      <c r="Y1" s="57"/>
      <c r="Z1" s="57"/>
      <c r="AA1" s="57"/>
      <c r="AB1" s="57"/>
      <c r="AC1" s="57"/>
      <c r="AD1" s="57"/>
      <c r="AE1" s="57"/>
      <c r="AF1" s="57"/>
      <c r="AG1" s="57"/>
      <c r="AH1" s="57">
        <f>R1+Parameters!$B$7</f>
        <v>13</v>
      </c>
      <c r="AI1" s="57"/>
      <c r="AJ1" s="57"/>
      <c r="AK1" s="57"/>
      <c r="AL1" s="57"/>
      <c r="AM1" s="57"/>
      <c r="AN1" s="57"/>
      <c r="AO1" s="57"/>
      <c r="AP1" s="57"/>
      <c r="AQ1" s="57"/>
      <c r="AR1" s="57"/>
      <c r="AS1" s="57"/>
      <c r="AT1" s="57"/>
      <c r="AU1" s="57"/>
      <c r="AV1" s="57"/>
      <c r="AW1" s="57"/>
      <c r="AX1" s="57">
        <f>AH1+Parameters!$B$7</f>
        <v>17</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217</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209</v>
      </c>
    </row>
    <row r="50" spans="2:6" x14ac:dyDescent="0.2">
      <c r="B50" t="s">
        <v>200</v>
      </c>
      <c r="C50" t="s">
        <v>201</v>
      </c>
      <c r="D50" t="s">
        <v>202</v>
      </c>
      <c r="E50" t="s">
        <v>203</v>
      </c>
      <c r="F50" t="s">
        <v>204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v>21</v>
      </c>
      <c r="C1" s="57"/>
      <c r="D1" s="57"/>
      <c r="E1" s="57"/>
      <c r="F1" s="57"/>
      <c r="G1" s="57"/>
      <c r="H1" s="57"/>
      <c r="I1" s="57"/>
      <c r="J1" s="57"/>
      <c r="K1" s="57"/>
      <c r="L1" s="57"/>
      <c r="M1" s="57"/>
      <c r="N1" s="57"/>
      <c r="O1" s="57"/>
      <c r="P1" s="57"/>
      <c r="Q1" s="57"/>
      <c r="R1" s="57">
        <f>B1+Parameters!$B$7</f>
        <v>25</v>
      </c>
      <c r="S1" s="57"/>
      <c r="T1" s="57"/>
      <c r="U1" s="57"/>
      <c r="V1" s="57"/>
      <c r="W1" s="57"/>
      <c r="X1" s="57"/>
      <c r="Y1" s="57"/>
      <c r="Z1" s="57"/>
      <c r="AA1" s="57"/>
      <c r="AB1" s="57"/>
      <c r="AC1" s="57"/>
      <c r="AD1" s="57"/>
      <c r="AE1" s="57"/>
      <c r="AF1" s="57"/>
      <c r="AG1" s="57"/>
      <c r="AH1" s="57">
        <f>R1+Parameters!$B$7</f>
        <v>29</v>
      </c>
      <c r="AI1" s="57"/>
      <c r="AJ1" s="57"/>
      <c r="AK1" s="57"/>
      <c r="AL1" s="57"/>
      <c r="AM1" s="57"/>
      <c r="AN1" s="57"/>
      <c r="AO1" s="57"/>
      <c r="AP1" s="57"/>
      <c r="AQ1" s="57"/>
      <c r="AR1" s="57"/>
      <c r="AS1" s="57"/>
      <c r="AT1" s="57"/>
      <c r="AU1" s="57"/>
      <c r="AV1" s="57"/>
      <c r="AW1" s="57"/>
      <c r="AX1" s="57">
        <f>AH1+Parameters!$B$7</f>
        <v>33</v>
      </c>
      <c r="AY1" s="57"/>
      <c r="AZ1" s="57"/>
      <c r="BA1" s="57"/>
      <c r="BB1" s="57"/>
      <c r="BC1" s="57"/>
      <c r="BD1" s="57"/>
      <c r="BE1" s="57"/>
      <c r="BF1" s="57"/>
      <c r="BG1" s="57"/>
      <c r="BH1" s="57"/>
      <c r="BI1" s="57"/>
      <c r="BJ1" s="57"/>
      <c r="BK1" s="57"/>
      <c r="BL1" s="57"/>
      <c r="BM1" s="57"/>
      <c r="BN1" s="57">
        <f>AX1+Parameters!$B$7</f>
        <v>37</v>
      </c>
      <c r="BO1" s="57"/>
      <c r="BP1" s="57"/>
      <c r="BQ1" s="57"/>
      <c r="BR1" s="57"/>
      <c r="BS1" s="57"/>
      <c r="BT1" s="57"/>
      <c r="BU1" s="57"/>
      <c r="BV1" s="57"/>
      <c r="BW1" s="57"/>
      <c r="BX1" s="57"/>
      <c r="BY1" s="57"/>
      <c r="BZ1" s="57"/>
      <c r="CA1" s="57"/>
      <c r="CB1" s="57"/>
      <c r="CC1" s="57"/>
      <c r="CD1" s="57">
        <f>BN1+Parameters!$B$7</f>
        <v>41</v>
      </c>
      <c r="CE1" s="57"/>
      <c r="CF1" s="57"/>
      <c r="CG1" s="57"/>
      <c r="CH1" s="57"/>
      <c r="CI1" s="57"/>
      <c r="CJ1" s="57"/>
      <c r="CK1" s="57"/>
      <c r="CL1" s="57"/>
      <c r="CM1" s="57"/>
      <c r="CN1" s="57"/>
      <c r="CO1" s="57"/>
      <c r="CP1" s="57"/>
      <c r="CQ1" s="57"/>
      <c r="CR1" s="57"/>
      <c r="CS1" s="57"/>
      <c r="CT1" s="57">
        <f>CD1+Parameters!$B$7</f>
        <v>45</v>
      </c>
      <c r="CU1" s="57"/>
      <c r="CV1" s="57"/>
      <c r="CW1" s="57"/>
      <c r="CX1" s="57"/>
      <c r="CY1" s="57"/>
      <c r="CZ1" s="57"/>
      <c r="DA1" s="57"/>
      <c r="DB1" s="57"/>
      <c r="DC1" s="57"/>
      <c r="DD1" s="57"/>
      <c r="DE1" s="57"/>
      <c r="DF1" s="57"/>
      <c r="DG1" s="57"/>
      <c r="DH1" s="57"/>
      <c r="DI1" s="57"/>
      <c r="DJ1" s="57">
        <f>CT1+Parameters!$B$7</f>
        <v>49</v>
      </c>
      <c r="DK1" s="57"/>
      <c r="DL1" s="57"/>
      <c r="DM1" s="57"/>
      <c r="DN1" s="57"/>
      <c r="DO1" s="57"/>
      <c r="DP1" s="57"/>
      <c r="DQ1" s="57"/>
      <c r="DR1" s="57"/>
      <c r="DS1" s="57"/>
      <c r="DT1" s="57"/>
      <c r="DU1" s="57"/>
      <c r="DV1" s="57"/>
      <c r="DW1" s="57"/>
      <c r="DX1" s="57"/>
      <c r="DY1" s="57"/>
      <c r="DZ1" s="57">
        <f>DJ1+Parameters!$B$7</f>
        <v>53</v>
      </c>
      <c r="EA1" s="57"/>
      <c r="EB1" s="57"/>
      <c r="EC1" s="57"/>
      <c r="ED1" s="57"/>
      <c r="EE1" s="57"/>
      <c r="EF1" s="57"/>
      <c r="EG1" s="57"/>
      <c r="EH1" s="57"/>
      <c r="EI1" s="57"/>
      <c r="EJ1" s="57"/>
      <c r="EK1" s="57"/>
      <c r="EL1" s="57"/>
      <c r="EM1" s="57"/>
      <c r="EN1" s="57"/>
      <c r="EO1" s="57"/>
      <c r="EP1" s="57">
        <f>DZ1+Parameters!$B$7</f>
        <v>57</v>
      </c>
      <c r="EQ1" s="57"/>
      <c r="ER1" s="57"/>
      <c r="ES1" s="57"/>
      <c r="ET1" s="57"/>
      <c r="EU1" s="57"/>
      <c r="EV1" s="57"/>
      <c r="EW1" s="57"/>
      <c r="EX1" s="57"/>
      <c r="EY1" s="57"/>
      <c r="EZ1" s="57"/>
      <c r="FA1" s="57"/>
      <c r="FB1" s="57"/>
      <c r="FC1" s="57"/>
      <c r="FD1" s="57"/>
      <c r="FE1" s="57"/>
      <c r="FF1" s="57">
        <f>EP1+Parameters!$B$7</f>
        <v>61</v>
      </c>
      <c r="FG1" s="57"/>
      <c r="FH1" s="57"/>
      <c r="FI1" s="57"/>
      <c r="FJ1" s="57"/>
      <c r="FK1" s="57"/>
      <c r="FL1" s="57"/>
      <c r="FM1" s="57"/>
      <c r="FN1" s="57"/>
      <c r="FO1" s="57"/>
      <c r="FP1" s="57"/>
      <c r="FQ1" s="57"/>
      <c r="FR1" s="57"/>
      <c r="FS1" s="57"/>
      <c r="FT1" s="57"/>
      <c r="FU1" s="57"/>
      <c r="FV1" s="57">
        <f>FF1+Parameters!$B$7</f>
        <v>65</v>
      </c>
      <c r="FW1" s="57"/>
      <c r="FX1" s="57"/>
      <c r="FY1" s="57"/>
      <c r="FZ1" s="57"/>
      <c r="GA1" s="57"/>
      <c r="GB1" s="57"/>
      <c r="GC1" s="57"/>
      <c r="GD1" s="57"/>
      <c r="GE1" s="57"/>
      <c r="GF1" s="57"/>
      <c r="GG1" s="57"/>
      <c r="GH1" s="57"/>
      <c r="GI1" s="57"/>
      <c r="GJ1" s="57"/>
      <c r="GK1" s="57"/>
      <c r="GL1" s="57">
        <f>FV1+Parameters!$B$7</f>
        <v>69</v>
      </c>
      <c r="GM1" s="57"/>
      <c r="GN1" s="57"/>
      <c r="GO1" s="57"/>
      <c r="GP1" s="57"/>
      <c r="GQ1" s="57"/>
      <c r="GR1" s="57"/>
      <c r="GS1" s="57"/>
      <c r="GT1" s="57"/>
      <c r="GU1" s="57"/>
      <c r="GV1" s="57"/>
      <c r="GW1" s="57"/>
      <c r="GX1" s="57"/>
      <c r="GY1" s="57"/>
      <c r="GZ1" s="57"/>
      <c r="HA1" s="57"/>
      <c r="HB1" s="57">
        <f>GL1+Parameters!$B$7</f>
        <v>73</v>
      </c>
      <c r="HC1" s="57"/>
      <c r="HD1" s="57"/>
      <c r="HE1" s="57"/>
      <c r="HF1" s="57"/>
      <c r="HG1" s="57"/>
      <c r="HH1" s="57"/>
      <c r="HI1" s="57"/>
      <c r="HJ1" s="57"/>
      <c r="HK1" s="57"/>
      <c r="HL1" s="57"/>
      <c r="HM1" s="57"/>
      <c r="HN1" s="57"/>
      <c r="HO1" s="57"/>
      <c r="HP1" s="57"/>
      <c r="HQ1" s="57"/>
      <c r="HR1" s="57">
        <f>HB1+Parameters!$B$7</f>
        <v>77</v>
      </c>
      <c r="HS1" s="57"/>
      <c r="HT1" s="57"/>
      <c r="HU1" s="57"/>
      <c r="HV1" s="57"/>
      <c r="HW1" s="57"/>
      <c r="HX1" s="57"/>
      <c r="HY1" s="57"/>
      <c r="HZ1" s="57"/>
      <c r="IA1" s="57"/>
      <c r="IB1" s="57"/>
      <c r="IC1" s="57"/>
      <c r="ID1" s="57"/>
      <c r="IE1" s="57"/>
      <c r="IF1" s="57"/>
      <c r="IG1" s="57"/>
      <c r="IH1" s="57">
        <f>HR1+Parameters!$B$7</f>
        <v>81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3">
        <v>5</v>
      </c>
      <c r="C3" s="64"/>
      <c r="D3" s="64"/>
      <c r="E3" s="64"/>
      <c r="F3" s="64"/>
      <c r="G3" s="64"/>
      <c r="H3" s="64"/>
      <c r="I3" s="64"/>
      <c r="J3" s="64"/>
      <c r="K3" s="64"/>
      <c r="L3" s="64"/>
      <c r="M3" s="64"/>
      <c r="N3" s="64"/>
      <c r="O3" s="64"/>
      <c r="P3" s="64"/>
      <c r="Q3" s="65"/>
      <c r="R3" s="63">
        <v>5</v>
      </c>
      <c r="S3" s="64"/>
      <c r="T3" s="64"/>
      <c r="U3" s="64"/>
      <c r="V3" s="64"/>
      <c r="W3" s="64"/>
      <c r="X3" s="64"/>
      <c r="Y3" s="64"/>
      <c r="Z3" s="64"/>
      <c r="AA3" s="64"/>
      <c r="AB3" s="64"/>
      <c r="AC3" s="64"/>
      <c r="AD3" s="64"/>
      <c r="AE3" s="64"/>
      <c r="AF3" s="64"/>
      <c r="AG3" s="65"/>
      <c r="AH3" s="63">
        <v>5</v>
      </c>
      <c r="AI3" s="64"/>
      <c r="AJ3" s="64"/>
      <c r="AK3" s="64"/>
      <c r="AL3" s="64"/>
      <c r="AM3" s="64"/>
      <c r="AN3" s="64"/>
      <c r="AO3" s="64"/>
      <c r="AP3" s="64"/>
      <c r="AQ3" s="64"/>
      <c r="AR3" s="64"/>
      <c r="AS3" s="64"/>
      <c r="AT3" s="64"/>
      <c r="AU3" s="64"/>
      <c r="AV3" s="64"/>
      <c r="AW3" s="65"/>
      <c r="AX3" s="63">
        <v>5</v>
      </c>
      <c r="AY3" s="64"/>
      <c r="AZ3" s="64"/>
      <c r="BA3" s="64"/>
      <c r="BB3" s="64"/>
      <c r="BC3" s="64"/>
      <c r="BD3" s="64"/>
      <c r="BE3" s="64"/>
      <c r="BF3" s="64"/>
      <c r="BG3" s="64"/>
      <c r="BH3" s="64"/>
      <c r="BI3" s="64"/>
      <c r="BJ3" s="64"/>
      <c r="BK3" s="64"/>
      <c r="BL3" s="64"/>
      <c r="BM3" s="65"/>
      <c r="BN3" s="63">
        <v>9</v>
      </c>
      <c r="BO3" s="64"/>
      <c r="BP3" s="64"/>
      <c r="BQ3" s="64"/>
      <c r="BR3" s="64"/>
      <c r="BS3" s="64"/>
      <c r="BT3" s="64"/>
      <c r="BU3" s="64"/>
      <c r="BV3" s="64"/>
      <c r="BW3" s="64"/>
      <c r="BX3" s="64"/>
      <c r="BY3" s="64"/>
      <c r="BZ3" s="64"/>
      <c r="CA3" s="64"/>
      <c r="CB3" s="64"/>
      <c r="CC3" s="65"/>
      <c r="CD3" s="63">
        <v>9</v>
      </c>
      <c r="CE3" s="64"/>
      <c r="CF3" s="64"/>
      <c r="CG3" s="64"/>
      <c r="CH3" s="64"/>
      <c r="CI3" s="64"/>
      <c r="CJ3" s="64"/>
      <c r="CK3" s="64"/>
      <c r="CL3" s="64"/>
      <c r="CM3" s="64"/>
      <c r="CN3" s="64"/>
      <c r="CO3" s="64"/>
      <c r="CP3" s="64"/>
      <c r="CQ3" s="64"/>
      <c r="CR3" s="64"/>
      <c r="CS3" s="65"/>
      <c r="CT3" s="63">
        <v>9</v>
      </c>
      <c r="CU3" s="64"/>
      <c r="CV3" s="64"/>
      <c r="CW3" s="64"/>
      <c r="CX3" s="64"/>
      <c r="CY3" s="64"/>
      <c r="CZ3" s="64"/>
      <c r="DA3" s="64"/>
      <c r="DB3" s="64"/>
      <c r="DC3" s="64"/>
      <c r="DD3" s="64"/>
      <c r="DE3" s="64"/>
      <c r="DF3" s="64"/>
      <c r="DG3" s="64"/>
      <c r="DH3" s="64"/>
      <c r="DI3" s="65"/>
      <c r="DJ3" s="63">
        <v>9</v>
      </c>
      <c r="DK3" s="64"/>
      <c r="DL3" s="64"/>
      <c r="DM3" s="64"/>
      <c r="DN3" s="64"/>
      <c r="DO3" s="64"/>
      <c r="DP3" s="64"/>
      <c r="DQ3" s="64"/>
      <c r="DR3" s="64"/>
      <c r="DS3" s="64"/>
      <c r="DT3" s="64"/>
      <c r="DU3" s="64"/>
      <c r="DV3" s="64"/>
      <c r="DW3" s="64"/>
      <c r="DX3" s="64"/>
      <c r="DY3" s="65"/>
      <c r="DZ3" s="66">
        <v>13</v>
      </c>
      <c r="EA3" s="61"/>
      <c r="EB3" s="61"/>
      <c r="EC3" s="61"/>
      <c r="ED3" s="61"/>
      <c r="EE3" s="61"/>
      <c r="EF3" s="61"/>
      <c r="EG3" s="61"/>
      <c r="EH3" s="61"/>
      <c r="EI3" s="61"/>
      <c r="EJ3" s="61"/>
      <c r="EK3" s="61"/>
      <c r="EL3" s="61"/>
      <c r="EM3" s="61"/>
      <c r="EN3" s="61"/>
      <c r="EO3" s="62"/>
      <c r="EP3" s="60">
        <v>13</v>
      </c>
      <c r="EQ3" s="61"/>
      <c r="ER3" s="61"/>
      <c r="ES3" s="61"/>
      <c r="ET3" s="61"/>
      <c r="EU3" s="61"/>
      <c r="EV3" s="61"/>
      <c r="EW3" s="61"/>
      <c r="EX3" s="61"/>
      <c r="EY3" s="61"/>
      <c r="EZ3" s="61"/>
      <c r="FA3" s="61"/>
      <c r="FB3" s="61"/>
      <c r="FC3" s="61"/>
      <c r="FD3" s="61"/>
      <c r="FE3" s="62"/>
      <c r="FF3" s="60">
        <v>13</v>
      </c>
      <c r="FG3" s="61"/>
      <c r="FH3" s="61"/>
      <c r="FI3" s="61"/>
      <c r="FJ3" s="61"/>
      <c r="FK3" s="61"/>
      <c r="FL3" s="61"/>
      <c r="FM3" s="61"/>
      <c r="FN3" s="61"/>
      <c r="FO3" s="61"/>
      <c r="FP3" s="61"/>
      <c r="FQ3" s="61"/>
      <c r="FR3" s="61"/>
      <c r="FS3" s="61"/>
      <c r="FT3" s="61"/>
      <c r="FU3" s="62"/>
      <c r="FV3" s="60">
        <v>13</v>
      </c>
      <c r="FW3" s="61"/>
      <c r="FX3" s="61"/>
      <c r="FY3" s="61"/>
      <c r="FZ3" s="61"/>
      <c r="GA3" s="61"/>
      <c r="GB3" s="61"/>
      <c r="GC3" s="61"/>
      <c r="GD3" s="61"/>
      <c r="GE3" s="61"/>
      <c r="GF3" s="61"/>
      <c r="GG3" s="61"/>
      <c r="GH3" s="61"/>
      <c r="GI3" s="61"/>
      <c r="GJ3" s="61"/>
      <c r="GK3" s="62"/>
      <c r="GL3" s="60">
        <v>17</v>
      </c>
      <c r="GM3" s="61"/>
      <c r="GN3" s="61"/>
      <c r="GO3" s="61"/>
      <c r="GP3" s="61"/>
      <c r="GQ3" s="61"/>
      <c r="GR3" s="61"/>
      <c r="GS3" s="61"/>
      <c r="GT3" s="61"/>
      <c r="GU3" s="61"/>
      <c r="GV3" s="61"/>
      <c r="GW3" s="61"/>
      <c r="GX3" s="61"/>
      <c r="GY3" s="61"/>
      <c r="GZ3" s="61"/>
      <c r="HA3" s="62"/>
      <c r="HB3" s="60">
        <v>17</v>
      </c>
      <c r="HC3" s="61"/>
      <c r="HD3" s="61"/>
      <c r="HE3" s="61"/>
      <c r="HF3" s="61"/>
      <c r="HG3" s="61"/>
      <c r="HH3" s="61"/>
      <c r="HI3" s="61"/>
      <c r="HJ3" s="61"/>
      <c r="HK3" s="61"/>
      <c r="HL3" s="61"/>
      <c r="HM3" s="61"/>
      <c r="HN3" s="61"/>
      <c r="HO3" s="61"/>
      <c r="HP3" s="61"/>
      <c r="HQ3" s="62"/>
      <c r="HR3" s="60">
        <v>17</v>
      </c>
      <c r="HS3" s="61"/>
      <c r="HT3" s="61"/>
      <c r="HU3" s="61"/>
      <c r="HV3" s="61"/>
      <c r="HW3" s="61"/>
      <c r="HX3" s="61"/>
      <c r="HY3" s="61"/>
      <c r="HZ3" s="61"/>
      <c r="IA3" s="61"/>
      <c r="IB3" s="61"/>
      <c r="IC3" s="61"/>
      <c r="ID3" s="61"/>
      <c r="IE3" s="61"/>
      <c r="IF3" s="61"/>
      <c r="IG3" s="62"/>
      <c r="IH3" s="60">
        <v>17</v>
      </c>
      <c r="II3" s="61"/>
      <c r="IJ3" s="61"/>
      <c r="IK3" s="61"/>
      <c r="IL3" s="61"/>
      <c r="IM3" s="61"/>
      <c r="IN3" s="61"/>
      <c r="IO3" s="61"/>
      <c r="IP3" s="61"/>
      <c r="IQ3" s="61"/>
      <c r="IR3" s="61"/>
      <c r="IS3" s="61"/>
      <c r="IT3" s="61"/>
      <c r="IU3" s="61"/>
      <c r="IV3" s="61"/>
      <c r="IW3" s="62"/>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5"/>
  <sheetViews>
    <sheetView topLeftCell="B1" zoomScale="210" zoomScaleNormal="210" workbookViewId="0">
      <selection activeCell="K8" sqref="K8"/>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28</v>
      </c>
      <c r="C3">
        <v>28</v>
      </c>
      <c r="D3">
        <v>28</v>
      </c>
      <c r="E3">
        <v>30</v>
      </c>
      <c r="F3">
        <v>30</v>
      </c>
      <c r="G3">
        <v>31</v>
      </c>
      <c r="H3">
        <v>32</v>
      </c>
      <c r="I3">
        <v>30</v>
      </c>
      <c r="K3">
        <f t="shared" ref="K3:K5" si="0">AVERAGE(B3:I3)</f>
        <v>29.625</v>
      </c>
    </row>
    <row r="4" spans="1:11" x14ac:dyDescent="0.2">
      <c r="A4">
        <v>3</v>
      </c>
      <c r="B4">
        <v>27</v>
      </c>
      <c r="C4">
        <v>27</v>
      </c>
      <c r="D4">
        <v>27</v>
      </c>
      <c r="E4">
        <v>29</v>
      </c>
      <c r="F4">
        <v>29</v>
      </c>
      <c r="G4">
        <v>30</v>
      </c>
      <c r="H4">
        <v>31</v>
      </c>
      <c r="I4">
        <v>30</v>
      </c>
      <c r="K4">
        <f t="shared" si="0"/>
        <v>28.75</v>
      </c>
    </row>
    <row r="5" spans="1:11" x14ac:dyDescent="0.2">
      <c r="A5">
        <v>4</v>
      </c>
      <c r="B5">
        <v>29</v>
      </c>
      <c r="C5">
        <v>29</v>
      </c>
      <c r="D5">
        <v>29</v>
      </c>
      <c r="E5">
        <v>31</v>
      </c>
      <c r="F5">
        <v>31</v>
      </c>
      <c r="G5">
        <v>32</v>
      </c>
      <c r="H5">
        <v>33</v>
      </c>
      <c r="I5">
        <v>30</v>
      </c>
      <c r="K5">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F13" sqref="F13"/>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1"/>
  <sheetViews>
    <sheetView topLeftCell="A32" zoomScale="160" zoomScaleNormal="160" workbookViewId="0">
      <selection activeCell="M3" sqref="M3"/>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1"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I19" sqref="I19"/>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98</v>
      </c>
      <c r="C2" t="s">
        <v>110</v>
      </c>
      <c r="D2" s="26" t="s">
        <v>74</v>
      </c>
      <c r="E2" s="26" t="s">
        <v>98</v>
      </c>
      <c r="F2" s="51" t="s">
        <v>188</v>
      </c>
      <c r="G2" s="51" t="s">
        <v>75</v>
      </c>
      <c r="H2" s="51" t="s">
        <v>92</v>
      </c>
    </row>
    <row r="3" spans="1:8" x14ac:dyDescent="0.2">
      <c r="B3" t="s">
        <v>110</v>
      </c>
      <c r="D3" s="26" t="s">
        <v>101</v>
      </c>
      <c r="H3" s="51" t="s">
        <v>188</v>
      </c>
    </row>
    <row r="4" spans="1:8" x14ac:dyDescent="0.2">
      <c r="B4" t="s">
        <v>76</v>
      </c>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16.798879452054791</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10.738131506849314</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tabSelected="1" zoomScale="200" zoomScaleNormal="200" workbookViewId="0">
      <selection activeCell="J12" sqref="J12"/>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127</v>
      </c>
      <c r="G1" s="8" t="s">
        <v>121</v>
      </c>
      <c r="H1" s="8" t="s">
        <v>122</v>
      </c>
      <c r="I1" s="8" t="s">
        <v>117</v>
      </c>
      <c r="K1" s="8" t="s">
        <v>306</v>
      </c>
      <c r="L1" s="8" t="s">
        <v>307</v>
      </c>
    </row>
    <row r="2" spans="1:12" x14ac:dyDescent="0.2">
      <c r="A2" t="s">
        <v>172</v>
      </c>
      <c r="B2">
        <v>0.2</v>
      </c>
      <c r="C2">
        <v>0.2</v>
      </c>
      <c r="D2">
        <v>0</v>
      </c>
      <c r="E2">
        <v>0.2</v>
      </c>
      <c r="F2">
        <v>0.2</v>
      </c>
      <c r="G2">
        <v>0.2</v>
      </c>
      <c r="H2">
        <v>0.2</v>
      </c>
      <c r="I2">
        <v>0</v>
      </c>
      <c r="K2">
        <f>HLOOKUP(A2,Traders!$A$1:$H$15,15,)</f>
        <v>32.633767123287676</v>
      </c>
      <c r="L2" cm="1">
        <f t="array" ref="L2">SUM(B2:I2*MAX('Demand Stage 1'!$B$5:$I$8))</f>
        <v>54</v>
      </c>
    </row>
    <row r="3" spans="1:12" x14ac:dyDescent="0.2">
      <c r="A3" t="s">
        <v>177</v>
      </c>
      <c r="B3">
        <v>0</v>
      </c>
      <c r="C3">
        <v>0</v>
      </c>
      <c r="D3">
        <v>0</v>
      </c>
      <c r="E3">
        <v>0</v>
      </c>
      <c r="F3">
        <v>0</v>
      </c>
      <c r="G3">
        <v>0</v>
      </c>
      <c r="H3">
        <v>0</v>
      </c>
      <c r="I3">
        <v>0</v>
      </c>
      <c r="K3">
        <f>HLOOKUP(A3,Traders!$A$1:$H$15,15,)</f>
        <v>16.798879452054791</v>
      </c>
      <c r="L3" cm="1">
        <f t="array" ref="L3">SUM(B3:I3*MAX('Demand Stage 1'!$B$5:$I$8))</f>
        <v>0</v>
      </c>
    </row>
    <row r="4" spans="1:12" x14ac:dyDescent="0.2">
      <c r="A4" t="s">
        <v>210</v>
      </c>
      <c r="B4">
        <v>0</v>
      </c>
      <c r="C4">
        <v>0</v>
      </c>
      <c r="D4">
        <v>0</v>
      </c>
      <c r="E4">
        <v>0</v>
      </c>
      <c r="F4">
        <v>0</v>
      </c>
      <c r="G4">
        <v>0</v>
      </c>
      <c r="H4">
        <v>0</v>
      </c>
      <c r="I4">
        <v>0</v>
      </c>
      <c r="K4">
        <f>HLOOKUP(A4,Traders!$A$1:$H$15,15,)</f>
        <v>3.8482712328767121</v>
      </c>
      <c r="L4" cm="1">
        <f t="array" ref="L4">SUM(B4:I4*MAX('Demand Stage 1'!$B$5:$I$8))</f>
        <v>0</v>
      </c>
    </row>
    <row r="5" spans="1:12" x14ac:dyDescent="0.2">
      <c r="A5" t="s">
        <v>163</v>
      </c>
      <c r="B5">
        <v>0.75</v>
      </c>
      <c r="C5">
        <v>0.75</v>
      </c>
      <c r="D5">
        <v>1</v>
      </c>
      <c r="E5">
        <v>0.75</v>
      </c>
      <c r="F5">
        <v>0.75</v>
      </c>
      <c r="G5">
        <v>0.75</v>
      </c>
      <c r="H5">
        <v>0.75</v>
      </c>
      <c r="I5">
        <v>1</v>
      </c>
      <c r="K5">
        <f>HLOOKUP(A5,Traders!$A$1:$H$15,15,)</f>
        <v>240.19259726027397</v>
      </c>
      <c r="L5" cm="1">
        <f t="array" ref="L5">SUM(B5:I5*MAX('Demand Stage 1'!$B$5:$I$8))</f>
        <v>292.5</v>
      </c>
    </row>
    <row r="6" spans="1:12" x14ac:dyDescent="0.2">
      <c r="A6" t="s">
        <v>211</v>
      </c>
      <c r="B6">
        <v>0</v>
      </c>
      <c r="C6">
        <v>0</v>
      </c>
      <c r="D6">
        <v>0</v>
      </c>
      <c r="E6">
        <v>0</v>
      </c>
      <c r="F6">
        <v>0</v>
      </c>
      <c r="G6">
        <v>0</v>
      </c>
      <c r="H6">
        <v>0</v>
      </c>
      <c r="I6">
        <v>0</v>
      </c>
      <c r="K6">
        <f>HLOOKUP(A6,Traders!$A$1:$H$15,15,)</f>
        <v>4.0645178082191773</v>
      </c>
      <c r="L6" cm="1">
        <f t="array" ref="L6">SUM(B6:I6*MAX('Demand Stage 1'!$B$5:$I$8))</f>
        <v>0</v>
      </c>
    </row>
    <row r="7" spans="1:12" x14ac:dyDescent="0.2">
      <c r="A7" t="s">
        <v>212</v>
      </c>
      <c r="B7">
        <v>0</v>
      </c>
      <c r="C7">
        <v>0</v>
      </c>
      <c r="D7">
        <v>0</v>
      </c>
      <c r="E7">
        <v>0</v>
      </c>
      <c r="F7">
        <v>0</v>
      </c>
      <c r="G7">
        <v>0</v>
      </c>
      <c r="H7">
        <v>0</v>
      </c>
      <c r="I7">
        <v>0</v>
      </c>
      <c r="K7">
        <f>HLOOKUP(A7,Traders!$A$1:$H$15,15,)</f>
        <v>10.738131506849314</v>
      </c>
      <c r="L7" cm="1">
        <f t="array" ref="L7">SUM(B7:I7*MAX('Demand Stage 1'!$B$5:$I$8))</f>
        <v>0</v>
      </c>
    </row>
    <row r="8" spans="1:12" x14ac:dyDescent="0.2">
      <c r="A8" t="s">
        <v>214</v>
      </c>
      <c r="B8">
        <v>0</v>
      </c>
      <c r="C8">
        <v>0</v>
      </c>
      <c r="D8">
        <v>0</v>
      </c>
      <c r="E8">
        <v>0</v>
      </c>
      <c r="F8">
        <v>0</v>
      </c>
      <c r="G8">
        <v>0</v>
      </c>
      <c r="H8">
        <v>0</v>
      </c>
      <c r="I8">
        <v>0</v>
      </c>
      <c r="K8">
        <f>HLOOKUP(A8,Traders!$A$1:$H$15,15,)</f>
        <v>1.5822602739726026</v>
      </c>
      <c r="L8" cm="1">
        <f t="array" ref="L8">SUM(B8:I8*MAX('Demand Stage 1'!$B$5:$I$8))</f>
        <v>0</v>
      </c>
    </row>
    <row r="9" spans="1:12" ht="17" thickBot="1" x14ac:dyDescent="0.25">
      <c r="A9" s="40" t="s">
        <v>213</v>
      </c>
      <c r="B9">
        <v>0</v>
      </c>
      <c r="C9">
        <v>0</v>
      </c>
      <c r="D9">
        <v>0</v>
      </c>
      <c r="E9">
        <v>0</v>
      </c>
      <c r="F9">
        <v>0</v>
      </c>
      <c r="G9">
        <v>0</v>
      </c>
      <c r="H9">
        <v>0</v>
      </c>
      <c r="I9">
        <v>0</v>
      </c>
      <c r="J9" s="40"/>
      <c r="K9">
        <f>HLOOKUP(A9,Traders!$A$1:$H$15,15,)</f>
        <v>10.738131506849314</v>
      </c>
      <c r="L9" s="40" cm="1">
        <f t="array" ref="L9">SUM(B9:I9*MAX('Demand Stage 1'!$B$5:$I$8))</f>
        <v>0</v>
      </c>
    </row>
    <row r="10" spans="1:12" ht="17" thickTop="1" x14ac:dyDescent="0.2">
      <c r="A10" s="8" t="s">
        <v>308</v>
      </c>
      <c r="B10">
        <f>SUM(B2:B9)</f>
        <v>0.95</v>
      </c>
      <c r="C10">
        <f t="shared" ref="C10:I10" si="0">SUM(C2:C9)</f>
        <v>0.95</v>
      </c>
      <c r="D10">
        <f t="shared" si="0"/>
        <v>1</v>
      </c>
      <c r="E10">
        <f>SUM(E2:E9)</f>
        <v>0.95</v>
      </c>
      <c r="F10">
        <f>SUM(F2:F9)</f>
        <v>0.95</v>
      </c>
      <c r="G10">
        <f t="shared" si="0"/>
        <v>0.95</v>
      </c>
      <c r="H10">
        <f t="shared" si="0"/>
        <v>0.95</v>
      </c>
      <c r="I10">
        <f t="shared" si="0"/>
        <v>1</v>
      </c>
      <c r="L10" cm="1">
        <f t="array" ref="L10">SUM(B10:I10*MAX('Demand Stage 1'!$B$5:$I$8))</f>
        <v>346.5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2025-02-06T10:06:36Z</dcterms:modified>
</cp:coreProperties>
</file>