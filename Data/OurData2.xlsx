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
    </mc:Choice>
  </mc:AlternateContent>
  <xr:revisionPtr revIDLastSave="0" documentId="13_ncr:1_{4BC10037-0E9C-DB4B-A0B6-C54C2E3C291D}" xr6:coauthVersionLast="47" xr6:coauthVersionMax="47" xr10:uidLastSave="{00000000-0000-0000-0000-000000000000}"/>
  <bookViews>
    <workbookView xWindow="1300" yWindow="500" windowWidth="28800" windowHeight="16060" firstSheet="1" activeTab="11"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ProductionCapacities" sheetId="15" r:id="rId15"/>
    <sheet name="Extra" sheetId="17" r:id="rId16"/>
  </sheets>
  <definedNames>
    <definedName name="_xlnm._FilterDatabase" localSheetId="9" hidden="1">Arcs!$A$1:$N$54</definedName>
    <definedName name="_xlnm._FilterDatabase" localSheetId="2" hidden="1">Nodes!$A$2:$AI$2</definedName>
    <definedName name="_xlnm._FilterDatabase" localSheetId="14"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10" i="16" l="1"/>
  <c r="K8" i="16"/>
  <c r="K3" i="16"/>
  <c r="K4" i="16"/>
  <c r="K5" i="16"/>
  <c r="K6" i="16"/>
  <c r="K7" i="16"/>
  <c r="K9" i="16"/>
  <c r="K2" i="16"/>
  <c r="L5" i="16" a="1"/>
  <c r="L5" i="16" s="1"/>
  <c r="K3" i="11"/>
  <c r="K4" i="11"/>
  <c r="K5" i="11"/>
  <c r="K2" i="11"/>
  <c r="J61" i="1"/>
  <c r="K61" i="1"/>
  <c r="O61" i="1" s="1" a="1"/>
  <c r="O61" i="1" s="1"/>
  <c r="L61" i="1"/>
  <c r="P61" i="1" s="1" a="1"/>
  <c r="P61" i="1" s="1"/>
  <c r="J56" i="1"/>
  <c r="K56" i="1"/>
  <c r="L56" i="1"/>
  <c r="P56" i="1" s="1" a="1"/>
  <c r="P56" i="1" s="1"/>
  <c r="J57" i="1"/>
  <c r="K57" i="1"/>
  <c r="Q57" i="1" s="1"/>
  <c r="L57" i="1"/>
  <c r="P57" i="1" s="1" a="1"/>
  <c r="P57" i="1" s="1"/>
  <c r="J58" i="1"/>
  <c r="K58" i="1"/>
  <c r="O58" i="1" s="1" a="1"/>
  <c r="O58" i="1" s="1"/>
  <c r="L58" i="1"/>
  <c r="P58" i="1" s="1" a="1"/>
  <c r="P58" i="1" s="1"/>
  <c r="J59" i="1"/>
  <c r="K59" i="1"/>
  <c r="Q59" i="1" s="1"/>
  <c r="L59" i="1"/>
  <c r="P59" i="1" s="1" a="1"/>
  <c r="P59" i="1" s="1"/>
  <c r="J60" i="1"/>
  <c r="K60" i="1"/>
  <c r="L60" i="1"/>
  <c r="P60" i="1" s="1" a="1"/>
  <c r="P60" i="1" s="1"/>
  <c r="K55" i="1"/>
  <c r="Q55" i="1" s="1"/>
  <c r="L55" i="1"/>
  <c r="P55" i="1" s="1" a="1"/>
  <c r="P55" i="1" s="1"/>
  <c r="J55" i="1"/>
  <c r="K53" i="1"/>
  <c r="O53" i="1" s="1" a="1"/>
  <c r="O53" i="1" s="1"/>
  <c r="L53" i="1"/>
  <c r="P53" i="1" s="1" a="1"/>
  <c r="P53" i="1" s="1"/>
  <c r="K54" i="1"/>
  <c r="Q54" i="1" s="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L3" i="16" a="1"/>
  <c r="L3" i="16" s="1"/>
  <c r="L4" i="16" a="1"/>
  <c r="L4" i="16" s="1"/>
  <c r="L6" i="16" a="1"/>
  <c r="L6" i="16" s="1"/>
  <c r="L7" i="16" a="1"/>
  <c r="L7" i="16" s="1"/>
  <c r="L8" i="16" a="1"/>
  <c r="L8" i="16" s="1"/>
  <c r="L9" i="16" a="1"/>
  <c r="L9" i="16" s="1"/>
  <c r="L2" i="16" a="1"/>
  <c r="L2" i="16" s="1"/>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G15" i="3" s="1" a="1"/>
  <c r="G15" i="3" s="1"/>
  <c r="I45" i="2"/>
  <c r="I46" i="2"/>
  <c r="I47" i="2"/>
  <c r="A15" i="3" s="1" a="1"/>
  <c r="A15" i="3" s="1"/>
  <c r="I48" i="2"/>
  <c r="I49" i="2"/>
  <c r="I50" i="2"/>
  <c r="I51" i="2"/>
  <c r="I52" i="2"/>
  <c r="I53" i="2"/>
  <c r="I54" i="2"/>
  <c r="I55" i="2"/>
  <c r="I56" i="2"/>
  <c r="I57" i="2"/>
  <c r="I58" i="2"/>
  <c r="I59" i="2"/>
  <c r="I60" i="2"/>
  <c r="I61" i="2"/>
  <c r="I3" i="2"/>
  <c r="I5" i="13"/>
  <c r="I6" i="13"/>
  <c r="I7" i="13"/>
  <c r="I8" i="13"/>
  <c r="K48" i="1"/>
  <c r="O48" i="1" s="1" a="1"/>
  <c r="O48" i="1" s="1"/>
  <c r="L48" i="1"/>
  <c r="P48" i="1" s="1" a="1"/>
  <c r="P48" i="1" s="1"/>
  <c r="K49" i="1"/>
  <c r="Q49" i="1" s="1"/>
  <c r="L49" i="1"/>
  <c r="P49" i="1" s="1" a="1"/>
  <c r="P49" i="1" s="1"/>
  <c r="L8" i="1"/>
  <c r="P8" i="1" s="1" a="1"/>
  <c r="P8" i="1" s="1"/>
  <c r="K8" i="1"/>
  <c r="J8" i="1"/>
  <c r="Q56" i="1" l="1"/>
  <c r="Q50" i="1"/>
  <c r="Q8" i="1"/>
  <c r="Q60" i="1"/>
  <c r="O57" i="1" a="1"/>
  <c r="O57" i="1" s="1"/>
  <c r="H57" i="1" s="1"/>
  <c r="O54" i="1" a="1"/>
  <c r="O54" i="1" s="1"/>
  <c r="H54" i="1" s="1"/>
  <c r="O60" i="1" a="1"/>
  <c r="O60" i="1" s="1"/>
  <c r="Q61" i="1"/>
  <c r="H61" i="1" s="1"/>
  <c r="Q53" i="1"/>
  <c r="H53" i="1" s="1"/>
  <c r="O50" i="1" a="1"/>
  <c r="O50" i="1" s="1"/>
  <c r="H50" i="1" s="1"/>
  <c r="Q52" i="1"/>
  <c r="H52" i="1" s="1"/>
  <c r="O59" i="1" a="1"/>
  <c r="O59" i="1" s="1"/>
  <c r="H59" i="1" s="1"/>
  <c r="O56" i="1" a="1"/>
  <c r="O56" i="1" s="1"/>
  <c r="H56" i="1" s="1"/>
  <c r="O8" i="1" a="1"/>
  <c r="O8" i="1" s="1"/>
  <c r="Q51" i="1"/>
  <c r="H51" i="1" s="1"/>
  <c r="O49" i="1" a="1"/>
  <c r="O49" i="1" s="1"/>
  <c r="H49" i="1" s="1"/>
  <c r="Q58" i="1"/>
  <c r="H58" i="1" s="1"/>
  <c r="O55" i="1" a="1"/>
  <c r="O55" i="1" s="1"/>
  <c r="H55" i="1" s="1"/>
  <c r="Q48" i="1"/>
  <c r="H48" i="1" s="1"/>
  <c r="I64" i="2"/>
  <c r="C15" i="3" a="1"/>
  <c r="C15" i="3" s="1"/>
  <c r="H15" i="3" a="1"/>
  <c r="H15" i="3" s="1"/>
  <c r="D15" i="3" a="1"/>
  <c r="D15" i="3" s="1"/>
  <c r="B15" i="3" a="1"/>
  <c r="B15" i="3" s="1"/>
  <c r="F15" i="3" a="1"/>
  <c r="F15" i="3" s="1"/>
  <c r="E15" i="3" a="1"/>
  <c r="E15" i="3" s="1"/>
  <c r="D10" i="16"/>
  <c r="E10" i="16"/>
  <c r="F10" i="16"/>
  <c r="G10" i="16"/>
  <c r="H10" i="16"/>
  <c r="I10" i="16"/>
  <c r="B10" i="16"/>
  <c r="L10" i="16" l="1" a="1"/>
  <c r="L10" i="16" s="1"/>
  <c r="H8" i="1"/>
  <c r="H60" i="1"/>
  <c r="J49" i="1"/>
  <c r="J48" i="1"/>
  <c r="B3" i="14"/>
  <c r="B4" i="14"/>
  <c r="B5" i="14"/>
  <c r="B2" i="14"/>
  <c r="AH2" i="9"/>
  <c r="AX2" i="9"/>
  <c r="BN2" i="9" s="1"/>
  <c r="R2" i="9"/>
  <c r="B2" i="9"/>
  <c r="AX2" i="5"/>
  <c r="AH2" i="5"/>
  <c r="R2" i="5"/>
  <c r="I41" i="5"/>
  <c r="K44" i="5"/>
  <c r="K45" i="5"/>
  <c r="K46" i="5"/>
  <c r="K43" i="5"/>
  <c r="CD2" i="9" l="1"/>
  <c r="CT2" i="9" s="1"/>
  <c r="DJ2" i="9" s="1"/>
  <c r="DZ2" i="9" s="1"/>
  <c r="EP2" i="9" s="1"/>
  <c r="FF2" i="9" s="1"/>
  <c r="FV2" i="9" s="1"/>
  <c r="GL2" i="9" s="1"/>
  <c r="HB2" i="9" s="1"/>
  <c r="HR2" i="9" s="1"/>
  <c r="IH2" i="9" s="1"/>
  <c r="C33" i="9"/>
  <c r="C5" i="13"/>
  <c r="D5" i="13"/>
  <c r="E5" i="13"/>
  <c r="F5" i="13"/>
  <c r="G5" i="13"/>
  <c r="H5" i="13"/>
  <c r="C6" i="13"/>
  <c r="D6" i="13"/>
  <c r="E6" i="13"/>
  <c r="F6" i="13"/>
  <c r="G6" i="13"/>
  <c r="H6" i="13"/>
  <c r="C7" i="13"/>
  <c r="D7" i="13"/>
  <c r="E7" i="13"/>
  <c r="F7" i="13"/>
  <c r="G7" i="13"/>
  <c r="H7" i="13"/>
  <c r="C8" i="13"/>
  <c r="D8" i="13"/>
  <c r="E8" i="13"/>
  <c r="F8" i="13"/>
  <c r="G8" i="13"/>
  <c r="H8" i="13"/>
  <c r="B6" i="13"/>
  <c r="B7" i="13"/>
  <c r="B8" i="13"/>
  <c r="B5" i="13"/>
  <c r="Q4" i="13"/>
  <c r="P4" i="13"/>
  <c r="O4" i="13"/>
  <c r="M4" i="13"/>
  <c r="L4" i="13"/>
  <c r="K4" i="13"/>
  <c r="J4" i="13"/>
  <c r="I4" i="13"/>
  <c r="H4" i="13"/>
  <c r="G4" i="13"/>
  <c r="E4" i="13"/>
  <c r="D4" i="13"/>
  <c r="C4" i="13"/>
  <c r="B4" i="13"/>
  <c r="IQ5" i="9"/>
  <c r="IR5" i="9"/>
  <c r="IT5" i="9"/>
  <c r="IU5" i="9"/>
  <c r="IV5" i="9"/>
  <c r="IW5" i="9"/>
  <c r="IQ6" i="9"/>
  <c r="IR6" i="9"/>
  <c r="IS6" i="9"/>
  <c r="IT6" i="9"/>
  <c r="IU6" i="9"/>
  <c r="IV6" i="9"/>
  <c r="IW6" i="9"/>
  <c r="IQ7" i="9"/>
  <c r="IR7" i="9"/>
  <c r="IS7" i="9"/>
  <c r="IT7" i="9"/>
  <c r="IU7" i="9"/>
  <c r="IV7" i="9"/>
  <c r="IW7" i="9"/>
  <c r="IQ8" i="9"/>
  <c r="IR8" i="9"/>
  <c r="IS8" i="9"/>
  <c r="IT8" i="9"/>
  <c r="IU8" i="9"/>
  <c r="IV8" i="9"/>
  <c r="IW8" i="9"/>
  <c r="IQ9" i="9"/>
  <c r="IR9" i="9"/>
  <c r="IS9" i="9"/>
  <c r="IT9" i="9"/>
  <c r="IU9" i="9"/>
  <c r="IV9" i="9"/>
  <c r="IW9" i="9"/>
  <c r="IP6" i="9"/>
  <c r="IP7" i="9"/>
  <c r="IP8" i="9"/>
  <c r="IP9" i="9"/>
  <c r="IP5" i="9"/>
  <c r="II5" i="9"/>
  <c r="IJ5" i="9"/>
  <c r="IK5" i="9"/>
  <c r="IM5" i="9"/>
  <c r="IN5" i="9"/>
  <c r="IO5" i="9"/>
  <c r="IH5" i="9"/>
  <c r="IA5" i="9"/>
  <c r="IB5" i="9"/>
  <c r="ID5" i="9"/>
  <c r="IE5" i="9"/>
  <c r="IF5" i="9"/>
  <c r="IG5" i="9"/>
  <c r="IA6" i="9"/>
  <c r="IB6" i="9"/>
  <c r="IC6" i="9"/>
  <c r="ID6" i="9"/>
  <c r="IE6" i="9"/>
  <c r="IF6" i="9"/>
  <c r="IG6" i="9"/>
  <c r="IA7" i="9"/>
  <c r="IB7" i="9"/>
  <c r="IC7" i="9"/>
  <c r="ID7" i="9"/>
  <c r="IE7" i="9"/>
  <c r="IF7" i="9"/>
  <c r="IG7" i="9"/>
  <c r="IA8" i="9"/>
  <c r="IB8" i="9"/>
  <c r="IC8" i="9"/>
  <c r="ID8" i="9"/>
  <c r="IE8" i="9"/>
  <c r="IF8" i="9"/>
  <c r="IG8" i="9"/>
  <c r="IA9" i="9"/>
  <c r="IB9" i="9"/>
  <c r="IC9" i="9"/>
  <c r="ID9" i="9"/>
  <c r="IE9" i="9"/>
  <c r="IF9" i="9"/>
  <c r="IG9" i="9"/>
  <c r="HZ6" i="9"/>
  <c r="HZ7" i="9"/>
  <c r="HZ8" i="9"/>
  <c r="HZ9" i="9"/>
  <c r="HZ5" i="9"/>
  <c r="HS5" i="9"/>
  <c r="HT5" i="9"/>
  <c r="HU5" i="9"/>
  <c r="HW5" i="9"/>
  <c r="HX5" i="9"/>
  <c r="HY5" i="9"/>
  <c r="HR5" i="9"/>
  <c r="HJ6" i="9"/>
  <c r="HK6" i="9"/>
  <c r="HL6" i="9"/>
  <c r="HM6" i="9"/>
  <c r="HN6" i="9"/>
  <c r="HO6" i="9"/>
  <c r="HP6" i="9"/>
  <c r="HQ6" i="9"/>
  <c r="HJ7" i="9"/>
  <c r="HK7" i="9"/>
  <c r="HL7" i="9"/>
  <c r="HM7" i="9"/>
  <c r="HN7" i="9"/>
  <c r="HO7" i="9"/>
  <c r="HP7" i="9"/>
  <c r="HQ7" i="9"/>
  <c r="HJ8" i="9"/>
  <c r="HK8" i="9"/>
  <c r="HL8" i="9"/>
  <c r="HM8" i="9"/>
  <c r="HN8" i="9"/>
  <c r="HO8" i="9"/>
  <c r="HP8" i="9"/>
  <c r="HQ8" i="9"/>
  <c r="HJ9" i="9"/>
  <c r="HK9" i="9"/>
  <c r="HL9" i="9"/>
  <c r="HM9" i="9"/>
  <c r="HN9" i="9"/>
  <c r="HO9" i="9"/>
  <c r="HP9" i="9"/>
  <c r="HQ9" i="9"/>
  <c r="HK5" i="9"/>
  <c r="HL5" i="9"/>
  <c r="HN5" i="9"/>
  <c r="HO5" i="9"/>
  <c r="HP5" i="9"/>
  <c r="HQ5" i="9"/>
  <c r="HJ5" i="9"/>
  <c r="HC5" i="9"/>
  <c r="HD5" i="9"/>
  <c r="HE5" i="9"/>
  <c r="HG5" i="9"/>
  <c r="HH5" i="9"/>
  <c r="HI5" i="9"/>
  <c r="HB5" i="9"/>
  <c r="GU5" i="9"/>
  <c r="GV5" i="9"/>
  <c r="GX5" i="9"/>
  <c r="GY5" i="9"/>
  <c r="GZ5" i="9"/>
  <c r="HA5" i="9"/>
  <c r="GU6" i="9"/>
  <c r="GV6" i="9"/>
  <c r="GW6" i="9"/>
  <c r="GX6" i="9"/>
  <c r="GY6" i="9"/>
  <c r="GZ6" i="9"/>
  <c r="HA6" i="9"/>
  <c r="GU7" i="9"/>
  <c r="GV7" i="9"/>
  <c r="GW7" i="9"/>
  <c r="GX7" i="9"/>
  <c r="GY7" i="9"/>
  <c r="GZ7" i="9"/>
  <c r="HA7" i="9"/>
  <c r="GU8" i="9"/>
  <c r="GV8" i="9"/>
  <c r="GW8" i="9"/>
  <c r="GX8" i="9"/>
  <c r="GY8" i="9"/>
  <c r="GZ8" i="9"/>
  <c r="HA8" i="9"/>
  <c r="GU9" i="9"/>
  <c r="GV9" i="9"/>
  <c r="GW9" i="9"/>
  <c r="GX9" i="9"/>
  <c r="GY9" i="9"/>
  <c r="GZ9" i="9"/>
  <c r="HA9" i="9"/>
  <c r="GT6" i="9"/>
  <c r="GT7" i="9"/>
  <c r="GT8" i="9"/>
  <c r="GT9" i="9"/>
  <c r="GT5" i="9"/>
  <c r="GM5" i="9"/>
  <c r="GN5" i="9"/>
  <c r="GO5" i="9"/>
  <c r="GQ5" i="9"/>
  <c r="GR5" i="9"/>
  <c r="GS5" i="9"/>
  <c r="GL5" i="9"/>
  <c r="GE5" i="9"/>
  <c r="GF5" i="9"/>
  <c r="GG5" i="9"/>
  <c r="GI5" i="9"/>
  <c r="GJ5" i="9"/>
  <c r="GK5" i="9"/>
  <c r="GE6" i="9"/>
  <c r="GF6" i="9"/>
  <c r="GG6" i="9"/>
  <c r="GH6" i="9"/>
  <c r="GI6" i="9"/>
  <c r="GJ6" i="9"/>
  <c r="GK6" i="9"/>
  <c r="GE7" i="9"/>
  <c r="GF7" i="9"/>
  <c r="GG7" i="9"/>
  <c r="GH7" i="9"/>
  <c r="GI7" i="9"/>
  <c r="GJ7" i="9"/>
  <c r="GK7" i="9"/>
  <c r="GE8" i="9"/>
  <c r="GF8" i="9"/>
  <c r="GG8" i="9"/>
  <c r="GH8" i="9"/>
  <c r="GI8" i="9"/>
  <c r="GJ8" i="9"/>
  <c r="GK8" i="9"/>
  <c r="GE9" i="9"/>
  <c r="GF9" i="9"/>
  <c r="GG9" i="9"/>
  <c r="GH9" i="9"/>
  <c r="GI9" i="9"/>
  <c r="GJ9" i="9"/>
  <c r="GK9" i="9"/>
  <c r="GD6" i="9"/>
  <c r="GD7" i="9"/>
  <c r="GD8" i="9"/>
  <c r="GD9" i="9"/>
  <c r="GD5" i="9"/>
  <c r="FW5" i="9"/>
  <c r="FX5" i="9"/>
  <c r="FY5" i="9"/>
  <c r="GA5" i="9"/>
  <c r="GB5" i="9"/>
  <c r="GC5" i="9"/>
  <c r="FV5" i="9"/>
  <c r="FN6" i="9"/>
  <c r="FO6" i="9"/>
  <c r="FP6" i="9"/>
  <c r="FQ6" i="9"/>
  <c r="FR6" i="9"/>
  <c r="FS6" i="9"/>
  <c r="FT6" i="9"/>
  <c r="FU6" i="9"/>
  <c r="FN7" i="9"/>
  <c r="FO7" i="9"/>
  <c r="FP7" i="9"/>
  <c r="FQ7" i="9"/>
  <c r="FR7" i="9"/>
  <c r="FS7" i="9"/>
  <c r="FT7" i="9"/>
  <c r="FU7" i="9"/>
  <c r="FN8" i="9"/>
  <c r="FO8" i="9"/>
  <c r="FP8" i="9"/>
  <c r="FQ8" i="9"/>
  <c r="FR8" i="9"/>
  <c r="FS8" i="9"/>
  <c r="FT8" i="9"/>
  <c r="FU8" i="9"/>
  <c r="FN9" i="9"/>
  <c r="FO9" i="9"/>
  <c r="FP9" i="9"/>
  <c r="FQ9" i="9"/>
  <c r="FR9" i="9"/>
  <c r="FS9" i="9"/>
  <c r="FT9" i="9"/>
  <c r="FU9" i="9"/>
  <c r="FO5" i="9"/>
  <c r="FP5" i="9"/>
  <c r="FQ5" i="9"/>
  <c r="FS5" i="9"/>
  <c r="FT5" i="9"/>
  <c r="FU5" i="9"/>
  <c r="FN5" i="9"/>
  <c r="FG5" i="9"/>
  <c r="FH5" i="9"/>
  <c r="FI5" i="9"/>
  <c r="FK5" i="9"/>
  <c r="FL5" i="9"/>
  <c r="FM5" i="9"/>
  <c r="FF5" i="9"/>
  <c r="EY5" i="9"/>
  <c r="EZ5" i="9"/>
  <c r="FA5" i="9"/>
  <c r="FC5" i="9"/>
  <c r="FD5" i="9"/>
  <c r="FE5" i="9"/>
  <c r="EY6" i="9"/>
  <c r="EZ6" i="9"/>
  <c r="FA6" i="9"/>
  <c r="FB6" i="9"/>
  <c r="FC6" i="9"/>
  <c r="FD6" i="9"/>
  <c r="FE6" i="9"/>
  <c r="EY7" i="9"/>
  <c r="EZ7" i="9"/>
  <c r="FA7" i="9"/>
  <c r="FB7" i="9"/>
  <c r="FC7" i="9"/>
  <c r="FD7" i="9"/>
  <c r="FE7" i="9"/>
  <c r="EY8" i="9"/>
  <c r="EZ8" i="9"/>
  <c r="FA8" i="9"/>
  <c r="FB8" i="9"/>
  <c r="FC8" i="9"/>
  <c r="FD8" i="9"/>
  <c r="FE8" i="9"/>
  <c r="EY9" i="9"/>
  <c r="EZ9" i="9"/>
  <c r="FA9" i="9"/>
  <c r="FB9" i="9"/>
  <c r="FC9" i="9"/>
  <c r="FD9" i="9"/>
  <c r="FE9" i="9"/>
  <c r="EX6" i="9"/>
  <c r="EX7" i="9"/>
  <c r="EX8" i="9"/>
  <c r="EX9" i="9"/>
  <c r="EX5" i="9"/>
  <c r="EQ5" i="9"/>
  <c r="ER5" i="9"/>
  <c r="ES5" i="9"/>
  <c r="EU5" i="9"/>
  <c r="EV5" i="9"/>
  <c r="EW5" i="9"/>
  <c r="EP5" i="9"/>
  <c r="EH6" i="9"/>
  <c r="EI6" i="9"/>
  <c r="EJ6" i="9"/>
  <c r="EK6" i="9"/>
  <c r="EL6" i="9"/>
  <c r="EM6" i="9"/>
  <c r="EN6" i="9"/>
  <c r="EO6" i="9"/>
  <c r="EH7" i="9"/>
  <c r="EI7" i="9"/>
  <c r="EJ7" i="9"/>
  <c r="EK7" i="9"/>
  <c r="EL7" i="9"/>
  <c r="EM7" i="9"/>
  <c r="EN7" i="9"/>
  <c r="EO7" i="9"/>
  <c r="EH8" i="9"/>
  <c r="EI8" i="9"/>
  <c r="EJ8" i="9"/>
  <c r="EK8" i="9"/>
  <c r="EL8" i="9"/>
  <c r="EM8" i="9"/>
  <c r="EN8" i="9"/>
  <c r="EO8" i="9"/>
  <c r="EH9" i="9"/>
  <c r="EI9" i="9"/>
  <c r="EJ9" i="9"/>
  <c r="EK9" i="9"/>
  <c r="EL9" i="9"/>
  <c r="EM9" i="9"/>
  <c r="EN9" i="9"/>
  <c r="EO9" i="9"/>
  <c r="EI5" i="9"/>
  <c r="EJ5" i="9"/>
  <c r="EK5" i="9"/>
  <c r="EL5" i="9"/>
  <c r="FB5" i="9" s="1"/>
  <c r="FR5" i="9" s="1"/>
  <c r="GH5" i="9" s="1"/>
  <c r="EM5" i="9"/>
  <c r="EN5" i="9"/>
  <c r="EO5" i="9"/>
  <c r="EH5" i="9"/>
  <c r="EA5" i="9"/>
  <c r="EB5" i="9"/>
  <c r="EC5" i="9"/>
  <c r="ED5" i="9"/>
  <c r="ET5" i="9" s="1"/>
  <c r="FJ5" i="9" s="1"/>
  <c r="FZ5" i="9" s="1"/>
  <c r="EE5" i="9"/>
  <c r="EF5" i="9"/>
  <c r="EG5" i="9"/>
  <c r="DZ5" i="9"/>
  <c r="BN5" i="9"/>
  <c r="CD5" i="9" s="1"/>
  <c r="CT5" i="9" s="1"/>
  <c r="DJ5" i="9" s="1"/>
  <c r="DR6" i="9"/>
  <c r="DS6" i="9"/>
  <c r="DT6" i="9"/>
  <c r="DU6" i="9"/>
  <c r="DV6" i="9"/>
  <c r="DW6" i="9"/>
  <c r="DX6" i="9"/>
  <c r="DY6" i="9"/>
  <c r="DR7" i="9"/>
  <c r="DS7" i="9"/>
  <c r="DT7" i="9"/>
  <c r="DU7" i="9"/>
  <c r="DV7" i="9"/>
  <c r="DW7" i="9"/>
  <c r="DX7" i="9"/>
  <c r="DY7" i="9"/>
  <c r="DR8" i="9"/>
  <c r="DS8" i="9"/>
  <c r="DT8" i="9"/>
  <c r="DU8" i="9"/>
  <c r="DV8" i="9"/>
  <c r="DW8" i="9"/>
  <c r="DX8" i="9"/>
  <c r="DY8" i="9"/>
  <c r="DR9" i="9"/>
  <c r="DS9" i="9"/>
  <c r="DT9" i="9"/>
  <c r="DU9" i="9"/>
  <c r="DV9" i="9"/>
  <c r="DW9" i="9"/>
  <c r="DX9" i="9"/>
  <c r="DY9" i="9"/>
  <c r="DS5" i="9"/>
  <c r="DT5" i="9"/>
  <c r="DU5" i="9"/>
  <c r="DW5" i="9"/>
  <c r="DX5" i="9"/>
  <c r="DY5" i="9"/>
  <c r="DR5" i="9"/>
  <c r="DK5" i="9"/>
  <c r="DL5" i="9"/>
  <c r="DM5" i="9"/>
  <c r="DO5" i="9"/>
  <c r="DP5" i="9"/>
  <c r="DQ5" i="9"/>
  <c r="DC5" i="9"/>
  <c r="DD5" i="9"/>
  <c r="DE5" i="9"/>
  <c r="DG5" i="9"/>
  <c r="DH5" i="9"/>
  <c r="DI5" i="9"/>
  <c r="DC6" i="9"/>
  <c r="DD6" i="9"/>
  <c r="DE6" i="9"/>
  <c r="DF6" i="9"/>
  <c r="DG6" i="9"/>
  <c r="DH6" i="9"/>
  <c r="DI6" i="9"/>
  <c r="DC7" i="9"/>
  <c r="DD7" i="9"/>
  <c r="DE7" i="9"/>
  <c r="DF7" i="9"/>
  <c r="DG7" i="9"/>
  <c r="DH7" i="9"/>
  <c r="DI7" i="9"/>
  <c r="DC8" i="9"/>
  <c r="DD8" i="9"/>
  <c r="DE8" i="9"/>
  <c r="DF8" i="9"/>
  <c r="DG8" i="9"/>
  <c r="DH8" i="9"/>
  <c r="DI8" i="9"/>
  <c r="DC9" i="9"/>
  <c r="DD9" i="9"/>
  <c r="DE9" i="9"/>
  <c r="DF9" i="9"/>
  <c r="DG9" i="9"/>
  <c r="DH9" i="9"/>
  <c r="DI9" i="9"/>
  <c r="DB5" i="9"/>
  <c r="DB6" i="9"/>
  <c r="DB7" i="9"/>
  <c r="DB8" i="9"/>
  <c r="DB9" i="9"/>
  <c r="CU5" i="9"/>
  <c r="CV5" i="9"/>
  <c r="CW5" i="9"/>
  <c r="CY5" i="9"/>
  <c r="CZ5" i="9"/>
  <c r="DA5" i="9"/>
  <c r="CM5" i="9"/>
  <c r="CN5" i="9"/>
  <c r="CO5" i="9"/>
  <c r="CQ5" i="9"/>
  <c r="CR5" i="9"/>
  <c r="CS5" i="9"/>
  <c r="CM6" i="9"/>
  <c r="CN6" i="9"/>
  <c r="CO6" i="9"/>
  <c r="CP6" i="9"/>
  <c r="CQ6" i="9"/>
  <c r="CR6" i="9"/>
  <c r="CS6" i="9"/>
  <c r="CM7" i="9"/>
  <c r="CN7" i="9"/>
  <c r="CO7" i="9"/>
  <c r="CP7" i="9"/>
  <c r="CQ7" i="9"/>
  <c r="CR7" i="9"/>
  <c r="CS7" i="9"/>
  <c r="CM8" i="9"/>
  <c r="CN8" i="9"/>
  <c r="CO8" i="9"/>
  <c r="CP8" i="9"/>
  <c r="CQ8" i="9"/>
  <c r="CR8" i="9"/>
  <c r="CS8" i="9"/>
  <c r="CM9" i="9"/>
  <c r="CN9" i="9"/>
  <c r="CO9" i="9"/>
  <c r="CP9" i="9"/>
  <c r="CQ9" i="9"/>
  <c r="CR9" i="9"/>
  <c r="CS9" i="9"/>
  <c r="CL6" i="9"/>
  <c r="CL7" i="9"/>
  <c r="CL8" i="9"/>
  <c r="CL9" i="9"/>
  <c r="CL5" i="9"/>
  <c r="CE5" i="9"/>
  <c r="CF5" i="9"/>
  <c r="CG5" i="9"/>
  <c r="CI5" i="9"/>
  <c r="CJ5" i="9"/>
  <c r="CK5" i="9"/>
  <c r="BO5" i="9"/>
  <c r="BP5" i="9"/>
  <c r="BQ5" i="9"/>
  <c r="BS5" i="9"/>
  <c r="BT5" i="9"/>
  <c r="BU5" i="9"/>
  <c r="BV5" i="9"/>
  <c r="BW5" i="9"/>
  <c r="BX5" i="9"/>
  <c r="BY5" i="9"/>
  <c r="BZ5" i="9"/>
  <c r="CP5" i="9" s="1"/>
  <c r="DF5" i="9" s="1"/>
  <c r="DV5" i="9" s="1"/>
  <c r="CA5" i="9"/>
  <c r="CB5" i="9"/>
  <c r="CC5" i="9"/>
  <c r="BV6" i="9"/>
  <c r="BW6" i="9"/>
  <c r="BX6" i="9"/>
  <c r="BY6" i="9"/>
  <c r="BZ6" i="9"/>
  <c r="CA6" i="9"/>
  <c r="CB6" i="9"/>
  <c r="CC6" i="9"/>
  <c r="BV7" i="9"/>
  <c r="BW7" i="9"/>
  <c r="BX7" i="9"/>
  <c r="BY7" i="9"/>
  <c r="BZ7" i="9"/>
  <c r="CA7" i="9"/>
  <c r="CB7" i="9"/>
  <c r="CC7" i="9"/>
  <c r="BV8" i="9"/>
  <c r="BW8" i="9"/>
  <c r="BX8" i="9"/>
  <c r="BY8" i="9"/>
  <c r="BZ8" i="9"/>
  <c r="CA8" i="9"/>
  <c r="CB8" i="9"/>
  <c r="CC8" i="9"/>
  <c r="BV9" i="9"/>
  <c r="BW9" i="9"/>
  <c r="BX9" i="9"/>
  <c r="BY9" i="9"/>
  <c r="BZ9" i="9"/>
  <c r="CA9" i="9"/>
  <c r="CB9" i="9"/>
  <c r="CC9" i="9"/>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BF5" i="9"/>
  <c r="BG5" i="9"/>
  <c r="BH5" i="9"/>
  <c r="BI5" i="9"/>
  <c r="BK5" i="9"/>
  <c r="BL5" i="9"/>
  <c r="BM5" i="9"/>
  <c r="AX5" i="9"/>
  <c r="AQ5" i="9"/>
  <c r="AR5" i="9"/>
  <c r="AS5" i="9"/>
  <c r="AU5" i="9"/>
  <c r="AV5" i="9"/>
  <c r="AW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P5"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Z5" i="9"/>
  <c r="AA5" i="9"/>
  <c r="AB5" i="9"/>
  <c r="AC5" i="9"/>
  <c r="AE5" i="9"/>
  <c r="AF5" i="9"/>
  <c r="AG5" i="9"/>
  <c r="R5" i="9"/>
  <c r="C5" i="9"/>
  <c r="D5" i="9"/>
  <c r="E5" i="9"/>
  <c r="F5" i="9"/>
  <c r="G5" i="9"/>
  <c r="H5" i="9"/>
  <c r="I5" i="9"/>
  <c r="J5" i="9"/>
  <c r="K5" i="9"/>
  <c r="L5" i="9"/>
  <c r="M5" i="9"/>
  <c r="N5" i="9"/>
  <c r="O5" i="9"/>
  <c r="P5" i="9"/>
  <c r="Q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BG4" i="5"/>
  <c r="BH4" i="5"/>
  <c r="BJ4" i="5"/>
  <c r="BK4" i="5"/>
  <c r="BL4" i="5"/>
  <c r="BM4" i="5"/>
  <c r="BF4" i="5"/>
  <c r="AY4" i="5"/>
  <c r="AZ4" i="5"/>
  <c r="BA4" i="5"/>
  <c r="BB4" i="5"/>
  <c r="GP5" i="9" s="1"/>
  <c r="HF5" i="9" s="1"/>
  <c r="HV5" i="9" s="1"/>
  <c r="IL5" i="9" s="1"/>
  <c r="BC4" i="5"/>
  <c r="BD4" i="5"/>
  <c r="BE4" i="5"/>
  <c r="AX4" i="5"/>
  <c r="AY5" i="5"/>
  <c r="GM6" i="9" s="1"/>
  <c r="HC6" i="9" s="1"/>
  <c r="HS6" i="9" s="1"/>
  <c r="II6" i="9" s="1"/>
  <c r="AZ5" i="5"/>
  <c r="GN6" i="9" s="1"/>
  <c r="HD6" i="9" s="1"/>
  <c r="HT6" i="9" s="1"/>
  <c r="IJ6" i="9" s="1"/>
  <c r="BA5" i="5"/>
  <c r="GO6" i="9" s="1"/>
  <c r="HE6" i="9" s="1"/>
  <c r="HU6" i="9" s="1"/>
  <c r="IK6" i="9" s="1"/>
  <c r="BB5" i="5"/>
  <c r="GP6" i="9" s="1"/>
  <c r="HF6" i="9" s="1"/>
  <c r="HV6" i="9" s="1"/>
  <c r="IL6" i="9" s="1"/>
  <c r="BC5" i="5"/>
  <c r="GQ6" i="9" s="1"/>
  <c r="HG6" i="9" s="1"/>
  <c r="HW6" i="9" s="1"/>
  <c r="IM6" i="9" s="1"/>
  <c r="BD5" i="5"/>
  <c r="GR6" i="9" s="1"/>
  <c r="HH6" i="9" s="1"/>
  <c r="HX6" i="9" s="1"/>
  <c r="IN6" i="9" s="1"/>
  <c r="BE5" i="5"/>
  <c r="GS6" i="9" s="1"/>
  <c r="HI6" i="9" s="1"/>
  <c r="HY6" i="9" s="1"/>
  <c r="IO6" i="9" s="1"/>
  <c r="AY6" i="5"/>
  <c r="GM7" i="9" s="1"/>
  <c r="HC7" i="9" s="1"/>
  <c r="HS7" i="9" s="1"/>
  <c r="II7" i="9" s="1"/>
  <c r="AZ6" i="5"/>
  <c r="GN7" i="9" s="1"/>
  <c r="HD7" i="9" s="1"/>
  <c r="HT7" i="9" s="1"/>
  <c r="IJ7" i="9" s="1"/>
  <c r="BA6" i="5"/>
  <c r="GO7" i="9" s="1"/>
  <c r="HE7" i="9" s="1"/>
  <c r="HU7" i="9" s="1"/>
  <c r="IK7" i="9" s="1"/>
  <c r="BB6" i="5"/>
  <c r="GP7" i="9" s="1"/>
  <c r="HF7" i="9" s="1"/>
  <c r="HV7" i="9" s="1"/>
  <c r="IL7" i="9" s="1"/>
  <c r="BC6" i="5"/>
  <c r="GQ7" i="9" s="1"/>
  <c r="HG7" i="9" s="1"/>
  <c r="HW7" i="9" s="1"/>
  <c r="IM7" i="9" s="1"/>
  <c r="BD6" i="5"/>
  <c r="GR7" i="9" s="1"/>
  <c r="HH7" i="9" s="1"/>
  <c r="HX7" i="9" s="1"/>
  <c r="IN7" i="9" s="1"/>
  <c r="BE6" i="5"/>
  <c r="GS7" i="9" s="1"/>
  <c r="HI7" i="9" s="1"/>
  <c r="HY7" i="9" s="1"/>
  <c r="IO7" i="9" s="1"/>
  <c r="AY7" i="5"/>
  <c r="GM8" i="9" s="1"/>
  <c r="HC8" i="9" s="1"/>
  <c r="HS8" i="9" s="1"/>
  <c r="II8" i="9" s="1"/>
  <c r="AZ7" i="5"/>
  <c r="GN8" i="9" s="1"/>
  <c r="HD8" i="9" s="1"/>
  <c r="HT8" i="9" s="1"/>
  <c r="IJ8" i="9" s="1"/>
  <c r="BA7" i="5"/>
  <c r="GO8" i="9" s="1"/>
  <c r="HE8" i="9" s="1"/>
  <c r="HU8" i="9" s="1"/>
  <c r="IK8" i="9" s="1"/>
  <c r="BB7" i="5"/>
  <c r="GP8" i="9" s="1"/>
  <c r="HF8" i="9" s="1"/>
  <c r="HV8" i="9" s="1"/>
  <c r="IL8" i="9" s="1"/>
  <c r="BC7" i="5"/>
  <c r="GQ8" i="9" s="1"/>
  <c r="HG8" i="9" s="1"/>
  <c r="HW8" i="9" s="1"/>
  <c r="IM8" i="9" s="1"/>
  <c r="BD7" i="5"/>
  <c r="GR8" i="9" s="1"/>
  <c r="HH8" i="9" s="1"/>
  <c r="HX8" i="9" s="1"/>
  <c r="IN8" i="9" s="1"/>
  <c r="BE7" i="5"/>
  <c r="GS8" i="9" s="1"/>
  <c r="HI8" i="9" s="1"/>
  <c r="HY8" i="9" s="1"/>
  <c r="IO8" i="9" s="1"/>
  <c r="AY8" i="5"/>
  <c r="GM9" i="9" s="1"/>
  <c r="HC9" i="9" s="1"/>
  <c r="HS9" i="9" s="1"/>
  <c r="II9" i="9" s="1"/>
  <c r="AZ8" i="5"/>
  <c r="GN9" i="9" s="1"/>
  <c r="HD9" i="9" s="1"/>
  <c r="HT9" i="9" s="1"/>
  <c r="IJ9" i="9" s="1"/>
  <c r="BA8" i="5"/>
  <c r="GO9" i="9" s="1"/>
  <c r="HE9" i="9" s="1"/>
  <c r="HU9" i="9" s="1"/>
  <c r="IK9" i="9" s="1"/>
  <c r="BB8" i="5"/>
  <c r="GP9" i="9" s="1"/>
  <c r="HF9" i="9" s="1"/>
  <c r="HV9" i="9" s="1"/>
  <c r="IL9" i="9" s="1"/>
  <c r="BC8" i="5"/>
  <c r="GQ9" i="9" s="1"/>
  <c r="HG9" i="9" s="1"/>
  <c r="HW9" i="9" s="1"/>
  <c r="IM9" i="9" s="1"/>
  <c r="BD8" i="5"/>
  <c r="GR9" i="9" s="1"/>
  <c r="HH9" i="9" s="1"/>
  <c r="HX9" i="9" s="1"/>
  <c r="IN9" i="9" s="1"/>
  <c r="BE8" i="5"/>
  <c r="GS9" i="9" s="1"/>
  <c r="HI9" i="9" s="1"/>
  <c r="HY9" i="9" s="1"/>
  <c r="IO9" i="9" s="1"/>
  <c r="AX6" i="5"/>
  <c r="GL7" i="9" s="1"/>
  <c r="HB7" i="9" s="1"/>
  <c r="HR7" i="9" s="1"/>
  <c r="IH7" i="9" s="1"/>
  <c r="AX7" i="5"/>
  <c r="GL8" i="9" s="1"/>
  <c r="HB8" i="9" s="1"/>
  <c r="HR8" i="9" s="1"/>
  <c r="IH8" i="9" s="1"/>
  <c r="AX8" i="5"/>
  <c r="GL9" i="9" s="1"/>
  <c r="HB9" i="9" s="1"/>
  <c r="HR9" i="9" s="1"/>
  <c r="IH9" i="9" s="1"/>
  <c r="AX5" i="5"/>
  <c r="GL6" i="9" s="1"/>
  <c r="HB6" i="9" s="1"/>
  <c r="HR6" i="9" s="1"/>
  <c r="IH6" i="9" s="1"/>
  <c r="AI5" i="5"/>
  <c r="EA6" i="9" s="1"/>
  <c r="EQ6" i="9" s="1"/>
  <c r="FG6" i="9" s="1"/>
  <c r="FW6" i="9" s="1"/>
  <c r="AJ5" i="5"/>
  <c r="EB6" i="9" s="1"/>
  <c r="ER6" i="9" s="1"/>
  <c r="FH6" i="9" s="1"/>
  <c r="FX6" i="9" s="1"/>
  <c r="AK5" i="5"/>
  <c r="EC6" i="9" s="1"/>
  <c r="ES6" i="9" s="1"/>
  <c r="FI6" i="9" s="1"/>
  <c r="FY6" i="9" s="1"/>
  <c r="AL5" i="5"/>
  <c r="ED6" i="9" s="1"/>
  <c r="ET6" i="9" s="1"/>
  <c r="FJ6" i="9" s="1"/>
  <c r="FZ6" i="9" s="1"/>
  <c r="AM5" i="5"/>
  <c r="EE6" i="9" s="1"/>
  <c r="EU6" i="9" s="1"/>
  <c r="FK6" i="9" s="1"/>
  <c r="GA6" i="9" s="1"/>
  <c r="AN5" i="5"/>
  <c r="EF6" i="9" s="1"/>
  <c r="EV6" i="9" s="1"/>
  <c r="FL6" i="9" s="1"/>
  <c r="GB6" i="9" s="1"/>
  <c r="AO5" i="5"/>
  <c r="EG6" i="9" s="1"/>
  <c r="EW6" i="9" s="1"/>
  <c r="FM6" i="9" s="1"/>
  <c r="GC6" i="9" s="1"/>
  <c r="AI6" i="5"/>
  <c r="EA7" i="9" s="1"/>
  <c r="EQ7" i="9" s="1"/>
  <c r="FG7" i="9" s="1"/>
  <c r="FW7" i="9" s="1"/>
  <c r="AJ6" i="5"/>
  <c r="EB7" i="9" s="1"/>
  <c r="ER7" i="9" s="1"/>
  <c r="FH7" i="9" s="1"/>
  <c r="FX7" i="9" s="1"/>
  <c r="AK6" i="5"/>
  <c r="EC7" i="9" s="1"/>
  <c r="ES7" i="9" s="1"/>
  <c r="FI7" i="9" s="1"/>
  <c r="FY7" i="9" s="1"/>
  <c r="AL6" i="5"/>
  <c r="ED7" i="9" s="1"/>
  <c r="ET7" i="9" s="1"/>
  <c r="FJ7" i="9" s="1"/>
  <c r="FZ7" i="9" s="1"/>
  <c r="AM6" i="5"/>
  <c r="EE7" i="9" s="1"/>
  <c r="EU7" i="9" s="1"/>
  <c r="FK7" i="9" s="1"/>
  <c r="GA7" i="9" s="1"/>
  <c r="AN6" i="5"/>
  <c r="EF7" i="9" s="1"/>
  <c r="EV7" i="9" s="1"/>
  <c r="FL7" i="9" s="1"/>
  <c r="GB7" i="9" s="1"/>
  <c r="AO6" i="5"/>
  <c r="EG7" i="9" s="1"/>
  <c r="EW7" i="9" s="1"/>
  <c r="FM7" i="9" s="1"/>
  <c r="GC7" i="9" s="1"/>
  <c r="AI7" i="5"/>
  <c r="EA8" i="9" s="1"/>
  <c r="EQ8" i="9" s="1"/>
  <c r="FG8" i="9" s="1"/>
  <c r="FW8" i="9" s="1"/>
  <c r="AJ7" i="5"/>
  <c r="EB8" i="9" s="1"/>
  <c r="ER8" i="9" s="1"/>
  <c r="FH8" i="9" s="1"/>
  <c r="FX8" i="9" s="1"/>
  <c r="AK7" i="5"/>
  <c r="EC8" i="9" s="1"/>
  <c r="ES8" i="9" s="1"/>
  <c r="FI8" i="9" s="1"/>
  <c r="FY8" i="9" s="1"/>
  <c r="AL7" i="5"/>
  <c r="ED8" i="9" s="1"/>
  <c r="ET8" i="9" s="1"/>
  <c r="FJ8" i="9" s="1"/>
  <c r="FZ8" i="9" s="1"/>
  <c r="AM7" i="5"/>
  <c r="EE8" i="9" s="1"/>
  <c r="EU8" i="9" s="1"/>
  <c r="FK8" i="9" s="1"/>
  <c r="GA8" i="9" s="1"/>
  <c r="AN7" i="5"/>
  <c r="EF8" i="9" s="1"/>
  <c r="EV8" i="9" s="1"/>
  <c r="FL8" i="9" s="1"/>
  <c r="GB8" i="9" s="1"/>
  <c r="AO7" i="5"/>
  <c r="EG8" i="9" s="1"/>
  <c r="EW8" i="9" s="1"/>
  <c r="FM8" i="9" s="1"/>
  <c r="GC8" i="9" s="1"/>
  <c r="AI8" i="5"/>
  <c r="EA9" i="9" s="1"/>
  <c r="EQ9" i="9" s="1"/>
  <c r="FG9" i="9" s="1"/>
  <c r="FW9" i="9" s="1"/>
  <c r="AJ8" i="5"/>
  <c r="EB9" i="9" s="1"/>
  <c r="ER9" i="9" s="1"/>
  <c r="FH9" i="9" s="1"/>
  <c r="FX9" i="9" s="1"/>
  <c r="AK8" i="5"/>
  <c r="EC9" i="9" s="1"/>
  <c r="ES9" i="9" s="1"/>
  <c r="FI9" i="9" s="1"/>
  <c r="FY9" i="9" s="1"/>
  <c r="AL8" i="5"/>
  <c r="ED9" i="9" s="1"/>
  <c r="ET9" i="9" s="1"/>
  <c r="FJ9" i="9" s="1"/>
  <c r="FZ9" i="9" s="1"/>
  <c r="AM8" i="5"/>
  <c r="EE9" i="9" s="1"/>
  <c r="EU9" i="9" s="1"/>
  <c r="FK9" i="9" s="1"/>
  <c r="GA9" i="9" s="1"/>
  <c r="AN8" i="5"/>
  <c r="EF9" i="9" s="1"/>
  <c r="EV9" i="9" s="1"/>
  <c r="FL9" i="9" s="1"/>
  <c r="GB9" i="9" s="1"/>
  <c r="AO8" i="5"/>
  <c r="EG9" i="9" s="1"/>
  <c r="EW9" i="9" s="1"/>
  <c r="FM9" i="9" s="1"/>
  <c r="GC9" i="9" s="1"/>
  <c r="AH6" i="5"/>
  <c r="DZ7" i="9" s="1"/>
  <c r="EP7" i="9" s="1"/>
  <c r="FF7" i="9" s="1"/>
  <c r="FV7" i="9" s="1"/>
  <c r="AH7" i="5"/>
  <c r="DZ8" i="9" s="1"/>
  <c r="EP8" i="9" s="1"/>
  <c r="FF8" i="9" s="1"/>
  <c r="FV8" i="9" s="1"/>
  <c r="AH8" i="5"/>
  <c r="DZ9" i="9" s="1"/>
  <c r="EP9" i="9" s="1"/>
  <c r="FF9" i="9" s="1"/>
  <c r="FV9" i="9" s="1"/>
  <c r="AH5" i="5"/>
  <c r="DZ6" i="9" s="1"/>
  <c r="EP6" i="9" s="1"/>
  <c r="FF6" i="9" s="1"/>
  <c r="FV6" i="9" s="1"/>
  <c r="AV6" i="5"/>
  <c r="AU6" i="5"/>
  <c r="AT6" i="5"/>
  <c r="AS6" i="5"/>
  <c r="S5" i="5"/>
  <c r="BO6" i="9" s="1"/>
  <c r="CE6" i="9" s="1"/>
  <c r="CU6" i="9" s="1"/>
  <c r="DK6" i="9" s="1"/>
  <c r="T5" i="5"/>
  <c r="BP6" i="9" s="1"/>
  <c r="CF6" i="9" s="1"/>
  <c r="CV6" i="9" s="1"/>
  <c r="DL6" i="9" s="1"/>
  <c r="U5" i="5"/>
  <c r="BQ6" i="9" s="1"/>
  <c r="CG6" i="9" s="1"/>
  <c r="CW6" i="9" s="1"/>
  <c r="DM6" i="9" s="1"/>
  <c r="V5" i="5"/>
  <c r="BR6" i="9" s="1"/>
  <c r="CH6" i="9" s="1"/>
  <c r="CX6" i="9" s="1"/>
  <c r="DN6" i="9" s="1"/>
  <c r="W5" i="5"/>
  <c r="BS6" i="9" s="1"/>
  <c r="CI6" i="9" s="1"/>
  <c r="CY6" i="9" s="1"/>
  <c r="DO6" i="9" s="1"/>
  <c r="X5" i="5"/>
  <c r="BT6" i="9" s="1"/>
  <c r="CJ6" i="9" s="1"/>
  <c r="CZ6" i="9" s="1"/>
  <c r="DP6" i="9" s="1"/>
  <c r="Y5" i="5"/>
  <c r="BU6" i="9" s="1"/>
  <c r="CK6" i="9" s="1"/>
  <c r="DA6" i="9" s="1"/>
  <c r="DQ6" i="9" s="1"/>
  <c r="S6" i="5"/>
  <c r="BO7" i="9" s="1"/>
  <c r="CE7" i="9" s="1"/>
  <c r="CU7" i="9" s="1"/>
  <c r="DK7" i="9" s="1"/>
  <c r="T6" i="5"/>
  <c r="BP7" i="9" s="1"/>
  <c r="CF7" i="9" s="1"/>
  <c r="CV7" i="9" s="1"/>
  <c r="DL7" i="9" s="1"/>
  <c r="U6" i="5"/>
  <c r="BQ7" i="9" s="1"/>
  <c r="CG7" i="9" s="1"/>
  <c r="CW7" i="9" s="1"/>
  <c r="DM7" i="9" s="1"/>
  <c r="V6" i="5"/>
  <c r="BR7" i="9" s="1"/>
  <c r="CH7" i="9" s="1"/>
  <c r="CX7" i="9" s="1"/>
  <c r="DN7" i="9" s="1"/>
  <c r="W6" i="5"/>
  <c r="BS7" i="9" s="1"/>
  <c r="CI7" i="9" s="1"/>
  <c r="CY7" i="9" s="1"/>
  <c r="DO7" i="9" s="1"/>
  <c r="X6" i="5"/>
  <c r="BT7" i="9" s="1"/>
  <c r="CJ7" i="9" s="1"/>
  <c r="CZ7" i="9" s="1"/>
  <c r="DP7" i="9" s="1"/>
  <c r="Y6" i="5"/>
  <c r="BU7" i="9" s="1"/>
  <c r="CK7" i="9" s="1"/>
  <c r="DA7" i="9" s="1"/>
  <c r="DQ7" i="9" s="1"/>
  <c r="S7" i="5"/>
  <c r="BO8" i="9" s="1"/>
  <c r="CE8" i="9" s="1"/>
  <c r="CU8" i="9" s="1"/>
  <c r="DK8" i="9" s="1"/>
  <c r="T7" i="5"/>
  <c r="BP8" i="9" s="1"/>
  <c r="CF8" i="9" s="1"/>
  <c r="CV8" i="9" s="1"/>
  <c r="DL8" i="9" s="1"/>
  <c r="U7" i="5"/>
  <c r="BQ8" i="9" s="1"/>
  <c r="CG8" i="9" s="1"/>
  <c r="CW8" i="9" s="1"/>
  <c r="DM8" i="9" s="1"/>
  <c r="V7" i="5"/>
  <c r="BR8" i="9" s="1"/>
  <c r="CH8" i="9" s="1"/>
  <c r="CX8" i="9" s="1"/>
  <c r="DN8" i="9" s="1"/>
  <c r="W7" i="5"/>
  <c r="BS8" i="9" s="1"/>
  <c r="CI8" i="9" s="1"/>
  <c r="CY8" i="9" s="1"/>
  <c r="DO8" i="9" s="1"/>
  <c r="X7" i="5"/>
  <c r="BT8" i="9" s="1"/>
  <c r="CJ8" i="9" s="1"/>
  <c r="CZ8" i="9" s="1"/>
  <c r="DP8" i="9" s="1"/>
  <c r="Y7" i="5"/>
  <c r="BU8" i="9" s="1"/>
  <c r="CK8" i="9" s="1"/>
  <c r="DA8" i="9" s="1"/>
  <c r="DQ8" i="9" s="1"/>
  <c r="S8" i="5"/>
  <c r="BO9" i="9" s="1"/>
  <c r="CE9" i="9" s="1"/>
  <c r="CU9" i="9" s="1"/>
  <c r="DK9" i="9" s="1"/>
  <c r="T8" i="5"/>
  <c r="BP9" i="9" s="1"/>
  <c r="CF9" i="9" s="1"/>
  <c r="CV9" i="9" s="1"/>
  <c r="DL9" i="9" s="1"/>
  <c r="U8" i="5"/>
  <c r="BQ9" i="9" s="1"/>
  <c r="CG9" i="9" s="1"/>
  <c r="CW9" i="9" s="1"/>
  <c r="DM9" i="9" s="1"/>
  <c r="V8" i="5"/>
  <c r="BR9" i="9" s="1"/>
  <c r="CH9" i="9" s="1"/>
  <c r="CX9" i="9" s="1"/>
  <c r="DN9" i="9" s="1"/>
  <c r="W8" i="5"/>
  <c r="BS9" i="9" s="1"/>
  <c r="CI9" i="9" s="1"/>
  <c r="CY9" i="9" s="1"/>
  <c r="DO9" i="9" s="1"/>
  <c r="X8" i="5"/>
  <c r="BT9" i="9" s="1"/>
  <c r="CJ9" i="9" s="1"/>
  <c r="CZ9" i="9" s="1"/>
  <c r="DP9" i="9" s="1"/>
  <c r="Y8" i="5"/>
  <c r="BU9" i="9" s="1"/>
  <c r="CK9" i="9" s="1"/>
  <c r="DA9" i="9" s="1"/>
  <c r="DQ9" i="9" s="1"/>
  <c r="R6" i="5"/>
  <c r="BN7" i="9" s="1"/>
  <c r="CD7" i="9" s="1"/>
  <c r="CT7" i="9" s="1"/>
  <c r="DJ7" i="9" s="1"/>
  <c r="R7" i="5"/>
  <c r="BN8" i="9" s="1"/>
  <c r="CD8" i="9" s="1"/>
  <c r="CT8" i="9" s="1"/>
  <c r="DJ8" i="9" s="1"/>
  <c r="R8" i="5"/>
  <c r="BN9" i="9" s="1"/>
  <c r="CD9" i="9" s="1"/>
  <c r="CT9" i="9" s="1"/>
  <c r="DJ9" i="9" s="1"/>
  <c r="R5" i="5"/>
  <c r="BN6" i="9" s="1"/>
  <c r="CD6" i="9" s="1"/>
  <c r="CT6" i="9" s="1"/>
  <c r="DJ6" i="9" s="1"/>
  <c r="S4" i="5"/>
  <c r="AI4" i="5" s="1"/>
  <c r="T4" i="5"/>
  <c r="AJ4" i="5" s="1"/>
  <c r="U4" i="5"/>
  <c r="AK4" i="5" s="1"/>
  <c r="V4" i="5"/>
  <c r="AL4" i="5" s="1"/>
  <c r="W4" i="5"/>
  <c r="AM4" i="5" s="1"/>
  <c r="X4" i="5"/>
  <c r="AN4" i="5" s="1"/>
  <c r="Y4" i="5"/>
  <c r="AO4" i="5" s="1"/>
  <c r="R4" i="5"/>
  <c r="AH4" i="5" s="1"/>
  <c r="K4" i="5"/>
  <c r="AA4" i="5" s="1"/>
  <c r="AQ4" i="5" s="1"/>
  <c r="L4" i="5"/>
  <c r="AB4" i="5" s="1"/>
  <c r="AR4" i="5" s="1"/>
  <c r="M4" i="5"/>
  <c r="AC4" i="5" s="1"/>
  <c r="AS4" i="5" s="1"/>
  <c r="N4" i="5"/>
  <c r="AD4" i="5" s="1"/>
  <c r="AT4" i="5" s="1"/>
  <c r="BI4" i="5" s="1"/>
  <c r="GW5" i="9" s="1"/>
  <c r="HM5" i="9" s="1"/>
  <c r="IC5" i="9" s="1"/>
  <c r="IS5" i="9" s="1"/>
  <c r="O4" i="5"/>
  <c r="AE4" i="5" s="1"/>
  <c r="AU4" i="5" s="1"/>
  <c r="P4" i="5"/>
  <c r="AF4" i="5" s="1"/>
  <c r="AV4" i="5" s="1"/>
  <c r="Q4" i="5"/>
  <c r="AG4" i="5" s="1"/>
  <c r="AW4" i="5" s="1"/>
  <c r="J4" i="5"/>
  <c r="Z4" i="5" s="1"/>
  <c r="AP4" i="5" s="1"/>
  <c r="I8" i="5"/>
  <c r="AO9" i="9" s="1"/>
  <c r="C5" i="5"/>
  <c r="AI6" i="9" s="1"/>
  <c r="D5" i="5"/>
  <c r="T6" i="9" s="1"/>
  <c r="E5" i="5"/>
  <c r="E6" i="9" s="1"/>
  <c r="F5" i="5"/>
  <c r="BB6" i="9" s="1"/>
  <c r="G5" i="5"/>
  <c r="AM6" i="9" s="1"/>
  <c r="H5" i="5"/>
  <c r="AN6" i="9" s="1"/>
  <c r="I5" i="5"/>
  <c r="BE6" i="9" s="1"/>
  <c r="C6" i="5"/>
  <c r="C7" i="9" s="1"/>
  <c r="D6" i="5"/>
  <c r="D7" i="9" s="1"/>
  <c r="E6" i="5"/>
  <c r="AK7" i="9" s="1"/>
  <c r="F6" i="5"/>
  <c r="F7" i="9" s="1"/>
  <c r="G6" i="5"/>
  <c r="BC7" i="9" s="1"/>
  <c r="H6" i="5"/>
  <c r="AN7" i="9" s="1"/>
  <c r="I6" i="5"/>
  <c r="AO7" i="9" s="1"/>
  <c r="C7" i="5"/>
  <c r="AI8" i="9" s="1"/>
  <c r="D7" i="5"/>
  <c r="T8" i="9" s="1"/>
  <c r="E7" i="5"/>
  <c r="AK8" i="9" s="1"/>
  <c r="F7" i="5"/>
  <c r="V8" i="9" s="1"/>
  <c r="G7" i="5"/>
  <c r="W8" i="9" s="1"/>
  <c r="H7" i="5"/>
  <c r="AN8" i="9" s="1"/>
  <c r="I7" i="5"/>
  <c r="Y8" i="9" s="1"/>
  <c r="C8" i="5"/>
  <c r="S9" i="9" s="1"/>
  <c r="D8" i="5"/>
  <c r="T9" i="9" s="1"/>
  <c r="E8" i="5"/>
  <c r="AK9" i="9" s="1"/>
  <c r="F8" i="5"/>
  <c r="F9" i="9" s="1"/>
  <c r="G8" i="5"/>
  <c r="AM9" i="9" s="1"/>
  <c r="H8" i="5"/>
  <c r="X9" i="9" s="1"/>
  <c r="B6" i="5"/>
  <c r="R7" i="9" s="1"/>
  <c r="B7" i="5"/>
  <c r="AX8" i="9" s="1"/>
  <c r="B8" i="5"/>
  <c r="R9"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BR5" i="9" l="1"/>
  <c r="CH5" i="9" s="1"/>
  <c r="CX5" i="9" s="1"/>
  <c r="DN5" i="9" s="1"/>
  <c r="AD5" i="9"/>
  <c r="AT5" i="9"/>
  <c r="BJ5" i="9"/>
  <c r="O20" i="1" a="1"/>
  <c r="O20" i="1" s="1"/>
  <c r="Q20" i="1"/>
  <c r="Q40" i="1"/>
  <c r="O40" i="1" a="1"/>
  <c r="O40" i="1" s="1"/>
  <c r="H40" i="1" s="1"/>
  <c r="O19" i="1" a="1"/>
  <c r="O19" i="1" s="1"/>
  <c r="Q19" i="1"/>
  <c r="Q11" i="1"/>
  <c r="O11" i="1" a="1"/>
  <c r="O11" i="1" s="1"/>
  <c r="H11" i="1" s="1"/>
  <c r="Q47" i="1"/>
  <c r="O47" i="1" a="1"/>
  <c r="O47" i="1" s="1"/>
  <c r="Q39" i="1"/>
  <c r="O39" i="1" a="1"/>
  <c r="O39" i="1" s="1"/>
  <c r="H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H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BE8" i="9"/>
  <c r="B9" i="9"/>
  <c r="BD8" i="9"/>
  <c r="G9" i="9"/>
  <c r="BA8" i="9"/>
  <c r="G6" i="9"/>
  <c r="S8" i="9"/>
  <c r="AY7" i="9"/>
  <c r="U6" i="9"/>
  <c r="AJ8" i="9"/>
  <c r="AI7" i="9"/>
  <c r="BC9" i="9"/>
  <c r="B8" i="9"/>
  <c r="AK6" i="9"/>
  <c r="BC6" i="9"/>
  <c r="H6" i="9"/>
  <c r="X6" i="9"/>
  <c r="BD6" i="9"/>
  <c r="T7" i="9"/>
  <c r="AZ7" i="9"/>
  <c r="AJ7" i="9"/>
  <c r="U7" i="9"/>
  <c r="AL7" i="9"/>
  <c r="V7" i="9"/>
  <c r="H7" i="9"/>
  <c r="BD7" i="9"/>
  <c r="AH8" i="9"/>
  <c r="R8" i="9"/>
  <c r="AL8" i="9"/>
  <c r="BB8" i="9"/>
  <c r="H8" i="9"/>
  <c r="X8" i="9"/>
  <c r="C9" i="9"/>
  <c r="AI9" i="9"/>
  <c r="AY9" i="9"/>
  <c r="BB9" i="9"/>
  <c r="V9" i="9"/>
  <c r="W9" i="9"/>
  <c r="AN9" i="9"/>
  <c r="Y9" i="9"/>
  <c r="I9" i="9"/>
  <c r="BE9" i="9"/>
  <c r="BD9" i="9"/>
  <c r="H9" i="9"/>
  <c r="AL9" i="9"/>
  <c r="E9" i="9"/>
  <c r="U9" i="9"/>
  <c r="BA9" i="9"/>
  <c r="AZ9" i="9"/>
  <c r="D9" i="9"/>
  <c r="AJ9" i="9"/>
  <c r="AH9" i="9"/>
  <c r="AX9" i="9"/>
  <c r="AM8" i="9"/>
  <c r="BC8" i="9"/>
  <c r="G8" i="9"/>
  <c r="F8" i="9"/>
  <c r="U8" i="9"/>
  <c r="E8" i="9"/>
  <c r="AZ8" i="9"/>
  <c r="D8" i="9"/>
  <c r="C8" i="9"/>
  <c r="AY8" i="9"/>
  <c r="X7" i="9"/>
  <c r="AM7" i="9"/>
  <c r="G7" i="9"/>
  <c r="W7" i="9"/>
  <c r="BB7" i="9"/>
  <c r="E7" i="9"/>
  <c r="BA7" i="9"/>
  <c r="S7" i="9"/>
  <c r="B7" i="9"/>
  <c r="AH7" i="9"/>
  <c r="AX7" i="9"/>
  <c r="W6" i="9"/>
  <c r="F6" i="9"/>
  <c r="V6" i="9"/>
  <c r="AL6" i="9"/>
  <c r="BA6" i="9"/>
  <c r="AX6" i="9"/>
  <c r="AY6" i="9"/>
  <c r="S6" i="9"/>
  <c r="AJ6" i="9"/>
  <c r="D6" i="9"/>
  <c r="AZ6" i="9"/>
  <c r="C6" i="9"/>
  <c r="B6" i="9"/>
  <c r="AH6" i="9"/>
  <c r="Y7" i="9"/>
  <c r="AO8" i="9"/>
  <c r="I8" i="9"/>
  <c r="I7" i="9"/>
  <c r="BE7" i="9"/>
  <c r="Y6" i="9"/>
  <c r="AO6" i="9"/>
  <c r="I6" i="9"/>
  <c r="R1" i="9"/>
  <c r="AH1" i="9" s="1"/>
  <c r="AX1" i="9" s="1"/>
  <c r="BN1" i="9" s="1"/>
  <c r="CD1" i="9" s="1"/>
  <c r="CT1" i="9" s="1"/>
  <c r="DJ1" i="9" s="1"/>
  <c r="DZ1" i="9" s="1"/>
  <c r="EP1" i="9" s="1"/>
  <c r="FF1" i="9" s="1"/>
  <c r="FV1" i="9" s="1"/>
  <c r="GL1" i="9" s="1"/>
  <c r="HB1" i="9" s="1"/>
  <c r="HR1" i="9" s="1"/>
  <c r="IH1" i="9" s="1"/>
  <c r="AR6" i="5"/>
  <c r="AQ6" i="5"/>
  <c r="AP6" i="5"/>
  <c r="R1" i="5"/>
  <c r="AH1" i="5" s="1"/>
  <c r="AX1" i="5" s="1"/>
  <c r="H25" i="1" l="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<sst xmlns="http://schemas.openxmlformats.org/spreadsheetml/2006/main" count="773" uniqueCount="341">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</sst>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7">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9" fillId="0" borderId="7"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opLeftCell="M1" zoomScale="108" zoomScaleNormal="108" workbookViewId="0">
      <selection activeCell="U7" sqref="U7"/>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5" t="s">
        <v>136</v>
      </c>
      <c r="H1" s="55"/>
      <c r="I1" s="55"/>
      <c r="J1" s="55"/>
      <c r="K1" s="55"/>
      <c r="L1" s="55"/>
      <c r="M1" s="55"/>
      <c r="N1" s="55"/>
      <c r="O1" s="55"/>
      <c r="P1" s="55"/>
      <c r="Q1" s="55"/>
      <c r="R1" s="55"/>
      <c r="S1" s="55"/>
      <c r="T1" s="55"/>
      <c r="U1" s="55"/>
      <c r="V1" s="56" t="s">
        <v>215</v>
      </c>
      <c r="W1" s="56"/>
      <c r="X1" s="56"/>
      <c r="Y1" s="56"/>
      <c r="Z1" s="56"/>
      <c r="AA1" s="56"/>
      <c r="AB1" s="56"/>
      <c r="AC1" s="56"/>
      <c r="AD1" s="56"/>
      <c r="AE1" s="56"/>
      <c r="AF1" s="56"/>
      <c r="AG1" s="56"/>
      <c r="AH1" s="56"/>
      <c r="AI1" s="56"/>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v>3</v>
      </c>
      <c r="P3" s="2">
        <v>5</v>
      </c>
      <c r="Q3" s="2">
        <v>5</v>
      </c>
      <c r="R3" s="2">
        <v>5.2</v>
      </c>
      <c r="S3" s="2">
        <v>5.2</v>
      </c>
      <c r="T3" s="2">
        <v>5.4</v>
      </c>
      <c r="U3" s="2">
        <v>5.4</v>
      </c>
      <c r="V3" s="3">
        <v>5</v>
      </c>
      <c r="W3" s="3">
        <v>5</v>
      </c>
      <c r="X3" s="3">
        <v>0</v>
      </c>
      <c r="Y3" s="3">
        <v>0</v>
      </c>
      <c r="Z3" s="3">
        <v>0</v>
      </c>
      <c r="AA3" s="3">
        <v>1</v>
      </c>
      <c r="AB3" s="3">
        <v>0</v>
      </c>
      <c r="AC3" s="3">
        <v>1</v>
      </c>
      <c r="AD3" s="3">
        <v>1</v>
      </c>
      <c r="AE3" s="3">
        <v>1</v>
      </c>
      <c r="AF3" s="3">
        <v>3</v>
      </c>
      <c r="AG3" s="3">
        <v>3</v>
      </c>
      <c r="AH3" s="3">
        <v>5</v>
      </c>
      <c r="AI3" s="3">
        <v>5</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v>3</v>
      </c>
      <c r="P4" s="2">
        <v>5</v>
      </c>
      <c r="Q4" s="2">
        <v>5</v>
      </c>
      <c r="R4" s="2">
        <v>5.2</v>
      </c>
      <c r="S4" s="2">
        <v>5.2</v>
      </c>
      <c r="T4" s="2">
        <v>5.4</v>
      </c>
      <c r="U4" s="2">
        <v>5.4</v>
      </c>
      <c r="V4" s="3">
        <v>5</v>
      </c>
      <c r="W4" s="3">
        <v>5</v>
      </c>
      <c r="X4" s="3">
        <v>0</v>
      </c>
      <c r="Y4" s="3">
        <v>0</v>
      </c>
      <c r="Z4" s="3">
        <v>0</v>
      </c>
      <c r="AA4" s="3">
        <v>1</v>
      </c>
      <c r="AB4" s="3">
        <v>0</v>
      </c>
      <c r="AC4" s="3">
        <v>1</v>
      </c>
      <c r="AD4" s="3">
        <v>1</v>
      </c>
      <c r="AE4" s="3">
        <v>1</v>
      </c>
      <c r="AF4" s="3">
        <v>3</v>
      </c>
      <c r="AG4" s="3">
        <v>3</v>
      </c>
      <c r="AH4" s="3">
        <v>5</v>
      </c>
      <c r="AI4" s="3">
        <v>5</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v>3</v>
      </c>
      <c r="P5" s="2">
        <v>5</v>
      </c>
      <c r="Q5" s="2">
        <v>5</v>
      </c>
      <c r="R5" s="2">
        <v>5.2</v>
      </c>
      <c r="S5" s="2">
        <v>5.2</v>
      </c>
      <c r="T5" s="2">
        <v>5.4</v>
      </c>
      <c r="U5" s="2">
        <v>5.4</v>
      </c>
      <c r="V5" s="3">
        <v>5</v>
      </c>
      <c r="W5" s="3">
        <v>5</v>
      </c>
      <c r="X5" s="3">
        <v>0</v>
      </c>
      <c r="Y5" s="3">
        <v>0</v>
      </c>
      <c r="Z5" s="3">
        <v>0</v>
      </c>
      <c r="AA5" s="3">
        <v>1</v>
      </c>
      <c r="AB5" s="3">
        <v>0</v>
      </c>
      <c r="AC5" s="3">
        <v>1</v>
      </c>
      <c r="AD5" s="3">
        <v>1</v>
      </c>
      <c r="AE5" s="3">
        <v>1</v>
      </c>
      <c r="AF5" s="3">
        <v>3</v>
      </c>
      <c r="AG5" s="3">
        <v>3</v>
      </c>
      <c r="AH5" s="3">
        <v>5</v>
      </c>
      <c r="AI5" s="3">
        <v>5</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v>3</v>
      </c>
      <c r="P6" s="2">
        <v>5</v>
      </c>
      <c r="Q6" s="2">
        <v>5</v>
      </c>
      <c r="R6" s="2">
        <v>5.2</v>
      </c>
      <c r="S6" s="2">
        <v>5.2</v>
      </c>
      <c r="T6" s="2">
        <v>5.4</v>
      </c>
      <c r="U6" s="2">
        <v>5.4</v>
      </c>
      <c r="V6" s="3">
        <v>5</v>
      </c>
      <c r="W6" s="3">
        <v>5</v>
      </c>
      <c r="X6" s="3">
        <v>0</v>
      </c>
      <c r="Y6" s="3">
        <v>0</v>
      </c>
      <c r="Z6" s="3">
        <v>0</v>
      </c>
      <c r="AA6" s="3">
        <v>1</v>
      </c>
      <c r="AB6" s="3">
        <v>0</v>
      </c>
      <c r="AC6" s="3">
        <v>1</v>
      </c>
      <c r="AD6" s="3">
        <v>1</v>
      </c>
      <c r="AE6" s="3">
        <v>1</v>
      </c>
      <c r="AF6" s="3">
        <v>3</v>
      </c>
      <c r="AG6" s="3">
        <v>3</v>
      </c>
      <c r="AH6" s="3">
        <v>5</v>
      </c>
      <c r="AI6" s="3">
        <v>5</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v>3</v>
      </c>
      <c r="P7" s="2">
        <v>5</v>
      </c>
      <c r="Q7" s="2">
        <v>5</v>
      </c>
      <c r="R7" s="2">
        <v>5.2</v>
      </c>
      <c r="S7" s="2">
        <v>5.2</v>
      </c>
      <c r="T7" s="2">
        <v>5.4</v>
      </c>
      <c r="U7" s="2">
        <v>5.4</v>
      </c>
      <c r="V7" s="3">
        <v>5</v>
      </c>
      <c r="W7" s="3">
        <v>5</v>
      </c>
      <c r="X7" s="3">
        <v>0</v>
      </c>
      <c r="Y7" s="3">
        <v>0</v>
      </c>
      <c r="Z7" s="3">
        <v>0</v>
      </c>
      <c r="AA7" s="3">
        <v>1</v>
      </c>
      <c r="AB7" s="3">
        <v>0</v>
      </c>
      <c r="AC7" s="3">
        <v>1</v>
      </c>
      <c r="AD7" s="3">
        <v>1</v>
      </c>
      <c r="AE7" s="3">
        <v>1</v>
      </c>
      <c r="AF7" s="3">
        <v>3</v>
      </c>
      <c r="AG7" s="3">
        <v>3</v>
      </c>
      <c r="AH7" s="3">
        <v>5</v>
      </c>
      <c r="AI7" s="3">
        <v>5</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v>3</v>
      </c>
      <c r="P8" s="2">
        <v>5</v>
      </c>
      <c r="Q8" s="2">
        <v>5</v>
      </c>
      <c r="R8" s="2">
        <v>5.2</v>
      </c>
      <c r="S8" s="2">
        <v>5.2</v>
      </c>
      <c r="T8" s="2">
        <v>5.4</v>
      </c>
      <c r="U8" s="2">
        <v>5.4</v>
      </c>
      <c r="V8" s="3">
        <v>5</v>
      </c>
      <c r="W8" s="3">
        <v>5</v>
      </c>
      <c r="X8" s="3">
        <v>0</v>
      </c>
      <c r="Y8" s="3">
        <v>0</v>
      </c>
      <c r="Z8" s="3">
        <v>0</v>
      </c>
      <c r="AA8" s="3">
        <v>1</v>
      </c>
      <c r="AB8" s="3">
        <v>0</v>
      </c>
      <c r="AC8" s="3">
        <v>1</v>
      </c>
      <c r="AD8" s="3">
        <v>1</v>
      </c>
      <c r="AE8" s="3">
        <v>1</v>
      </c>
      <c r="AF8" s="3">
        <v>3</v>
      </c>
      <c r="AG8" s="3">
        <v>3</v>
      </c>
      <c r="AH8" s="3">
        <v>5</v>
      </c>
      <c r="AI8" s="3">
        <v>5</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v>3</v>
      </c>
      <c r="P9" s="2">
        <v>5</v>
      </c>
      <c r="Q9" s="2">
        <v>5</v>
      </c>
      <c r="R9" s="2">
        <v>5.2</v>
      </c>
      <c r="S9" s="2">
        <v>5.2</v>
      </c>
      <c r="T9" s="2">
        <v>5.4</v>
      </c>
      <c r="U9" s="2">
        <v>5.4</v>
      </c>
      <c r="V9" s="3">
        <v>5</v>
      </c>
      <c r="W9" s="3">
        <v>5</v>
      </c>
      <c r="X9" s="3">
        <v>0</v>
      </c>
      <c r="Y9" s="3">
        <v>0</v>
      </c>
      <c r="Z9" s="3">
        <v>0</v>
      </c>
      <c r="AA9" s="3">
        <v>1</v>
      </c>
      <c r="AB9" s="3">
        <v>0</v>
      </c>
      <c r="AC9" s="3">
        <v>1</v>
      </c>
      <c r="AD9" s="3">
        <v>1</v>
      </c>
      <c r="AE9" s="3">
        <v>1</v>
      </c>
      <c r="AF9" s="3">
        <v>3</v>
      </c>
      <c r="AG9" s="3">
        <v>3</v>
      </c>
      <c r="AH9" s="3">
        <v>5</v>
      </c>
      <c r="AI9" s="3">
        <v>5</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v>3</v>
      </c>
      <c r="P10" s="2">
        <v>5</v>
      </c>
      <c r="Q10" s="2">
        <v>5</v>
      </c>
      <c r="R10" s="2">
        <v>5.2</v>
      </c>
      <c r="S10" s="2">
        <v>5.2</v>
      </c>
      <c r="T10" s="2">
        <v>5.4</v>
      </c>
      <c r="U10" s="2">
        <v>5.4</v>
      </c>
      <c r="V10" s="3">
        <v>5</v>
      </c>
      <c r="W10" s="3">
        <v>5</v>
      </c>
      <c r="X10" s="3">
        <v>0</v>
      </c>
      <c r="Y10" s="3">
        <v>0</v>
      </c>
      <c r="Z10" s="3">
        <v>0</v>
      </c>
      <c r="AA10" s="3">
        <v>1</v>
      </c>
      <c r="AB10" s="3">
        <v>0</v>
      </c>
      <c r="AC10" s="3">
        <v>1</v>
      </c>
      <c r="AD10" s="3">
        <v>1</v>
      </c>
      <c r="AE10" s="3">
        <v>1</v>
      </c>
      <c r="AF10" s="3">
        <v>3</v>
      </c>
      <c r="AG10" s="3">
        <v>3</v>
      </c>
      <c r="AH10" s="3">
        <v>5</v>
      </c>
      <c r="AI10" s="3">
        <v>5</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v>3</v>
      </c>
      <c r="P11" s="2">
        <v>5</v>
      </c>
      <c r="Q11" s="2">
        <v>5</v>
      </c>
      <c r="R11" s="2">
        <v>5.2</v>
      </c>
      <c r="S11" s="2">
        <v>5.2</v>
      </c>
      <c r="T11" s="2">
        <v>5.4</v>
      </c>
      <c r="U11" s="2">
        <v>5.4</v>
      </c>
      <c r="V11" s="3">
        <v>5</v>
      </c>
      <c r="W11" s="3">
        <v>5</v>
      </c>
      <c r="X11" s="3">
        <v>0</v>
      </c>
      <c r="Y11" s="3">
        <v>0</v>
      </c>
      <c r="Z11" s="3">
        <v>0</v>
      </c>
      <c r="AA11" s="3">
        <v>1</v>
      </c>
      <c r="AB11" s="3">
        <v>0</v>
      </c>
      <c r="AC11" s="3">
        <v>1</v>
      </c>
      <c r="AD11" s="3">
        <v>1</v>
      </c>
      <c r="AE11" s="3">
        <v>1</v>
      </c>
      <c r="AF11" s="3">
        <v>3</v>
      </c>
      <c r="AG11" s="3">
        <v>3</v>
      </c>
      <c r="AH11" s="3">
        <v>5</v>
      </c>
      <c r="AI11" s="3">
        <v>5</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v>3</v>
      </c>
      <c r="P12" s="2">
        <v>5</v>
      </c>
      <c r="Q12" s="2">
        <v>5</v>
      </c>
      <c r="R12" s="2">
        <v>5.2</v>
      </c>
      <c r="S12" s="2">
        <v>5.2</v>
      </c>
      <c r="T12" s="2">
        <v>5.4</v>
      </c>
      <c r="U12" s="2">
        <v>5.4</v>
      </c>
      <c r="V12" s="3">
        <v>5</v>
      </c>
      <c r="W12" s="3">
        <v>5</v>
      </c>
      <c r="X12" s="3">
        <v>0</v>
      </c>
      <c r="Y12" s="3">
        <v>0</v>
      </c>
      <c r="Z12" s="3">
        <v>0</v>
      </c>
      <c r="AA12" s="3">
        <v>1</v>
      </c>
      <c r="AB12" s="3">
        <v>0</v>
      </c>
      <c r="AC12" s="3">
        <v>1</v>
      </c>
      <c r="AD12" s="3">
        <v>1</v>
      </c>
      <c r="AE12" s="3">
        <v>1</v>
      </c>
      <c r="AF12" s="3">
        <v>3</v>
      </c>
      <c r="AG12" s="3">
        <v>3</v>
      </c>
      <c r="AH12" s="3">
        <v>5</v>
      </c>
      <c r="AI12" s="3">
        <v>5</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v>3</v>
      </c>
      <c r="P13" s="2">
        <v>5</v>
      </c>
      <c r="Q13" s="2">
        <v>5</v>
      </c>
      <c r="R13" s="2">
        <v>5.2</v>
      </c>
      <c r="S13" s="2">
        <v>5.2</v>
      </c>
      <c r="T13" s="2">
        <v>5.4</v>
      </c>
      <c r="U13" s="2">
        <v>5.4</v>
      </c>
      <c r="V13" s="3">
        <v>5</v>
      </c>
      <c r="W13" s="3">
        <v>5</v>
      </c>
      <c r="X13" s="3">
        <v>0</v>
      </c>
      <c r="Y13" s="3">
        <v>0</v>
      </c>
      <c r="Z13" s="3">
        <v>0</v>
      </c>
      <c r="AA13" s="3">
        <v>1</v>
      </c>
      <c r="AB13" s="3">
        <v>0</v>
      </c>
      <c r="AC13" s="3">
        <v>1</v>
      </c>
      <c r="AD13" s="3">
        <v>1</v>
      </c>
      <c r="AE13" s="3">
        <v>1</v>
      </c>
      <c r="AF13" s="3">
        <v>3</v>
      </c>
      <c r="AG13" s="3">
        <v>3</v>
      </c>
      <c r="AH13" s="3">
        <v>5</v>
      </c>
      <c r="AI13" s="3">
        <v>5</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v>3</v>
      </c>
      <c r="P14" s="2">
        <v>5</v>
      </c>
      <c r="Q14" s="2">
        <v>5</v>
      </c>
      <c r="R14" s="2">
        <v>5.2</v>
      </c>
      <c r="S14" s="2">
        <v>5.2</v>
      </c>
      <c r="T14" s="2">
        <v>5.4</v>
      </c>
      <c r="U14" s="2">
        <v>5.4</v>
      </c>
      <c r="V14" s="3">
        <v>5</v>
      </c>
      <c r="W14" s="3">
        <v>5</v>
      </c>
      <c r="X14" s="3">
        <v>0</v>
      </c>
      <c r="Y14" s="3">
        <v>0</v>
      </c>
      <c r="Z14" s="3">
        <v>0</v>
      </c>
      <c r="AA14" s="3">
        <v>1</v>
      </c>
      <c r="AB14" s="3">
        <v>0</v>
      </c>
      <c r="AC14" s="3">
        <v>1</v>
      </c>
      <c r="AD14" s="3">
        <v>1</v>
      </c>
      <c r="AE14" s="3">
        <v>1</v>
      </c>
      <c r="AF14" s="3">
        <v>3</v>
      </c>
      <c r="AG14" s="3">
        <v>3</v>
      </c>
      <c r="AH14" s="3">
        <v>5</v>
      </c>
      <c r="AI14" s="3">
        <v>5</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v>3</v>
      </c>
      <c r="P15" s="2">
        <v>5</v>
      </c>
      <c r="Q15" s="2">
        <v>5</v>
      </c>
      <c r="R15" s="2">
        <v>5.2</v>
      </c>
      <c r="S15" s="2">
        <v>5.2</v>
      </c>
      <c r="T15" s="2">
        <v>5.4</v>
      </c>
      <c r="U15" s="2">
        <v>5.4</v>
      </c>
      <c r="V15" s="3">
        <v>5</v>
      </c>
      <c r="W15" s="3">
        <v>5</v>
      </c>
      <c r="X15" s="3">
        <v>0</v>
      </c>
      <c r="Y15" s="3">
        <v>0</v>
      </c>
      <c r="Z15" s="3">
        <v>0</v>
      </c>
      <c r="AA15" s="3">
        <v>1</v>
      </c>
      <c r="AB15" s="3">
        <v>0</v>
      </c>
      <c r="AC15" s="3">
        <v>1</v>
      </c>
      <c r="AD15" s="3">
        <v>1</v>
      </c>
      <c r="AE15" s="3">
        <v>1</v>
      </c>
      <c r="AF15" s="3">
        <v>3</v>
      </c>
      <c r="AG15" s="3">
        <v>3</v>
      </c>
      <c r="AH15" s="3">
        <v>5</v>
      </c>
      <c r="AI15" s="3">
        <v>5</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v>3</v>
      </c>
      <c r="P16" s="2">
        <v>5</v>
      </c>
      <c r="Q16" s="2">
        <v>5</v>
      </c>
      <c r="R16" s="2">
        <v>5.2</v>
      </c>
      <c r="S16" s="2">
        <v>5.2</v>
      </c>
      <c r="T16" s="2">
        <v>5.4</v>
      </c>
      <c r="U16" s="2">
        <v>5.4</v>
      </c>
      <c r="V16" s="3">
        <v>5</v>
      </c>
      <c r="W16" s="3">
        <v>5</v>
      </c>
      <c r="X16" s="3">
        <v>0</v>
      </c>
      <c r="Y16" s="3">
        <v>0</v>
      </c>
      <c r="Z16" s="3">
        <v>0</v>
      </c>
      <c r="AA16" s="3">
        <v>1</v>
      </c>
      <c r="AB16" s="3">
        <v>0</v>
      </c>
      <c r="AC16" s="3">
        <v>1</v>
      </c>
      <c r="AD16" s="3">
        <v>1</v>
      </c>
      <c r="AE16" s="3">
        <v>1</v>
      </c>
      <c r="AF16" s="3">
        <v>3</v>
      </c>
      <c r="AG16" s="3">
        <v>3</v>
      </c>
      <c r="AH16" s="3">
        <v>5</v>
      </c>
      <c r="AI16" s="3">
        <v>5</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v>3</v>
      </c>
      <c r="P17" s="2">
        <v>5</v>
      </c>
      <c r="Q17" s="2">
        <v>5</v>
      </c>
      <c r="R17" s="2">
        <v>5.2</v>
      </c>
      <c r="S17" s="2">
        <v>5.2</v>
      </c>
      <c r="T17" s="2">
        <v>5.4</v>
      </c>
      <c r="U17" s="2">
        <v>5.4</v>
      </c>
      <c r="V17" s="3">
        <v>5</v>
      </c>
      <c r="W17" s="3">
        <v>5</v>
      </c>
      <c r="X17" s="3">
        <v>0</v>
      </c>
      <c r="Y17" s="3">
        <v>0</v>
      </c>
      <c r="Z17" s="3">
        <v>0</v>
      </c>
      <c r="AA17" s="3">
        <v>1</v>
      </c>
      <c r="AB17" s="3">
        <v>0</v>
      </c>
      <c r="AC17" s="3">
        <v>1</v>
      </c>
      <c r="AD17" s="3">
        <v>1</v>
      </c>
      <c r="AE17" s="3">
        <v>1</v>
      </c>
      <c r="AF17" s="3">
        <v>3</v>
      </c>
      <c r="AG17" s="3">
        <v>3</v>
      </c>
      <c r="AH17" s="3">
        <v>5</v>
      </c>
      <c r="AI17" s="3">
        <v>5</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v>3</v>
      </c>
      <c r="P18" s="2">
        <v>5</v>
      </c>
      <c r="Q18" s="2">
        <v>5</v>
      </c>
      <c r="R18" s="2">
        <v>5.2</v>
      </c>
      <c r="S18" s="2">
        <v>5.2</v>
      </c>
      <c r="T18" s="2">
        <v>5.4</v>
      </c>
      <c r="U18" s="2">
        <v>5.4</v>
      </c>
      <c r="V18" s="3">
        <v>5</v>
      </c>
      <c r="W18" s="3">
        <v>5</v>
      </c>
      <c r="X18" s="3">
        <v>0</v>
      </c>
      <c r="Y18" s="3">
        <v>0</v>
      </c>
      <c r="Z18" s="3">
        <v>0</v>
      </c>
      <c r="AA18" s="3">
        <v>1</v>
      </c>
      <c r="AB18" s="3">
        <v>0</v>
      </c>
      <c r="AC18" s="3">
        <v>1</v>
      </c>
      <c r="AD18" s="3">
        <v>1</v>
      </c>
      <c r="AE18" s="3">
        <v>1</v>
      </c>
      <c r="AF18" s="3">
        <v>3</v>
      </c>
      <c r="AG18" s="3">
        <v>3</v>
      </c>
      <c r="AH18" s="3">
        <v>5</v>
      </c>
      <c r="AI18" s="3">
        <v>5</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v>3</v>
      </c>
      <c r="P19" s="2">
        <v>5</v>
      </c>
      <c r="Q19" s="2">
        <v>5</v>
      </c>
      <c r="R19" s="2">
        <v>5.2</v>
      </c>
      <c r="S19" s="2">
        <v>5.2</v>
      </c>
      <c r="T19" s="2">
        <v>5.4</v>
      </c>
      <c r="U19" s="2">
        <v>5.4</v>
      </c>
      <c r="V19" s="3">
        <v>5</v>
      </c>
      <c r="W19" s="3">
        <v>5</v>
      </c>
      <c r="X19" s="3">
        <v>0</v>
      </c>
      <c r="Y19" s="3">
        <v>0</v>
      </c>
      <c r="Z19" s="3">
        <v>0</v>
      </c>
      <c r="AA19" s="3">
        <v>1</v>
      </c>
      <c r="AB19" s="3">
        <v>0</v>
      </c>
      <c r="AC19" s="3">
        <v>1</v>
      </c>
      <c r="AD19" s="3">
        <v>1</v>
      </c>
      <c r="AE19" s="3">
        <v>1</v>
      </c>
      <c r="AF19" s="3">
        <v>3</v>
      </c>
      <c r="AG19" s="3">
        <v>3</v>
      </c>
      <c r="AH19" s="3">
        <v>5</v>
      </c>
      <c r="AI19" s="3">
        <v>5</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v>3</v>
      </c>
      <c r="P20" s="2">
        <v>5</v>
      </c>
      <c r="Q20" s="2">
        <v>5</v>
      </c>
      <c r="R20" s="2">
        <v>5.2</v>
      </c>
      <c r="S20" s="2">
        <v>5.2</v>
      </c>
      <c r="T20" s="2">
        <v>5.4</v>
      </c>
      <c r="U20" s="2">
        <v>5.4</v>
      </c>
      <c r="V20" s="3">
        <v>5</v>
      </c>
      <c r="W20" s="3">
        <v>5</v>
      </c>
      <c r="X20" s="3">
        <v>0</v>
      </c>
      <c r="Y20" s="3">
        <v>0</v>
      </c>
      <c r="Z20" s="3">
        <v>0</v>
      </c>
      <c r="AA20" s="3">
        <v>1</v>
      </c>
      <c r="AB20" s="3">
        <v>0</v>
      </c>
      <c r="AC20" s="3">
        <v>1</v>
      </c>
      <c r="AD20" s="3">
        <v>1</v>
      </c>
      <c r="AE20" s="3">
        <v>1</v>
      </c>
      <c r="AF20" s="3">
        <v>3</v>
      </c>
      <c r="AG20" s="3">
        <v>3</v>
      </c>
      <c r="AH20" s="3">
        <v>5</v>
      </c>
      <c r="AI20" s="3">
        <v>5</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v>3</v>
      </c>
      <c r="P21" s="2">
        <v>5</v>
      </c>
      <c r="Q21" s="2">
        <v>5</v>
      </c>
      <c r="R21" s="2">
        <v>5.2</v>
      </c>
      <c r="S21" s="2">
        <v>5.2</v>
      </c>
      <c r="T21" s="2">
        <v>5.4</v>
      </c>
      <c r="U21" s="2">
        <v>5.4</v>
      </c>
      <c r="V21" s="3">
        <v>5</v>
      </c>
      <c r="W21" s="3">
        <v>5</v>
      </c>
      <c r="X21" s="3">
        <v>0</v>
      </c>
      <c r="Y21" s="3">
        <v>0</v>
      </c>
      <c r="Z21" s="3">
        <v>0</v>
      </c>
      <c r="AA21" s="3">
        <v>1</v>
      </c>
      <c r="AB21" s="3">
        <v>0</v>
      </c>
      <c r="AC21" s="3">
        <v>1</v>
      </c>
      <c r="AD21" s="3">
        <v>1</v>
      </c>
      <c r="AE21" s="3">
        <v>1</v>
      </c>
      <c r="AF21" s="3">
        <v>3</v>
      </c>
      <c r="AG21" s="3">
        <v>3</v>
      </c>
      <c r="AH21" s="3">
        <v>5</v>
      </c>
      <c r="AI21" s="3">
        <v>5</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v>3</v>
      </c>
      <c r="P22" s="2">
        <v>5</v>
      </c>
      <c r="Q22" s="2">
        <v>5</v>
      </c>
      <c r="R22" s="2">
        <v>5.2</v>
      </c>
      <c r="S22" s="2">
        <v>5.2</v>
      </c>
      <c r="T22" s="2">
        <v>5.4</v>
      </c>
      <c r="U22" s="2">
        <v>5.4</v>
      </c>
      <c r="V22" s="3">
        <v>5</v>
      </c>
      <c r="W22" s="3">
        <v>5</v>
      </c>
      <c r="X22" s="3">
        <v>0</v>
      </c>
      <c r="Y22" s="3">
        <v>0</v>
      </c>
      <c r="Z22" s="3">
        <v>0</v>
      </c>
      <c r="AA22" s="3">
        <v>1</v>
      </c>
      <c r="AB22" s="3">
        <v>0</v>
      </c>
      <c r="AC22" s="3">
        <v>1</v>
      </c>
      <c r="AD22" s="3">
        <v>1</v>
      </c>
      <c r="AE22" s="3">
        <v>1</v>
      </c>
      <c r="AF22" s="3">
        <v>3</v>
      </c>
      <c r="AG22" s="3">
        <v>3</v>
      </c>
      <c r="AH22" s="3">
        <v>5</v>
      </c>
      <c r="AI22" s="3">
        <v>5</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v>3</v>
      </c>
      <c r="P23" s="2">
        <v>5</v>
      </c>
      <c r="Q23" s="2">
        <v>5</v>
      </c>
      <c r="R23" s="2">
        <v>5.2</v>
      </c>
      <c r="S23" s="2">
        <v>5.2</v>
      </c>
      <c r="T23" s="2">
        <v>5.4</v>
      </c>
      <c r="U23" s="2">
        <v>5.4</v>
      </c>
      <c r="V23" s="3">
        <v>5</v>
      </c>
      <c r="W23" s="3">
        <v>5</v>
      </c>
      <c r="X23" s="3">
        <v>0</v>
      </c>
      <c r="Y23" s="3">
        <v>0</v>
      </c>
      <c r="Z23" s="3">
        <v>0</v>
      </c>
      <c r="AA23" s="3">
        <v>1</v>
      </c>
      <c r="AB23" s="3">
        <v>0</v>
      </c>
      <c r="AC23" s="3">
        <v>1</v>
      </c>
      <c r="AD23" s="3">
        <v>1</v>
      </c>
      <c r="AE23" s="3">
        <v>1</v>
      </c>
      <c r="AF23" s="3">
        <v>3</v>
      </c>
      <c r="AG23" s="3">
        <v>3</v>
      </c>
      <c r="AH23" s="3">
        <v>5</v>
      </c>
      <c r="AI23" s="3">
        <v>5</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v>3</v>
      </c>
      <c r="P24" s="2">
        <v>5</v>
      </c>
      <c r="Q24" s="2">
        <v>5</v>
      </c>
      <c r="R24" s="2">
        <v>5.2</v>
      </c>
      <c r="S24" s="2">
        <v>5.2</v>
      </c>
      <c r="T24" s="2">
        <v>5.4</v>
      </c>
      <c r="U24" s="2">
        <v>5.4</v>
      </c>
      <c r="V24" s="3">
        <v>5</v>
      </c>
      <c r="W24" s="3">
        <v>5</v>
      </c>
      <c r="X24" s="3">
        <v>0</v>
      </c>
      <c r="Y24" s="3">
        <v>0</v>
      </c>
      <c r="Z24" s="3">
        <v>0</v>
      </c>
      <c r="AA24" s="3">
        <v>1</v>
      </c>
      <c r="AB24" s="3">
        <v>0</v>
      </c>
      <c r="AC24" s="3">
        <v>1</v>
      </c>
      <c r="AD24" s="3">
        <v>1</v>
      </c>
      <c r="AE24" s="3">
        <v>1</v>
      </c>
      <c r="AF24" s="3">
        <v>3</v>
      </c>
      <c r="AG24" s="3">
        <v>3</v>
      </c>
      <c r="AH24" s="3">
        <v>5</v>
      </c>
      <c r="AI24" s="3">
        <v>5</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v>3</v>
      </c>
      <c r="P25" s="2">
        <v>5</v>
      </c>
      <c r="Q25" s="2">
        <v>5</v>
      </c>
      <c r="R25" s="2">
        <v>5.2</v>
      </c>
      <c r="S25" s="2">
        <v>5.2</v>
      </c>
      <c r="T25" s="2">
        <v>5.4</v>
      </c>
      <c r="U25" s="2">
        <v>5.4</v>
      </c>
      <c r="V25" s="3">
        <v>5</v>
      </c>
      <c r="W25" s="3">
        <v>5</v>
      </c>
      <c r="X25" s="3">
        <v>0</v>
      </c>
      <c r="Y25" s="3">
        <v>0</v>
      </c>
      <c r="Z25" s="3">
        <v>0</v>
      </c>
      <c r="AA25" s="3">
        <v>1</v>
      </c>
      <c r="AB25" s="3">
        <v>0</v>
      </c>
      <c r="AC25" s="3">
        <v>1</v>
      </c>
      <c r="AD25" s="3">
        <v>1</v>
      </c>
      <c r="AE25" s="3">
        <v>1</v>
      </c>
      <c r="AF25" s="3">
        <v>3</v>
      </c>
      <c r="AG25" s="3">
        <v>3</v>
      </c>
      <c r="AH25" s="3">
        <v>5</v>
      </c>
      <c r="AI25" s="3">
        <v>5</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v>3</v>
      </c>
      <c r="P26" s="2">
        <v>5</v>
      </c>
      <c r="Q26" s="2">
        <v>5</v>
      </c>
      <c r="R26" s="2">
        <v>5.2</v>
      </c>
      <c r="S26" s="2">
        <v>5.2</v>
      </c>
      <c r="T26" s="2">
        <v>5.4</v>
      </c>
      <c r="U26" s="2">
        <v>5.4</v>
      </c>
      <c r="V26" s="3">
        <v>5</v>
      </c>
      <c r="W26" s="3">
        <v>5</v>
      </c>
      <c r="X26" s="3">
        <v>0</v>
      </c>
      <c r="Y26" s="3">
        <v>0</v>
      </c>
      <c r="Z26" s="3">
        <v>0</v>
      </c>
      <c r="AA26" s="3">
        <v>1</v>
      </c>
      <c r="AB26" s="3">
        <v>0</v>
      </c>
      <c r="AC26" s="3">
        <v>1</v>
      </c>
      <c r="AD26" s="3">
        <v>1</v>
      </c>
      <c r="AE26" s="3">
        <v>1</v>
      </c>
      <c r="AF26" s="3">
        <v>3</v>
      </c>
      <c r="AG26" s="3">
        <v>3</v>
      </c>
      <c r="AH26" s="3">
        <v>5</v>
      </c>
      <c r="AI26" s="3">
        <v>5</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v>3</v>
      </c>
      <c r="P27" s="2">
        <v>5</v>
      </c>
      <c r="Q27" s="2">
        <v>5</v>
      </c>
      <c r="R27" s="2">
        <v>5.2</v>
      </c>
      <c r="S27" s="2">
        <v>5.2</v>
      </c>
      <c r="T27" s="2">
        <v>5.4</v>
      </c>
      <c r="U27" s="2">
        <v>5.4</v>
      </c>
      <c r="V27" s="3">
        <v>5</v>
      </c>
      <c r="W27" s="3">
        <v>5</v>
      </c>
      <c r="X27" s="3">
        <v>0</v>
      </c>
      <c r="Y27" s="3">
        <v>0</v>
      </c>
      <c r="Z27" s="3">
        <v>0</v>
      </c>
      <c r="AA27" s="3">
        <v>1</v>
      </c>
      <c r="AB27" s="3">
        <v>0</v>
      </c>
      <c r="AC27" s="3">
        <v>1</v>
      </c>
      <c r="AD27" s="3">
        <v>1</v>
      </c>
      <c r="AE27" s="3">
        <v>1</v>
      </c>
      <c r="AF27" s="3">
        <v>3</v>
      </c>
      <c r="AG27" s="3">
        <v>3</v>
      </c>
      <c r="AH27" s="3">
        <v>5</v>
      </c>
      <c r="AI27" s="3">
        <v>5</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v>3</v>
      </c>
      <c r="P28" s="2">
        <v>5</v>
      </c>
      <c r="Q28" s="2">
        <v>5</v>
      </c>
      <c r="R28" s="2">
        <v>5.2</v>
      </c>
      <c r="S28" s="2">
        <v>5.2</v>
      </c>
      <c r="T28" s="2">
        <v>5.4</v>
      </c>
      <c r="U28" s="2">
        <v>5.4</v>
      </c>
      <c r="V28" s="3">
        <v>5</v>
      </c>
      <c r="W28" s="3">
        <v>5</v>
      </c>
      <c r="X28" s="3">
        <v>0</v>
      </c>
      <c r="Y28" s="3">
        <v>0</v>
      </c>
      <c r="Z28" s="3">
        <v>0</v>
      </c>
      <c r="AA28" s="3">
        <v>1</v>
      </c>
      <c r="AB28" s="3">
        <v>0</v>
      </c>
      <c r="AC28" s="3">
        <v>1</v>
      </c>
      <c r="AD28" s="3">
        <v>1</v>
      </c>
      <c r="AE28" s="3">
        <v>1</v>
      </c>
      <c r="AF28" s="3">
        <v>3</v>
      </c>
      <c r="AG28" s="3">
        <v>3</v>
      </c>
      <c r="AH28" s="3">
        <v>5</v>
      </c>
      <c r="AI28" s="3">
        <v>5</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v>3</v>
      </c>
      <c r="P29" s="2">
        <v>5</v>
      </c>
      <c r="Q29" s="2">
        <v>5</v>
      </c>
      <c r="R29" s="2">
        <v>5.2</v>
      </c>
      <c r="S29" s="2">
        <v>5.2</v>
      </c>
      <c r="T29" s="2">
        <v>5.4</v>
      </c>
      <c r="U29" s="2">
        <v>5.4</v>
      </c>
      <c r="V29" s="3">
        <v>5</v>
      </c>
      <c r="W29" s="3">
        <v>5</v>
      </c>
      <c r="X29" s="3">
        <v>0</v>
      </c>
      <c r="Y29" s="3">
        <v>0</v>
      </c>
      <c r="Z29" s="3">
        <v>0</v>
      </c>
      <c r="AA29" s="3">
        <v>1</v>
      </c>
      <c r="AB29" s="3">
        <v>0</v>
      </c>
      <c r="AC29" s="3">
        <v>1</v>
      </c>
      <c r="AD29" s="3">
        <v>1</v>
      </c>
      <c r="AE29" s="3">
        <v>1</v>
      </c>
      <c r="AF29" s="3">
        <v>3</v>
      </c>
      <c r="AG29" s="3">
        <v>3</v>
      </c>
      <c r="AH29" s="3">
        <v>5</v>
      </c>
      <c r="AI29" s="3">
        <v>5</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v>3</v>
      </c>
      <c r="P30" s="2">
        <v>5</v>
      </c>
      <c r="Q30" s="2">
        <v>5</v>
      </c>
      <c r="R30" s="2">
        <v>5.2</v>
      </c>
      <c r="S30" s="2">
        <v>5.2</v>
      </c>
      <c r="T30" s="2">
        <v>5.4</v>
      </c>
      <c r="U30" s="2">
        <v>5.4</v>
      </c>
      <c r="V30" s="3">
        <v>5</v>
      </c>
      <c r="W30" s="3">
        <v>5</v>
      </c>
      <c r="X30" s="3">
        <v>0</v>
      </c>
      <c r="Y30" s="3">
        <v>0</v>
      </c>
      <c r="Z30" s="3">
        <v>0</v>
      </c>
      <c r="AA30" s="3">
        <v>1</v>
      </c>
      <c r="AB30" s="3">
        <v>0</v>
      </c>
      <c r="AC30" s="3">
        <v>1</v>
      </c>
      <c r="AD30" s="3">
        <v>1</v>
      </c>
      <c r="AE30" s="3">
        <v>1</v>
      </c>
      <c r="AF30" s="3">
        <v>3</v>
      </c>
      <c r="AG30" s="3">
        <v>3</v>
      </c>
      <c r="AH30" s="3">
        <v>5</v>
      </c>
      <c r="AI30" s="3">
        <v>5</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v>3</v>
      </c>
      <c r="P31" s="2">
        <v>5</v>
      </c>
      <c r="Q31" s="2">
        <v>5</v>
      </c>
      <c r="R31" s="2">
        <v>5.2</v>
      </c>
      <c r="S31" s="2">
        <v>5.2</v>
      </c>
      <c r="T31" s="2">
        <v>5.4</v>
      </c>
      <c r="U31" s="2">
        <v>5.4</v>
      </c>
      <c r="V31" s="3">
        <v>5</v>
      </c>
      <c r="W31" s="3">
        <v>5</v>
      </c>
      <c r="X31" s="3">
        <v>0</v>
      </c>
      <c r="Y31" s="3">
        <v>0</v>
      </c>
      <c r="Z31" s="3">
        <v>0</v>
      </c>
      <c r="AA31" s="3">
        <v>1</v>
      </c>
      <c r="AB31" s="3">
        <v>0</v>
      </c>
      <c r="AC31" s="3">
        <v>1</v>
      </c>
      <c r="AD31" s="3">
        <v>1</v>
      </c>
      <c r="AE31" s="3">
        <v>1</v>
      </c>
      <c r="AF31" s="3">
        <v>3</v>
      </c>
      <c r="AG31" s="3">
        <v>3</v>
      </c>
      <c r="AH31" s="3">
        <v>5</v>
      </c>
      <c r="AI31" s="3">
        <v>5</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v>3</v>
      </c>
      <c r="P32" s="2">
        <v>5</v>
      </c>
      <c r="Q32" s="2">
        <v>5</v>
      </c>
      <c r="R32" s="2">
        <v>5.2</v>
      </c>
      <c r="S32" s="2">
        <v>5.2</v>
      </c>
      <c r="T32" s="2">
        <v>5.4</v>
      </c>
      <c r="U32" s="2">
        <v>5.4</v>
      </c>
      <c r="V32" s="3">
        <v>5</v>
      </c>
      <c r="W32" s="3">
        <v>5</v>
      </c>
      <c r="X32" s="3">
        <v>0</v>
      </c>
      <c r="Y32" s="3">
        <v>0</v>
      </c>
      <c r="Z32" s="3">
        <v>0</v>
      </c>
      <c r="AA32" s="3">
        <v>1</v>
      </c>
      <c r="AB32" s="3">
        <v>0</v>
      </c>
      <c r="AC32" s="3">
        <v>1</v>
      </c>
      <c r="AD32" s="3">
        <v>1</v>
      </c>
      <c r="AE32" s="3">
        <v>1</v>
      </c>
      <c r="AF32" s="3">
        <v>3</v>
      </c>
      <c r="AG32" s="3">
        <v>3</v>
      </c>
      <c r="AH32" s="3">
        <v>5</v>
      </c>
      <c r="AI32" s="3">
        <v>5</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v>3</v>
      </c>
      <c r="P33" s="2">
        <v>5</v>
      </c>
      <c r="Q33" s="2">
        <v>5</v>
      </c>
      <c r="R33" s="2">
        <v>5.2</v>
      </c>
      <c r="S33" s="2">
        <v>5.2</v>
      </c>
      <c r="T33" s="2">
        <v>5.4</v>
      </c>
      <c r="U33" s="2">
        <v>5.4</v>
      </c>
      <c r="V33" s="3">
        <v>5</v>
      </c>
      <c r="W33" s="3">
        <v>5</v>
      </c>
      <c r="X33" s="3">
        <v>0</v>
      </c>
      <c r="Y33" s="3">
        <v>0</v>
      </c>
      <c r="Z33" s="3">
        <v>0</v>
      </c>
      <c r="AA33" s="3">
        <v>1</v>
      </c>
      <c r="AB33" s="3">
        <v>0</v>
      </c>
      <c r="AC33" s="3">
        <v>1</v>
      </c>
      <c r="AD33" s="3">
        <v>1</v>
      </c>
      <c r="AE33" s="3">
        <v>1</v>
      </c>
      <c r="AF33" s="3">
        <v>3</v>
      </c>
      <c r="AG33" s="3">
        <v>3</v>
      </c>
      <c r="AH33" s="3">
        <v>5</v>
      </c>
      <c r="AI33" s="3">
        <v>5</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v>3</v>
      </c>
      <c r="P34" s="2">
        <v>5</v>
      </c>
      <c r="Q34" s="2">
        <v>5</v>
      </c>
      <c r="R34" s="2">
        <v>5.2</v>
      </c>
      <c r="S34" s="2">
        <v>5.2</v>
      </c>
      <c r="T34" s="2">
        <v>5.4</v>
      </c>
      <c r="U34" s="2">
        <v>5.4</v>
      </c>
      <c r="V34" s="3">
        <v>5</v>
      </c>
      <c r="W34" s="3">
        <v>5</v>
      </c>
      <c r="X34" s="3">
        <v>0</v>
      </c>
      <c r="Y34" s="3">
        <v>0</v>
      </c>
      <c r="Z34" s="3">
        <v>0</v>
      </c>
      <c r="AA34" s="3">
        <v>1</v>
      </c>
      <c r="AB34" s="3">
        <v>0</v>
      </c>
      <c r="AC34" s="3">
        <v>1</v>
      </c>
      <c r="AD34" s="3">
        <v>1</v>
      </c>
      <c r="AE34" s="3">
        <v>1</v>
      </c>
      <c r="AF34" s="3">
        <v>3</v>
      </c>
      <c r="AG34" s="3">
        <v>3</v>
      </c>
      <c r="AH34" s="3">
        <v>5</v>
      </c>
      <c r="AI34" s="3">
        <v>5</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v>3</v>
      </c>
      <c r="P35" s="2">
        <v>5</v>
      </c>
      <c r="Q35" s="2">
        <v>5</v>
      </c>
      <c r="R35" s="2">
        <v>5.2</v>
      </c>
      <c r="S35" s="2">
        <v>5.2</v>
      </c>
      <c r="T35" s="2">
        <v>5.4</v>
      </c>
      <c r="U35" s="2">
        <v>5.4</v>
      </c>
      <c r="V35" s="3">
        <v>5</v>
      </c>
      <c r="W35" s="3">
        <v>5</v>
      </c>
      <c r="X35" s="3">
        <v>0</v>
      </c>
      <c r="Y35" s="3">
        <v>0</v>
      </c>
      <c r="Z35" s="3">
        <v>0</v>
      </c>
      <c r="AA35" s="3">
        <v>1</v>
      </c>
      <c r="AB35" s="3">
        <v>0</v>
      </c>
      <c r="AC35" s="3">
        <v>1</v>
      </c>
      <c r="AD35" s="3">
        <v>1</v>
      </c>
      <c r="AE35" s="3">
        <v>1</v>
      </c>
      <c r="AF35" s="3">
        <v>3</v>
      </c>
      <c r="AG35" s="3">
        <v>3</v>
      </c>
      <c r="AH35" s="3">
        <v>5</v>
      </c>
      <c r="AI35" s="3">
        <v>5</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v>3</v>
      </c>
      <c r="P36" s="2">
        <v>5</v>
      </c>
      <c r="Q36" s="2">
        <v>5</v>
      </c>
      <c r="R36" s="2">
        <v>5.2</v>
      </c>
      <c r="S36" s="2">
        <v>5.2</v>
      </c>
      <c r="T36" s="2">
        <v>5.4</v>
      </c>
      <c r="U36" s="2">
        <v>5.4</v>
      </c>
      <c r="V36" s="3">
        <v>5</v>
      </c>
      <c r="W36" s="3">
        <v>5</v>
      </c>
      <c r="X36" s="3">
        <v>0</v>
      </c>
      <c r="Y36" s="3">
        <v>0</v>
      </c>
      <c r="Z36" s="3">
        <v>0</v>
      </c>
      <c r="AA36" s="3">
        <v>1</v>
      </c>
      <c r="AB36" s="3">
        <v>0</v>
      </c>
      <c r="AC36" s="3">
        <v>1</v>
      </c>
      <c r="AD36" s="3">
        <v>1</v>
      </c>
      <c r="AE36" s="3">
        <v>1</v>
      </c>
      <c r="AF36" s="3">
        <v>3</v>
      </c>
      <c r="AG36" s="3">
        <v>3</v>
      </c>
      <c r="AH36" s="3">
        <v>5</v>
      </c>
      <c r="AI36" s="3">
        <v>5</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v>3</v>
      </c>
      <c r="P37" s="2">
        <v>5</v>
      </c>
      <c r="Q37" s="2">
        <v>5</v>
      </c>
      <c r="R37" s="2">
        <v>5.2</v>
      </c>
      <c r="S37" s="2">
        <v>5.2</v>
      </c>
      <c r="T37" s="2">
        <v>5.4</v>
      </c>
      <c r="U37" s="2">
        <v>5.4</v>
      </c>
      <c r="V37" s="3">
        <v>5</v>
      </c>
      <c r="W37" s="3">
        <v>5</v>
      </c>
      <c r="X37" s="3">
        <v>0</v>
      </c>
      <c r="Y37" s="3">
        <v>0</v>
      </c>
      <c r="Z37" s="3">
        <v>0</v>
      </c>
      <c r="AA37" s="3">
        <v>1</v>
      </c>
      <c r="AB37" s="3">
        <v>0</v>
      </c>
      <c r="AC37" s="3">
        <v>1</v>
      </c>
      <c r="AD37" s="3">
        <v>1</v>
      </c>
      <c r="AE37" s="3">
        <v>1</v>
      </c>
      <c r="AF37" s="3">
        <v>3</v>
      </c>
      <c r="AG37" s="3">
        <v>3</v>
      </c>
      <c r="AH37" s="3">
        <v>5</v>
      </c>
      <c r="AI37" s="3">
        <v>5</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v>3</v>
      </c>
      <c r="P38" s="2">
        <v>5</v>
      </c>
      <c r="Q38" s="2">
        <v>5</v>
      </c>
      <c r="R38" s="2">
        <v>5.2</v>
      </c>
      <c r="S38" s="2">
        <v>5.2</v>
      </c>
      <c r="T38" s="2">
        <v>5.4</v>
      </c>
      <c r="U38" s="2">
        <v>5.4</v>
      </c>
      <c r="V38" s="3">
        <v>5</v>
      </c>
      <c r="W38" s="3">
        <v>5</v>
      </c>
      <c r="X38" s="3">
        <v>0</v>
      </c>
      <c r="Y38" s="3">
        <v>0</v>
      </c>
      <c r="Z38" s="3">
        <v>0</v>
      </c>
      <c r="AA38" s="3">
        <v>1</v>
      </c>
      <c r="AB38" s="3">
        <v>0</v>
      </c>
      <c r="AC38" s="3">
        <v>1</v>
      </c>
      <c r="AD38" s="3">
        <v>1</v>
      </c>
      <c r="AE38" s="3">
        <v>1</v>
      </c>
      <c r="AF38" s="3">
        <v>3</v>
      </c>
      <c r="AG38" s="3">
        <v>3</v>
      </c>
      <c r="AH38" s="3">
        <v>5</v>
      </c>
      <c r="AI38" s="3">
        <v>5</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v>3</v>
      </c>
      <c r="P39" s="2">
        <v>5</v>
      </c>
      <c r="Q39" s="2">
        <v>5</v>
      </c>
      <c r="R39" s="2">
        <v>5.2</v>
      </c>
      <c r="S39" s="2">
        <v>5.2</v>
      </c>
      <c r="T39" s="2">
        <v>5.4</v>
      </c>
      <c r="U39" s="2">
        <v>5.4</v>
      </c>
      <c r="V39" s="3">
        <v>5</v>
      </c>
      <c r="W39" s="3">
        <v>5</v>
      </c>
      <c r="X39" s="3">
        <v>0</v>
      </c>
      <c r="Y39" s="3">
        <v>0</v>
      </c>
      <c r="Z39" s="3">
        <v>0</v>
      </c>
      <c r="AA39" s="3">
        <v>1</v>
      </c>
      <c r="AB39" s="3">
        <v>0</v>
      </c>
      <c r="AC39" s="3">
        <v>1</v>
      </c>
      <c r="AD39" s="3">
        <v>1</v>
      </c>
      <c r="AE39" s="3">
        <v>1</v>
      </c>
      <c r="AF39" s="3">
        <v>3</v>
      </c>
      <c r="AG39" s="3">
        <v>3</v>
      </c>
      <c r="AH39" s="3">
        <v>5</v>
      </c>
      <c r="AI39" s="3">
        <v>5</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v>3</v>
      </c>
      <c r="P40" s="2">
        <v>5</v>
      </c>
      <c r="Q40" s="2">
        <v>5</v>
      </c>
      <c r="R40" s="2">
        <v>5.2</v>
      </c>
      <c r="S40" s="2">
        <v>5.2</v>
      </c>
      <c r="T40" s="2">
        <v>5.4</v>
      </c>
      <c r="U40" s="2">
        <v>5.4</v>
      </c>
      <c r="V40" s="3">
        <v>5</v>
      </c>
      <c r="W40" s="3">
        <v>5</v>
      </c>
      <c r="X40" s="3">
        <v>0</v>
      </c>
      <c r="Y40" s="3">
        <v>0</v>
      </c>
      <c r="Z40" s="3">
        <v>0</v>
      </c>
      <c r="AA40" s="3">
        <v>1</v>
      </c>
      <c r="AB40" s="3">
        <v>0</v>
      </c>
      <c r="AC40" s="3">
        <v>1</v>
      </c>
      <c r="AD40" s="3">
        <v>1</v>
      </c>
      <c r="AE40" s="3">
        <v>1</v>
      </c>
      <c r="AF40" s="3">
        <v>3</v>
      </c>
      <c r="AG40" s="3">
        <v>3</v>
      </c>
      <c r="AH40" s="3">
        <v>5</v>
      </c>
      <c r="AI40" s="3">
        <v>5</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v>3</v>
      </c>
      <c r="P41" s="2">
        <v>5</v>
      </c>
      <c r="Q41" s="2">
        <v>5</v>
      </c>
      <c r="R41" s="2">
        <v>5.2</v>
      </c>
      <c r="S41" s="2">
        <v>5.2</v>
      </c>
      <c r="T41" s="2">
        <v>5.4</v>
      </c>
      <c r="U41" s="2">
        <v>5.4</v>
      </c>
      <c r="V41" s="3">
        <v>5</v>
      </c>
      <c r="W41" s="3">
        <v>5</v>
      </c>
      <c r="X41" s="3">
        <v>0</v>
      </c>
      <c r="Y41" s="3">
        <v>0</v>
      </c>
      <c r="Z41" s="3">
        <v>0</v>
      </c>
      <c r="AA41" s="3">
        <v>1</v>
      </c>
      <c r="AB41" s="3">
        <v>0</v>
      </c>
      <c r="AC41" s="3">
        <v>1</v>
      </c>
      <c r="AD41" s="3">
        <v>1</v>
      </c>
      <c r="AE41" s="3">
        <v>1</v>
      </c>
      <c r="AF41" s="3">
        <v>3</v>
      </c>
      <c r="AG41" s="3">
        <v>3</v>
      </c>
      <c r="AH41" s="3">
        <v>5</v>
      </c>
      <c r="AI41" s="3">
        <v>5</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v>3</v>
      </c>
      <c r="P42" s="2">
        <v>5</v>
      </c>
      <c r="Q42" s="2">
        <v>5</v>
      </c>
      <c r="R42" s="2">
        <v>5.2</v>
      </c>
      <c r="S42" s="2">
        <v>5.2</v>
      </c>
      <c r="T42" s="2">
        <v>5.4</v>
      </c>
      <c r="U42" s="2">
        <v>5.4</v>
      </c>
      <c r="V42" s="3">
        <v>5</v>
      </c>
      <c r="W42" s="3">
        <v>5</v>
      </c>
      <c r="X42" s="3">
        <v>0</v>
      </c>
      <c r="Y42" s="3">
        <v>0</v>
      </c>
      <c r="Z42" s="3">
        <v>0</v>
      </c>
      <c r="AA42" s="3">
        <v>1</v>
      </c>
      <c r="AB42" s="3">
        <v>0</v>
      </c>
      <c r="AC42" s="3">
        <v>1</v>
      </c>
      <c r="AD42" s="3">
        <v>1</v>
      </c>
      <c r="AE42" s="3">
        <v>1</v>
      </c>
      <c r="AF42" s="3">
        <v>3</v>
      </c>
      <c r="AG42" s="3">
        <v>3</v>
      </c>
      <c r="AH42" s="3">
        <v>5</v>
      </c>
      <c r="AI42" s="3">
        <v>5</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v>3</v>
      </c>
      <c r="P43" s="2">
        <v>5</v>
      </c>
      <c r="Q43" s="2">
        <v>5</v>
      </c>
      <c r="R43" s="2">
        <v>5.2</v>
      </c>
      <c r="S43" s="2">
        <v>5.2</v>
      </c>
      <c r="T43" s="2">
        <v>5.4</v>
      </c>
      <c r="U43" s="2">
        <v>5.4</v>
      </c>
      <c r="V43" s="3">
        <v>5</v>
      </c>
      <c r="W43" s="3">
        <v>5</v>
      </c>
      <c r="X43" s="3">
        <v>0</v>
      </c>
      <c r="Y43" s="3">
        <v>0</v>
      </c>
      <c r="Z43" s="3">
        <v>0</v>
      </c>
      <c r="AA43" s="3">
        <v>1</v>
      </c>
      <c r="AB43" s="3">
        <v>0</v>
      </c>
      <c r="AC43" s="3">
        <v>1</v>
      </c>
      <c r="AD43" s="3">
        <v>1</v>
      </c>
      <c r="AE43" s="3">
        <v>1</v>
      </c>
      <c r="AF43" s="3">
        <v>3</v>
      </c>
      <c r="AG43" s="3">
        <v>3</v>
      </c>
      <c r="AH43" s="3">
        <v>5</v>
      </c>
      <c r="AI43" s="3">
        <v>5</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v>3</v>
      </c>
      <c r="P44" s="2">
        <v>5</v>
      </c>
      <c r="Q44" s="2">
        <v>5</v>
      </c>
      <c r="R44" s="2">
        <v>5.2</v>
      </c>
      <c r="S44" s="2">
        <v>5.2</v>
      </c>
      <c r="T44" s="2">
        <v>5.4</v>
      </c>
      <c r="U44" s="2">
        <v>5.4</v>
      </c>
      <c r="V44" s="3">
        <v>5</v>
      </c>
      <c r="W44" s="3">
        <v>5</v>
      </c>
      <c r="X44" s="3">
        <v>0</v>
      </c>
      <c r="Y44" s="3">
        <v>0</v>
      </c>
      <c r="Z44" s="3">
        <v>0</v>
      </c>
      <c r="AA44" s="3">
        <v>1</v>
      </c>
      <c r="AB44" s="3">
        <v>0</v>
      </c>
      <c r="AC44" s="3">
        <v>1</v>
      </c>
      <c r="AD44" s="3">
        <v>1</v>
      </c>
      <c r="AE44" s="3">
        <v>1</v>
      </c>
      <c r="AF44" s="3">
        <v>3</v>
      </c>
      <c r="AG44" s="3">
        <v>3</v>
      </c>
      <c r="AH44" s="3">
        <v>5</v>
      </c>
      <c r="AI44" s="3">
        <v>5</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v>3</v>
      </c>
      <c r="P45" s="2">
        <v>5</v>
      </c>
      <c r="Q45" s="2">
        <v>5</v>
      </c>
      <c r="R45" s="2">
        <v>5.2</v>
      </c>
      <c r="S45" s="2">
        <v>5.2</v>
      </c>
      <c r="T45" s="2">
        <v>5.4</v>
      </c>
      <c r="U45" s="2">
        <v>5.4</v>
      </c>
      <c r="V45" s="3">
        <v>5</v>
      </c>
      <c r="W45" s="3">
        <v>5</v>
      </c>
      <c r="X45" s="3">
        <v>0</v>
      </c>
      <c r="Y45" s="3">
        <v>0</v>
      </c>
      <c r="Z45" s="3">
        <v>0</v>
      </c>
      <c r="AA45" s="3">
        <v>1</v>
      </c>
      <c r="AB45" s="3">
        <v>0</v>
      </c>
      <c r="AC45" s="3">
        <v>1</v>
      </c>
      <c r="AD45" s="3">
        <v>1</v>
      </c>
      <c r="AE45" s="3">
        <v>1</v>
      </c>
      <c r="AF45" s="3">
        <v>3</v>
      </c>
      <c r="AG45" s="3">
        <v>3</v>
      </c>
      <c r="AH45" s="3">
        <v>5</v>
      </c>
      <c r="AI45" s="3">
        <v>5</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v>3</v>
      </c>
      <c r="P46" s="2">
        <v>5</v>
      </c>
      <c r="Q46" s="2">
        <v>5</v>
      </c>
      <c r="R46" s="2">
        <v>5.2</v>
      </c>
      <c r="S46" s="2">
        <v>5.2</v>
      </c>
      <c r="T46" s="2">
        <v>5.4</v>
      </c>
      <c r="U46" s="2">
        <v>5.4</v>
      </c>
      <c r="V46" s="3">
        <v>5</v>
      </c>
      <c r="W46" s="3">
        <v>5</v>
      </c>
      <c r="X46" s="3">
        <v>0</v>
      </c>
      <c r="Y46" s="3">
        <v>0</v>
      </c>
      <c r="Z46" s="3">
        <v>0</v>
      </c>
      <c r="AA46" s="3">
        <v>1</v>
      </c>
      <c r="AB46" s="3">
        <v>0</v>
      </c>
      <c r="AC46" s="3">
        <v>1</v>
      </c>
      <c r="AD46" s="3">
        <v>1</v>
      </c>
      <c r="AE46" s="3">
        <v>1</v>
      </c>
      <c r="AF46" s="3">
        <v>3</v>
      </c>
      <c r="AG46" s="3">
        <v>3</v>
      </c>
      <c r="AH46" s="3">
        <v>5</v>
      </c>
      <c r="AI46" s="3">
        <v>5</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v>3</v>
      </c>
      <c r="P47" s="2">
        <v>5</v>
      </c>
      <c r="Q47" s="2">
        <v>5</v>
      </c>
      <c r="R47" s="2">
        <v>5.2</v>
      </c>
      <c r="S47" s="2">
        <v>5.2</v>
      </c>
      <c r="T47" s="2">
        <v>5.4</v>
      </c>
      <c r="U47" s="2">
        <v>5.4</v>
      </c>
      <c r="V47" s="3">
        <v>5</v>
      </c>
      <c r="W47" s="3">
        <v>5</v>
      </c>
      <c r="X47" s="3">
        <v>0</v>
      </c>
      <c r="Y47" s="3">
        <v>0</v>
      </c>
      <c r="Z47" s="3">
        <v>0</v>
      </c>
      <c r="AA47" s="3">
        <v>1</v>
      </c>
      <c r="AB47" s="3">
        <v>0</v>
      </c>
      <c r="AC47" s="3">
        <v>1</v>
      </c>
      <c r="AD47" s="3">
        <v>1</v>
      </c>
      <c r="AE47" s="3">
        <v>1</v>
      </c>
      <c r="AF47" s="3">
        <v>3</v>
      </c>
      <c r="AG47" s="3">
        <v>3</v>
      </c>
      <c r="AH47" s="3">
        <v>5</v>
      </c>
      <c r="AI47" s="3">
        <v>5</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v>3</v>
      </c>
      <c r="P48" s="2">
        <v>5</v>
      </c>
      <c r="Q48" s="2">
        <v>5</v>
      </c>
      <c r="R48" s="2">
        <v>5.2</v>
      </c>
      <c r="S48" s="2">
        <v>5.2</v>
      </c>
      <c r="T48" s="2">
        <v>5.4</v>
      </c>
      <c r="U48" s="2">
        <v>5.4</v>
      </c>
      <c r="V48" s="3">
        <v>5</v>
      </c>
      <c r="W48" s="3">
        <v>5</v>
      </c>
      <c r="X48" s="3">
        <v>0</v>
      </c>
      <c r="Y48" s="3">
        <v>0</v>
      </c>
      <c r="Z48" s="3">
        <v>0</v>
      </c>
      <c r="AA48" s="3">
        <v>1</v>
      </c>
      <c r="AB48" s="3">
        <v>0</v>
      </c>
      <c r="AC48" s="3">
        <v>1</v>
      </c>
      <c r="AD48" s="3">
        <v>1</v>
      </c>
      <c r="AE48" s="3">
        <v>1</v>
      </c>
      <c r="AF48" s="3">
        <v>3</v>
      </c>
      <c r="AG48" s="3">
        <v>3</v>
      </c>
      <c r="AH48" s="3">
        <v>5</v>
      </c>
      <c r="AI48" s="3">
        <v>5</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v>3</v>
      </c>
      <c r="P49" s="2">
        <v>5</v>
      </c>
      <c r="Q49" s="2">
        <v>5</v>
      </c>
      <c r="R49" s="2">
        <v>5.2</v>
      </c>
      <c r="S49" s="2">
        <v>5.2</v>
      </c>
      <c r="T49" s="2">
        <v>5.4</v>
      </c>
      <c r="U49" s="2">
        <v>5.4</v>
      </c>
      <c r="V49" s="3">
        <v>5</v>
      </c>
      <c r="W49" s="3">
        <v>5</v>
      </c>
      <c r="X49" s="3">
        <v>0</v>
      </c>
      <c r="Y49" s="3">
        <v>0</v>
      </c>
      <c r="Z49" s="3">
        <v>0</v>
      </c>
      <c r="AA49" s="3">
        <v>1</v>
      </c>
      <c r="AB49" s="3">
        <v>0</v>
      </c>
      <c r="AC49" s="3">
        <v>1</v>
      </c>
      <c r="AD49" s="3">
        <v>1</v>
      </c>
      <c r="AE49" s="3">
        <v>1</v>
      </c>
      <c r="AF49" s="3">
        <v>3</v>
      </c>
      <c r="AG49" s="3">
        <v>3</v>
      </c>
      <c r="AH49" s="3">
        <v>5</v>
      </c>
      <c r="AI49" s="3">
        <v>5</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v>3</v>
      </c>
      <c r="P50" s="2">
        <v>5</v>
      </c>
      <c r="Q50" s="2">
        <v>5</v>
      </c>
      <c r="R50" s="2">
        <v>5.2</v>
      </c>
      <c r="S50" s="2">
        <v>5.2</v>
      </c>
      <c r="T50" s="2">
        <v>5.4</v>
      </c>
      <c r="U50" s="2">
        <v>5.4</v>
      </c>
      <c r="V50" s="3">
        <v>5</v>
      </c>
      <c r="W50" s="3">
        <v>5</v>
      </c>
      <c r="X50" s="3">
        <v>0</v>
      </c>
      <c r="Y50" s="3">
        <v>0</v>
      </c>
      <c r="Z50" s="3">
        <v>0</v>
      </c>
      <c r="AA50" s="3">
        <v>1</v>
      </c>
      <c r="AB50" s="3">
        <v>0</v>
      </c>
      <c r="AC50" s="3">
        <v>1</v>
      </c>
      <c r="AD50" s="3">
        <v>1</v>
      </c>
      <c r="AE50" s="3">
        <v>1</v>
      </c>
      <c r="AF50" s="3">
        <v>3</v>
      </c>
      <c r="AG50" s="3">
        <v>3</v>
      </c>
      <c r="AH50" s="3">
        <v>5</v>
      </c>
      <c r="AI50" s="3">
        <v>5</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v>3</v>
      </c>
      <c r="P51" s="2">
        <v>5</v>
      </c>
      <c r="Q51" s="2">
        <v>5</v>
      </c>
      <c r="R51" s="2">
        <v>5.2</v>
      </c>
      <c r="S51" s="2">
        <v>5.2</v>
      </c>
      <c r="T51" s="2">
        <v>5.4</v>
      </c>
      <c r="U51" s="2">
        <v>5.4</v>
      </c>
      <c r="V51" s="3">
        <v>5</v>
      </c>
      <c r="W51" s="3">
        <v>5</v>
      </c>
      <c r="X51" s="3">
        <v>0</v>
      </c>
      <c r="Y51" s="3">
        <v>0</v>
      </c>
      <c r="Z51" s="3">
        <v>0</v>
      </c>
      <c r="AA51" s="3">
        <v>1</v>
      </c>
      <c r="AB51" s="3">
        <v>0</v>
      </c>
      <c r="AC51" s="3">
        <v>1</v>
      </c>
      <c r="AD51" s="3">
        <v>1</v>
      </c>
      <c r="AE51" s="3">
        <v>1</v>
      </c>
      <c r="AF51" s="3">
        <v>3</v>
      </c>
      <c r="AG51" s="3">
        <v>3</v>
      </c>
      <c r="AH51" s="3">
        <v>5</v>
      </c>
      <c r="AI51" s="3">
        <v>5</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v>3</v>
      </c>
      <c r="P52" s="2">
        <v>5</v>
      </c>
      <c r="Q52" s="2">
        <v>5</v>
      </c>
      <c r="R52" s="2">
        <v>5.2</v>
      </c>
      <c r="S52" s="2">
        <v>5.2</v>
      </c>
      <c r="T52" s="2">
        <v>5.4</v>
      </c>
      <c r="U52" s="2">
        <v>5.4</v>
      </c>
      <c r="V52" s="3">
        <v>5</v>
      </c>
      <c r="W52" s="3">
        <v>5</v>
      </c>
      <c r="X52" s="3">
        <v>0</v>
      </c>
      <c r="Y52" s="3">
        <v>0</v>
      </c>
      <c r="Z52" s="3">
        <v>0</v>
      </c>
      <c r="AA52" s="3">
        <v>1</v>
      </c>
      <c r="AB52" s="3">
        <v>0</v>
      </c>
      <c r="AC52" s="3">
        <v>1</v>
      </c>
      <c r="AD52" s="3">
        <v>1</v>
      </c>
      <c r="AE52" s="3">
        <v>1</v>
      </c>
      <c r="AF52" s="3">
        <v>3</v>
      </c>
      <c r="AG52" s="3">
        <v>3</v>
      </c>
      <c r="AH52" s="3">
        <v>5</v>
      </c>
      <c r="AI52" s="3">
        <v>5</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v>3</v>
      </c>
      <c r="P53" s="2">
        <v>5</v>
      </c>
      <c r="Q53" s="2">
        <v>5</v>
      </c>
      <c r="R53" s="2">
        <v>5.2</v>
      </c>
      <c r="S53" s="2">
        <v>5.2</v>
      </c>
      <c r="T53" s="2">
        <v>5.4</v>
      </c>
      <c r="U53" s="2">
        <v>5.4</v>
      </c>
      <c r="V53" s="3">
        <v>5</v>
      </c>
      <c r="W53" s="3">
        <v>5</v>
      </c>
      <c r="X53" s="3">
        <v>0</v>
      </c>
      <c r="Y53" s="3">
        <v>0</v>
      </c>
      <c r="Z53" s="3">
        <v>0</v>
      </c>
      <c r="AA53" s="3">
        <v>1</v>
      </c>
      <c r="AB53" s="3">
        <v>0</v>
      </c>
      <c r="AC53" s="3">
        <v>1</v>
      </c>
      <c r="AD53" s="3">
        <v>1</v>
      </c>
      <c r="AE53" s="3">
        <v>1</v>
      </c>
      <c r="AF53" s="3">
        <v>3</v>
      </c>
      <c r="AG53" s="3">
        <v>3</v>
      </c>
      <c r="AH53" s="3">
        <v>5</v>
      </c>
      <c r="AI53" s="3">
        <v>5</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v>3</v>
      </c>
      <c r="P54" s="2">
        <v>5</v>
      </c>
      <c r="Q54" s="2">
        <v>5</v>
      </c>
      <c r="R54" s="2">
        <v>5.2</v>
      </c>
      <c r="S54" s="2">
        <v>5.2</v>
      </c>
      <c r="T54" s="2">
        <v>5.4</v>
      </c>
      <c r="U54" s="2">
        <v>5.4</v>
      </c>
      <c r="V54" s="3">
        <v>5</v>
      </c>
      <c r="W54" s="3">
        <v>5</v>
      </c>
      <c r="X54" s="3">
        <v>0</v>
      </c>
      <c r="Y54" s="3">
        <v>0</v>
      </c>
      <c r="Z54" s="3">
        <v>0</v>
      </c>
      <c r="AA54" s="3">
        <v>1</v>
      </c>
      <c r="AB54" s="3">
        <v>0</v>
      </c>
      <c r="AC54" s="3">
        <v>1</v>
      </c>
      <c r="AD54" s="3">
        <v>1</v>
      </c>
      <c r="AE54" s="3">
        <v>1</v>
      </c>
      <c r="AF54" s="3">
        <v>3</v>
      </c>
      <c r="AG54" s="3">
        <v>3</v>
      </c>
      <c r="AH54" s="3">
        <v>5</v>
      </c>
      <c r="AI54" s="3">
        <v>5</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v>3</v>
      </c>
      <c r="P55" s="2">
        <v>5</v>
      </c>
      <c r="Q55" s="2">
        <v>5</v>
      </c>
      <c r="R55" s="2">
        <v>5.2</v>
      </c>
      <c r="S55" s="2">
        <v>5.2</v>
      </c>
      <c r="T55" s="2">
        <v>5.4</v>
      </c>
      <c r="U55" s="2">
        <v>5.4</v>
      </c>
      <c r="V55" s="3">
        <v>5</v>
      </c>
      <c r="W55" s="3">
        <v>5</v>
      </c>
      <c r="X55" s="3">
        <v>0</v>
      </c>
      <c r="Y55" s="3">
        <v>0</v>
      </c>
      <c r="Z55" s="3">
        <v>0</v>
      </c>
      <c r="AA55" s="3">
        <v>1</v>
      </c>
      <c r="AB55" s="3">
        <v>0</v>
      </c>
      <c r="AC55" s="3">
        <v>1</v>
      </c>
      <c r="AD55" s="3">
        <v>1</v>
      </c>
      <c r="AE55" s="3">
        <v>1</v>
      </c>
      <c r="AF55" s="3">
        <v>3</v>
      </c>
      <c r="AG55" s="3">
        <v>3</v>
      </c>
      <c r="AH55" s="3">
        <v>5</v>
      </c>
      <c r="AI55" s="3">
        <v>5</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v>3</v>
      </c>
      <c r="P56" s="2">
        <v>5</v>
      </c>
      <c r="Q56" s="2">
        <v>5</v>
      </c>
      <c r="R56" s="2">
        <v>5.2</v>
      </c>
      <c r="S56" s="2">
        <v>5.2</v>
      </c>
      <c r="T56" s="2">
        <v>5.4</v>
      </c>
      <c r="U56" s="2">
        <v>5.4</v>
      </c>
      <c r="V56" s="3">
        <v>5</v>
      </c>
      <c r="W56" s="3">
        <v>5</v>
      </c>
      <c r="X56" s="3">
        <v>0</v>
      </c>
      <c r="Y56" s="3">
        <v>0</v>
      </c>
      <c r="Z56" s="3">
        <v>0</v>
      </c>
      <c r="AA56" s="3">
        <v>1</v>
      </c>
      <c r="AB56" s="3">
        <v>0</v>
      </c>
      <c r="AC56" s="3">
        <v>1</v>
      </c>
      <c r="AD56" s="3">
        <v>1</v>
      </c>
      <c r="AE56" s="3">
        <v>1</v>
      </c>
      <c r="AF56" s="3">
        <v>3</v>
      </c>
      <c r="AG56" s="3">
        <v>3</v>
      </c>
      <c r="AH56" s="3">
        <v>5</v>
      </c>
      <c r="AI56" s="3">
        <v>5</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v>3</v>
      </c>
      <c r="P57" s="2">
        <v>5</v>
      </c>
      <c r="Q57" s="2">
        <v>5</v>
      </c>
      <c r="R57" s="2">
        <v>5.2</v>
      </c>
      <c r="S57" s="2">
        <v>5.2</v>
      </c>
      <c r="T57" s="2">
        <v>5.4</v>
      </c>
      <c r="U57" s="2">
        <v>5.4</v>
      </c>
      <c r="V57" s="3">
        <v>5</v>
      </c>
      <c r="W57" s="3">
        <v>5</v>
      </c>
      <c r="X57" s="3">
        <v>0</v>
      </c>
      <c r="Y57" s="3">
        <v>0</v>
      </c>
      <c r="Z57" s="3">
        <v>0</v>
      </c>
      <c r="AA57" s="3">
        <v>1</v>
      </c>
      <c r="AB57" s="3">
        <v>0</v>
      </c>
      <c r="AC57" s="3">
        <v>1</v>
      </c>
      <c r="AD57" s="3">
        <v>1</v>
      </c>
      <c r="AE57" s="3">
        <v>1</v>
      </c>
      <c r="AF57" s="3">
        <v>3</v>
      </c>
      <c r="AG57" s="3">
        <v>3</v>
      </c>
      <c r="AH57" s="3">
        <v>5</v>
      </c>
      <c r="AI57" s="3">
        <v>5</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v>3</v>
      </c>
      <c r="P58" s="2">
        <v>5</v>
      </c>
      <c r="Q58" s="2">
        <v>5</v>
      </c>
      <c r="R58" s="2">
        <v>5.2</v>
      </c>
      <c r="S58" s="2">
        <v>5.2</v>
      </c>
      <c r="T58" s="2">
        <v>5.4</v>
      </c>
      <c r="U58" s="2">
        <v>5.4</v>
      </c>
      <c r="V58" s="3">
        <v>5</v>
      </c>
      <c r="W58" s="3">
        <v>5</v>
      </c>
      <c r="X58" s="3">
        <v>0</v>
      </c>
      <c r="Y58" s="3">
        <v>0</v>
      </c>
      <c r="Z58" s="3">
        <v>0</v>
      </c>
      <c r="AA58" s="3">
        <v>1</v>
      </c>
      <c r="AB58" s="3">
        <v>0</v>
      </c>
      <c r="AC58" s="3">
        <v>1</v>
      </c>
      <c r="AD58" s="3">
        <v>1</v>
      </c>
      <c r="AE58" s="3">
        <v>1</v>
      </c>
      <c r="AF58" s="3">
        <v>3</v>
      </c>
      <c r="AG58" s="3">
        <v>3</v>
      </c>
      <c r="AH58" s="3">
        <v>5</v>
      </c>
      <c r="AI58" s="3">
        <v>5</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v>3</v>
      </c>
      <c r="P59" s="2">
        <v>5</v>
      </c>
      <c r="Q59" s="2">
        <v>5</v>
      </c>
      <c r="R59" s="2">
        <v>5.2</v>
      </c>
      <c r="S59" s="2">
        <v>5.2</v>
      </c>
      <c r="T59" s="2">
        <v>5.4</v>
      </c>
      <c r="U59" s="2">
        <v>5.4</v>
      </c>
      <c r="V59" s="3">
        <v>5</v>
      </c>
      <c r="W59" s="3">
        <v>5</v>
      </c>
      <c r="X59" s="3">
        <v>0</v>
      </c>
      <c r="Y59" s="3">
        <v>0</v>
      </c>
      <c r="Z59" s="3">
        <v>0</v>
      </c>
      <c r="AA59" s="3">
        <v>1</v>
      </c>
      <c r="AB59" s="3">
        <v>0</v>
      </c>
      <c r="AC59" s="3">
        <v>1</v>
      </c>
      <c r="AD59" s="3">
        <v>1</v>
      </c>
      <c r="AE59" s="3">
        <v>1</v>
      </c>
      <c r="AF59" s="3">
        <v>3</v>
      </c>
      <c r="AG59" s="3">
        <v>3</v>
      </c>
      <c r="AH59" s="3">
        <v>5</v>
      </c>
      <c r="AI59" s="3">
        <v>5</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v>3</v>
      </c>
      <c r="P60" s="2">
        <v>5</v>
      </c>
      <c r="Q60" s="2">
        <v>5</v>
      </c>
      <c r="R60" s="2">
        <v>5.2</v>
      </c>
      <c r="S60" s="2">
        <v>5.2</v>
      </c>
      <c r="T60" s="2">
        <v>5.4</v>
      </c>
      <c r="U60" s="2">
        <v>5.4</v>
      </c>
      <c r="V60" s="3">
        <v>5</v>
      </c>
      <c r="W60" s="3">
        <v>5</v>
      </c>
      <c r="X60" s="3">
        <v>0</v>
      </c>
      <c r="Y60" s="3">
        <v>0</v>
      </c>
      <c r="Z60" s="3">
        <v>0</v>
      </c>
      <c r="AA60" s="3">
        <v>1</v>
      </c>
      <c r="AB60" s="3">
        <v>0</v>
      </c>
      <c r="AC60" s="3">
        <v>1</v>
      </c>
      <c r="AD60" s="3">
        <v>1</v>
      </c>
      <c r="AE60" s="3">
        <v>1</v>
      </c>
      <c r="AF60" s="3">
        <v>3</v>
      </c>
      <c r="AG60" s="3">
        <v>3</v>
      </c>
      <c r="AH60" s="3">
        <v>5</v>
      </c>
      <c r="AI60" s="3">
        <v>5</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v>3</v>
      </c>
      <c r="P61" s="2">
        <v>5</v>
      </c>
      <c r="Q61" s="2">
        <v>5</v>
      </c>
      <c r="R61" s="2">
        <v>5.2</v>
      </c>
      <c r="S61" s="2">
        <v>5.2</v>
      </c>
      <c r="T61" s="2">
        <v>5.4</v>
      </c>
      <c r="U61" s="2">
        <v>5.4</v>
      </c>
      <c r="V61" s="3">
        <v>5</v>
      </c>
      <c r="W61" s="3">
        <v>5</v>
      </c>
      <c r="X61" s="3">
        <v>0</v>
      </c>
      <c r="Y61" s="3">
        <v>0</v>
      </c>
      <c r="Z61" s="3">
        <v>0</v>
      </c>
      <c r="AA61" s="3">
        <v>1</v>
      </c>
      <c r="AB61" s="3">
        <v>0</v>
      </c>
      <c r="AC61" s="3">
        <v>1</v>
      </c>
      <c r="AD61" s="3">
        <v>1</v>
      </c>
      <c r="AE61" s="3">
        <v>1</v>
      </c>
      <c r="AF61" s="3">
        <v>3</v>
      </c>
      <c r="AG61" s="3">
        <v>3</v>
      </c>
      <c r="AH61" s="3">
        <v>5</v>
      </c>
      <c r="AI61" s="3">
        <v>5</v>
      </c>
    </row>
    <row r="64" spans="1:35" x14ac:dyDescent="0.2">
      <c r="H64" t="s">
        <v>323</v>
      </c>
      <c r="I64">
        <f>SUM(I3:I61)-SUMIF(F3:F61,"Los",I3:I61)</f>
        <v>272.52532054794517</v>
      </c>
      <c r="J64" t="s">
        <v>216</v>
      </c>
    </row>
  </sheetData>
  <autoFilter ref="A2:AI2"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N5" sqref="N5"/>
    </sheetView>
  </sheetViews>
  <sheetFormatPr baseColWidth="10" defaultRowHeight="16" x14ac:dyDescent="0.2"/>
  <sheetData>
    <row r="1" spans="1:17" x14ac:dyDescent="0.2">
      <c r="A1" s="4" t="s">
        <v>32</v>
      </c>
      <c r="B1" s="57">
        <v>1</v>
      </c>
      <c r="C1" s="57"/>
      <c r="D1" s="57"/>
      <c r="E1" s="57"/>
      <c r="F1" s="57"/>
      <c r="G1" s="57"/>
      <c r="H1" s="57"/>
      <c r="I1" s="57"/>
      <c r="J1" s="57"/>
      <c r="K1" s="57"/>
      <c r="L1" s="57"/>
      <c r="M1" s="57"/>
      <c r="N1" s="57"/>
      <c r="O1" s="57"/>
      <c r="P1" s="57"/>
      <c r="Q1" s="57"/>
    </row>
    <row r="2" spans="1:17" x14ac:dyDescent="0.2">
      <c r="A2" s="4" t="s">
        <v>26</v>
      </c>
      <c r="B2" s="57">
        <v>1</v>
      </c>
      <c r="C2" s="57"/>
      <c r="D2" s="57"/>
      <c r="E2" s="57"/>
      <c r="F2" s="57"/>
      <c r="G2" s="57"/>
      <c r="H2" s="57"/>
      <c r="I2" s="57"/>
      <c r="J2" s="57"/>
      <c r="K2" s="57"/>
      <c r="L2" s="57"/>
      <c r="M2" s="57"/>
      <c r="N2" s="57"/>
      <c r="O2" s="57"/>
      <c r="P2" s="57"/>
      <c r="Q2" s="57"/>
    </row>
    <row r="3" spans="1:17" x14ac:dyDescent="0.2">
      <c r="A3" s="4"/>
      <c r="B3" s="58" t="s">
        <v>27</v>
      </c>
      <c r="C3" s="58"/>
      <c r="D3" s="58"/>
      <c r="E3" s="58"/>
      <c r="F3" s="58"/>
      <c r="G3" s="58"/>
      <c r="H3" s="58"/>
      <c r="I3" s="58"/>
      <c r="J3" s="59" t="s">
        <v>28</v>
      </c>
      <c r="K3" s="59"/>
      <c r="L3" s="59"/>
      <c r="M3" s="59"/>
      <c r="N3" s="59"/>
      <c r="O3" s="59"/>
      <c r="P3" s="59"/>
      <c r="Q3" s="59"/>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45</v>
      </c>
      <c r="F6" s="2">
        <f>'Demand Stage 2'!F44</f>
        <v>45</v>
      </c>
      <c r="G6" s="2">
        <f>'Demand Stage 2'!G44</f>
        <v>40</v>
      </c>
      <c r="H6" s="2">
        <f>'Demand Stage 2'!H44</f>
        <v>45</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35</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45</v>
      </c>
      <c r="F8" s="2">
        <f>'Demand Stage 2'!F46</f>
        <v>45</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c r="C9" s="2"/>
      <c r="D9" s="2"/>
      <c r="E9" s="2"/>
      <c r="F9" s="2"/>
      <c r="G9" s="2"/>
      <c r="H9" s="2"/>
      <c r="I9" s="2"/>
      <c r="J9" s="3"/>
      <c r="K9" s="3"/>
      <c r="L9" s="3"/>
      <c r="M9" s="3"/>
      <c r="N9" s="3"/>
      <c r="O9" s="3"/>
      <c r="P9" s="3"/>
      <c r="Q9" s="3"/>
    </row>
    <row r="10" spans="1:17" x14ac:dyDescent="0.2">
      <c r="A10" s="1">
        <v>5</v>
      </c>
      <c r="B10" s="2"/>
      <c r="C10" s="2"/>
      <c r="D10" s="2"/>
      <c r="E10" s="2"/>
      <c r="F10" s="2"/>
      <c r="G10" s="2"/>
      <c r="H10" s="2"/>
      <c r="I10" s="2"/>
      <c r="J10" s="3"/>
      <c r="K10" s="3"/>
      <c r="L10" s="3"/>
      <c r="M10" s="3"/>
      <c r="N10" s="3"/>
      <c r="O10" s="3"/>
      <c r="P10" s="3"/>
      <c r="Q10" s="3"/>
    </row>
    <row r="11" spans="1:17" x14ac:dyDescent="0.2">
      <c r="A11" s="1">
        <v>6</v>
      </c>
      <c r="B11" s="2"/>
      <c r="C11" s="2"/>
      <c r="D11" s="2"/>
      <c r="E11" s="2"/>
      <c r="F11" s="2"/>
      <c r="G11" s="2"/>
      <c r="H11" s="2"/>
      <c r="I11" s="2"/>
      <c r="J11" s="3"/>
      <c r="K11" s="3"/>
      <c r="L11" s="3"/>
      <c r="M11" s="3"/>
      <c r="N11" s="3"/>
      <c r="O11" s="3"/>
      <c r="P11" s="3"/>
      <c r="Q11" s="3"/>
    </row>
    <row r="12" spans="1:17" x14ac:dyDescent="0.2">
      <c r="A12" s="1">
        <v>7</v>
      </c>
      <c r="B12" s="2"/>
      <c r="C12" s="2"/>
      <c r="D12" s="2"/>
      <c r="E12" s="2"/>
      <c r="F12" s="2"/>
      <c r="G12" s="2"/>
      <c r="H12" s="2"/>
      <c r="I12" s="2"/>
      <c r="J12" s="3"/>
      <c r="K12" s="3"/>
      <c r="L12" s="3"/>
      <c r="M12" s="3"/>
      <c r="N12" s="3"/>
      <c r="O12" s="3"/>
      <c r="P12" s="3"/>
      <c r="Q12" s="3"/>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4"/>
  <sheetViews>
    <sheetView topLeftCell="B1" zoomScale="125" zoomScaleNormal="200" workbookViewId="0">
      <selection activeCell="N6" sqref="N6"/>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7">
        <v>5</v>
      </c>
      <c r="C1" s="57"/>
      <c r="D1" s="57"/>
      <c r="E1" s="57"/>
      <c r="F1" s="57"/>
      <c r="G1" s="57"/>
      <c r="H1" s="57"/>
      <c r="I1" s="57"/>
      <c r="J1" s="57"/>
      <c r="K1" s="57"/>
      <c r="L1" s="57"/>
      <c r="M1" s="57"/>
      <c r="N1" s="57"/>
      <c r="O1" s="57"/>
      <c r="P1" s="57"/>
      <c r="Q1" s="57"/>
      <c r="R1" s="57">
        <f>B1+Parameters!$B$7</f>
        <v>9</v>
      </c>
      <c r="S1" s="57"/>
      <c r="T1" s="57"/>
      <c r="U1" s="57"/>
      <c r="V1" s="57"/>
      <c r="W1" s="57"/>
      <c r="X1" s="57"/>
      <c r="Y1" s="57"/>
      <c r="Z1" s="57"/>
      <c r="AA1" s="57"/>
      <c r="AB1" s="57"/>
      <c r="AC1" s="57"/>
      <c r="AD1" s="57"/>
      <c r="AE1" s="57"/>
      <c r="AF1" s="57"/>
      <c r="AG1" s="57"/>
      <c r="AH1" s="57">
        <f>R1+Parameters!$B$7</f>
        <v>13</v>
      </c>
      <c r="AI1" s="57"/>
      <c r="AJ1" s="57"/>
      <c r="AK1" s="57"/>
      <c r="AL1" s="57"/>
      <c r="AM1" s="57"/>
      <c r="AN1" s="57"/>
      <c r="AO1" s="57"/>
      <c r="AP1" s="57"/>
      <c r="AQ1" s="57"/>
      <c r="AR1" s="57"/>
      <c r="AS1" s="57"/>
      <c r="AT1" s="57"/>
      <c r="AU1" s="57"/>
      <c r="AV1" s="57"/>
      <c r="AW1" s="57"/>
      <c r="AX1" s="57">
        <f>AH1+Parameters!$B$7</f>
        <v>17</v>
      </c>
      <c r="AY1" s="57"/>
      <c r="AZ1" s="57"/>
      <c r="BA1" s="57"/>
      <c r="BB1" s="57"/>
      <c r="BC1" s="57"/>
      <c r="BD1" s="57"/>
      <c r="BE1" s="57"/>
      <c r="BF1" s="57"/>
      <c r="BG1" s="57"/>
      <c r="BH1" s="57"/>
      <c r="BI1" s="57"/>
      <c r="BJ1" s="57"/>
      <c r="BK1" s="57"/>
      <c r="BL1" s="57"/>
      <c r="BM1" s="57"/>
    </row>
    <row r="2" spans="1:65" x14ac:dyDescent="0.2">
      <c r="A2" s="4" t="s">
        <v>26</v>
      </c>
      <c r="B2" s="57">
        <v>0.25</v>
      </c>
      <c r="C2" s="57"/>
      <c r="D2" s="57"/>
      <c r="E2" s="57"/>
      <c r="F2" s="57"/>
      <c r="G2" s="57"/>
      <c r="H2" s="57"/>
      <c r="I2" s="57"/>
      <c r="J2" s="57"/>
      <c r="K2" s="57"/>
      <c r="L2" s="57"/>
      <c r="M2" s="57"/>
      <c r="N2" s="57"/>
      <c r="O2" s="57"/>
      <c r="P2" s="57"/>
      <c r="Q2" s="57"/>
      <c r="R2" s="57">
        <f>B2</f>
        <v>0.25</v>
      </c>
      <c r="S2" s="57"/>
      <c r="T2" s="57"/>
      <c r="U2" s="57"/>
      <c r="V2" s="57"/>
      <c r="W2" s="57"/>
      <c r="X2" s="57"/>
      <c r="Y2" s="57"/>
      <c r="Z2" s="57"/>
      <c r="AA2" s="57"/>
      <c r="AB2" s="57"/>
      <c r="AC2" s="57"/>
      <c r="AD2" s="57"/>
      <c r="AE2" s="57"/>
      <c r="AF2" s="57"/>
      <c r="AG2" s="57"/>
      <c r="AH2" s="57">
        <f>B2</f>
        <v>0.25</v>
      </c>
      <c r="AI2" s="57"/>
      <c r="AJ2" s="57"/>
      <c r="AK2" s="57"/>
      <c r="AL2" s="57"/>
      <c r="AM2" s="57"/>
      <c r="AN2" s="57"/>
      <c r="AO2" s="57"/>
      <c r="AP2" s="57"/>
      <c r="AQ2" s="57"/>
      <c r="AR2" s="57"/>
      <c r="AS2" s="57"/>
      <c r="AT2" s="57"/>
      <c r="AU2" s="57"/>
      <c r="AV2" s="57"/>
      <c r="AW2" s="57"/>
      <c r="AX2" s="57">
        <f>B2</f>
        <v>0.25</v>
      </c>
      <c r="AY2" s="57"/>
      <c r="AZ2" s="57"/>
      <c r="BA2" s="57"/>
      <c r="BB2" s="57"/>
      <c r="BC2" s="57"/>
      <c r="BD2" s="57"/>
      <c r="BE2" s="57"/>
      <c r="BF2" s="57"/>
      <c r="BG2" s="57"/>
      <c r="BH2" s="57"/>
      <c r="BI2" s="57"/>
      <c r="BJ2" s="57"/>
      <c r="BK2" s="57"/>
      <c r="BL2" s="57"/>
      <c r="BM2" s="57"/>
    </row>
    <row r="3" spans="1:65" x14ac:dyDescent="0.2">
      <c r="A3" s="4"/>
      <c r="B3" s="58" t="s">
        <v>27</v>
      </c>
      <c r="C3" s="58"/>
      <c r="D3" s="58"/>
      <c r="E3" s="58"/>
      <c r="F3" s="58"/>
      <c r="G3" s="58"/>
      <c r="H3" s="58"/>
      <c r="I3" s="58"/>
      <c r="J3" s="59" t="s">
        <v>28</v>
      </c>
      <c r="K3" s="59"/>
      <c r="L3" s="59"/>
      <c r="M3" s="59"/>
      <c r="N3" s="59"/>
      <c r="O3" s="59"/>
      <c r="P3" s="59"/>
      <c r="Q3" s="59"/>
      <c r="R3" s="58" t="s">
        <v>27</v>
      </c>
      <c r="S3" s="58"/>
      <c r="T3" s="58"/>
      <c r="U3" s="58"/>
      <c r="V3" s="58"/>
      <c r="W3" s="58"/>
      <c r="X3" s="58"/>
      <c r="Y3" s="58"/>
      <c r="Z3" s="59" t="s">
        <v>28</v>
      </c>
      <c r="AA3" s="59"/>
      <c r="AB3" s="59"/>
      <c r="AC3" s="59"/>
      <c r="AD3" s="59"/>
      <c r="AE3" s="59"/>
      <c r="AF3" s="59"/>
      <c r="AG3" s="59"/>
      <c r="AH3" s="58" t="s">
        <v>27</v>
      </c>
      <c r="AI3" s="58"/>
      <c r="AJ3" s="58"/>
      <c r="AK3" s="58"/>
      <c r="AL3" s="58"/>
      <c r="AM3" s="58"/>
      <c r="AN3" s="58"/>
      <c r="AO3" s="58"/>
      <c r="AP3" s="59" t="s">
        <v>28</v>
      </c>
      <c r="AQ3" s="59"/>
      <c r="AR3" s="59"/>
      <c r="AS3" s="59"/>
      <c r="AT3" s="59"/>
      <c r="AU3" s="59"/>
      <c r="AV3" s="59"/>
      <c r="AW3" s="59"/>
      <c r="AX3" s="58" t="s">
        <v>27</v>
      </c>
      <c r="AY3" s="58"/>
      <c r="AZ3" s="58"/>
      <c r="BA3" s="58"/>
      <c r="BB3" s="58"/>
      <c r="BC3" s="58"/>
      <c r="BD3" s="58"/>
      <c r="BE3" s="58"/>
      <c r="BF3" s="59" t="s">
        <v>28</v>
      </c>
      <c r="BG3" s="59"/>
      <c r="BH3" s="59"/>
      <c r="BI3" s="59"/>
      <c r="BJ3" s="59"/>
      <c r="BK3" s="59"/>
      <c r="BL3" s="59"/>
      <c r="BM3" s="59"/>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8"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8"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8"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8" si="11">B32+B44</f>
        <v>10</v>
      </c>
      <c r="C6" s="2">
        <f t="shared" si="11"/>
        <v>10</v>
      </c>
      <c r="D6" s="2">
        <f t="shared" si="11"/>
        <v>10</v>
      </c>
      <c r="E6" s="2">
        <f t="shared" si="11"/>
        <v>50</v>
      </c>
      <c r="F6" s="2">
        <f t="shared" si="11"/>
        <v>50</v>
      </c>
      <c r="G6" s="2">
        <f t="shared" si="11"/>
        <v>40</v>
      </c>
      <c r="H6" s="2">
        <f t="shared" si="11"/>
        <v>50</v>
      </c>
      <c r="I6" s="2">
        <f t="shared" si="11"/>
        <v>20</v>
      </c>
      <c r="J6" s="3">
        <v>0</v>
      </c>
      <c r="K6" s="3">
        <v>0</v>
      </c>
      <c r="L6" s="3">
        <v>0</v>
      </c>
      <c r="M6" s="3">
        <v>0</v>
      </c>
      <c r="N6" s="3">
        <v>0</v>
      </c>
      <c r="O6" s="3">
        <v>0</v>
      </c>
      <c r="P6" s="3">
        <v>0</v>
      </c>
      <c r="Q6" s="3">
        <v>0</v>
      </c>
      <c r="R6" s="2">
        <f t="shared" ref="R6:R8" si="12">R32+B44</f>
        <v>10</v>
      </c>
      <c r="S6" s="2">
        <f t="shared" si="8"/>
        <v>10</v>
      </c>
      <c r="T6" s="2">
        <f t="shared" si="8"/>
        <v>10</v>
      </c>
      <c r="U6" s="2">
        <f t="shared" si="8"/>
        <v>40</v>
      </c>
      <c r="V6" s="2">
        <f t="shared" si="8"/>
        <v>40</v>
      </c>
      <c r="W6" s="2">
        <f t="shared" si="8"/>
        <v>40</v>
      </c>
      <c r="X6" s="2">
        <f t="shared" si="8"/>
        <v>50</v>
      </c>
      <c r="Y6" s="2">
        <f t="shared" si="8"/>
        <v>20</v>
      </c>
      <c r="Z6" s="3">
        <v>0</v>
      </c>
      <c r="AA6" s="3">
        <v>0</v>
      </c>
      <c r="AB6" s="3">
        <v>0</v>
      </c>
      <c r="AC6" s="3">
        <v>0</v>
      </c>
      <c r="AD6" s="3">
        <v>0</v>
      </c>
      <c r="AE6" s="3">
        <v>0</v>
      </c>
      <c r="AF6" s="3">
        <v>0</v>
      </c>
      <c r="AG6" s="3">
        <v>0</v>
      </c>
      <c r="AH6" s="2">
        <f t="shared" ref="AH6:AH8" si="13">AH32+B44</f>
        <v>10</v>
      </c>
      <c r="AI6" s="2">
        <f t="shared" si="9"/>
        <v>10</v>
      </c>
      <c r="AJ6" s="2">
        <f t="shared" si="9"/>
        <v>10</v>
      </c>
      <c r="AK6" s="2">
        <f t="shared" si="9"/>
        <v>50</v>
      </c>
      <c r="AL6" s="2">
        <f t="shared" si="9"/>
        <v>50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8"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35</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35</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35</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35</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50</v>
      </c>
      <c r="F8" s="2">
        <f t="shared" si="11"/>
        <v>50</v>
      </c>
      <c r="G8" s="2">
        <f t="shared" si="11"/>
        <v>40</v>
      </c>
      <c r="H8" s="2">
        <f t="shared" si="11"/>
        <v>45</v>
      </c>
      <c r="I8" s="2">
        <f>I34+I46</f>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45</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50</v>
      </c>
      <c r="AL8" s="2">
        <f t="shared" si="9"/>
        <v>50</v>
      </c>
      <c r="AM8" s="2">
        <f t="shared" si="9"/>
        <v>40</v>
      </c>
      <c r="AN8" s="2">
        <f t="shared" si="9"/>
        <v>35</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35</v>
      </c>
      <c r="BE8" s="2">
        <f t="shared" si="10"/>
        <v>20</v>
      </c>
      <c r="BF8" s="3">
        <v>0</v>
      </c>
      <c r="BG8" s="3">
        <v>0</v>
      </c>
      <c r="BH8" s="3">
        <v>0</v>
      </c>
      <c r="BI8" s="3">
        <v>0</v>
      </c>
      <c r="BJ8" s="3">
        <v>0</v>
      </c>
      <c r="BK8" s="3">
        <v>0</v>
      </c>
      <c r="BL8" s="3">
        <v>0</v>
      </c>
      <c r="BM8" s="3">
        <v>0</v>
      </c>
    </row>
    <row r="9" spans="1:65" x14ac:dyDescent="0.2">
      <c r="A9" s="1">
        <v>4</v>
      </c>
      <c r="B9" s="2"/>
      <c r="C9" s="2"/>
      <c r="D9" s="2"/>
      <c r="E9" s="2"/>
      <c r="F9" s="2"/>
      <c r="G9" s="2"/>
      <c r="H9" s="2"/>
      <c r="I9" s="2"/>
      <c r="J9" s="3"/>
      <c r="K9" s="3"/>
      <c r="L9" s="3"/>
      <c r="M9" s="3"/>
      <c r="N9" s="3"/>
      <c r="O9" s="3"/>
      <c r="P9" s="3"/>
      <c r="Q9" s="3"/>
      <c r="R9" s="2"/>
      <c r="S9" s="2"/>
      <c r="T9" s="2"/>
      <c r="U9" s="2"/>
      <c r="V9" s="2"/>
      <c r="W9" s="2"/>
      <c r="X9" s="2"/>
      <c r="Y9" s="2"/>
      <c r="Z9" s="3"/>
      <c r="AA9" s="3"/>
      <c r="AB9" s="3"/>
      <c r="AC9" s="3"/>
      <c r="AD9" s="3"/>
      <c r="AE9" s="3"/>
      <c r="AF9" s="3"/>
      <c r="AG9" s="3"/>
      <c r="AH9" s="2"/>
      <c r="AI9" s="2"/>
      <c r="AJ9" s="2"/>
      <c r="AK9" s="2"/>
      <c r="AL9" s="2"/>
      <c r="AM9" s="2"/>
      <c r="AN9" s="2"/>
      <c r="AO9" s="2"/>
      <c r="AP9" s="3"/>
      <c r="AQ9" s="3"/>
      <c r="AR9" s="3"/>
      <c r="AS9" s="3"/>
      <c r="AT9" s="3"/>
      <c r="AU9" s="3"/>
      <c r="AV9" s="3"/>
      <c r="AW9" s="3"/>
      <c r="AX9" s="2"/>
      <c r="AY9" s="2"/>
      <c r="AZ9" s="2"/>
      <c r="BA9" s="2"/>
      <c r="BB9" s="2"/>
      <c r="BC9" s="2"/>
      <c r="BD9" s="2"/>
      <c r="BE9" s="2"/>
      <c r="BF9" s="3"/>
      <c r="BG9" s="3"/>
      <c r="BH9" s="3"/>
      <c r="BI9" s="3"/>
      <c r="BJ9" s="3"/>
      <c r="BK9" s="3"/>
      <c r="BL9" s="3"/>
      <c r="BM9" s="3"/>
    </row>
    <row r="10" spans="1:65" x14ac:dyDescent="0.2">
      <c r="A10" s="1">
        <v>5</v>
      </c>
      <c r="B10" s="2"/>
      <c r="C10" s="2"/>
      <c r="D10" s="2"/>
      <c r="E10" s="2"/>
      <c r="F10" s="2"/>
      <c r="G10" s="2"/>
      <c r="H10" s="2"/>
      <c r="I10" s="2"/>
      <c r="J10" s="3"/>
      <c r="K10" s="3"/>
      <c r="L10" s="3"/>
      <c r="M10" s="3"/>
      <c r="N10" s="3"/>
      <c r="O10" s="3"/>
      <c r="P10" s="3"/>
      <c r="Q10" s="3"/>
      <c r="R10" s="2"/>
      <c r="S10" s="2"/>
      <c r="T10" s="2"/>
      <c r="U10" s="2"/>
      <c r="V10" s="2"/>
      <c r="W10" s="2"/>
      <c r="X10" s="2"/>
      <c r="Y10" s="2"/>
      <c r="Z10" s="3"/>
      <c r="AA10" s="3"/>
      <c r="AB10" s="3"/>
      <c r="AC10" s="3"/>
      <c r="AD10" s="3"/>
      <c r="AE10" s="3"/>
      <c r="AF10" s="3"/>
      <c r="AG10" s="3"/>
      <c r="AH10" s="2"/>
      <c r="AI10" s="2"/>
      <c r="AJ10" s="2"/>
      <c r="AK10" s="2"/>
      <c r="AL10" s="2"/>
      <c r="AM10" s="2"/>
      <c r="AN10" s="2"/>
      <c r="AO10" s="2"/>
      <c r="AP10" s="3"/>
      <c r="AQ10" s="3"/>
      <c r="AR10" s="3"/>
      <c r="AS10" s="3"/>
      <c r="AT10" s="3"/>
      <c r="AU10" s="3"/>
      <c r="AV10" s="3"/>
      <c r="AW10" s="3"/>
      <c r="AX10" s="2"/>
      <c r="AY10" s="2"/>
      <c r="AZ10" s="2"/>
      <c r="BA10" s="2"/>
      <c r="BB10" s="2"/>
      <c r="BC10" s="2"/>
      <c r="BD10" s="2"/>
      <c r="BE10" s="2"/>
      <c r="BF10" s="3"/>
      <c r="BG10" s="3"/>
      <c r="BH10" s="3"/>
      <c r="BI10" s="3"/>
      <c r="BJ10" s="3"/>
      <c r="BK10" s="3"/>
      <c r="BL10" s="3"/>
      <c r="BM10" s="3"/>
    </row>
    <row r="11" spans="1:65" x14ac:dyDescent="0.2">
      <c r="A11" s="1">
        <v>6</v>
      </c>
      <c r="B11" s="2"/>
      <c r="C11" s="2"/>
      <c r="D11" s="2"/>
      <c r="E11" s="2"/>
      <c r="F11" s="2"/>
      <c r="G11" s="2"/>
      <c r="H11" s="2"/>
      <c r="I11" s="2"/>
      <c r="J11" s="3"/>
      <c r="K11" s="3"/>
      <c r="L11" s="3"/>
      <c r="M11" s="3"/>
      <c r="N11" s="3"/>
      <c r="O11" s="3"/>
      <c r="P11" s="3"/>
      <c r="Q11" s="3"/>
      <c r="R11" s="2"/>
      <c r="S11" s="2"/>
      <c r="T11" s="2"/>
      <c r="U11" s="2"/>
      <c r="V11" s="2"/>
      <c r="W11" s="2"/>
      <c r="X11" s="2"/>
      <c r="Y11" s="2"/>
      <c r="Z11" s="3"/>
      <c r="AA11" s="3"/>
      <c r="AB11" s="3"/>
      <c r="AC11" s="3"/>
      <c r="AD11" s="3"/>
      <c r="AE11" s="3"/>
      <c r="AF11" s="3"/>
      <c r="AG11" s="3"/>
      <c r="AH11" s="2"/>
      <c r="AI11" s="2"/>
      <c r="AJ11" s="2"/>
      <c r="AK11" s="2"/>
      <c r="AL11" s="2"/>
      <c r="AM11" s="2"/>
      <c r="AN11" s="2"/>
      <c r="AO11" s="2"/>
      <c r="AP11" s="3"/>
      <c r="AQ11" s="3"/>
      <c r="AR11" s="3"/>
      <c r="AS11" s="3"/>
      <c r="AT11" s="3"/>
      <c r="AU11" s="3"/>
      <c r="AV11" s="3"/>
      <c r="AW11" s="3"/>
      <c r="AX11" s="2"/>
      <c r="AY11" s="2"/>
      <c r="AZ11" s="2"/>
      <c r="BA11" s="2"/>
      <c r="BB11" s="2"/>
      <c r="BC11" s="2"/>
      <c r="BD11" s="2"/>
      <c r="BE11" s="2"/>
      <c r="BF11" s="3"/>
      <c r="BG11" s="3"/>
      <c r="BH11" s="3"/>
      <c r="BI11" s="3"/>
      <c r="BJ11" s="3"/>
      <c r="BK11" s="3"/>
      <c r="BL11" s="3"/>
      <c r="BM11" s="3"/>
    </row>
    <row r="12" spans="1:65" x14ac:dyDescent="0.2">
      <c r="A12" s="1">
        <v>7</v>
      </c>
      <c r="B12" s="2"/>
      <c r="C12" s="2"/>
      <c r="D12" s="2"/>
      <c r="E12" s="2"/>
      <c r="F12" s="2"/>
      <c r="G12" s="2"/>
      <c r="H12" s="2"/>
      <c r="I12" s="2"/>
      <c r="J12" s="3"/>
      <c r="K12" s="3"/>
      <c r="L12" s="3"/>
      <c r="M12" s="3"/>
      <c r="N12" s="3"/>
      <c r="O12" s="3"/>
      <c r="P12" s="3"/>
      <c r="Q12" s="3"/>
      <c r="R12" s="2"/>
      <c r="S12" s="2"/>
      <c r="T12" s="2"/>
      <c r="U12" s="2"/>
      <c r="V12" s="2"/>
      <c r="W12" s="2"/>
      <c r="X12" s="2"/>
      <c r="Y12" s="2"/>
      <c r="Z12" s="3"/>
      <c r="AA12" s="3"/>
      <c r="AB12" s="3"/>
      <c r="AC12" s="3"/>
      <c r="AD12" s="3"/>
      <c r="AE12" s="3"/>
      <c r="AF12" s="3"/>
      <c r="AG12" s="3"/>
      <c r="AH12" s="2"/>
      <c r="AI12" s="2"/>
      <c r="AJ12" s="2"/>
      <c r="AK12" s="2"/>
      <c r="AL12" s="2"/>
      <c r="AM12" s="2"/>
      <c r="AN12" s="2"/>
      <c r="AO12" s="2"/>
      <c r="AP12" s="3"/>
      <c r="AQ12" s="3"/>
      <c r="AR12" s="3"/>
      <c r="AS12" s="3"/>
      <c r="AT12" s="3"/>
      <c r="AU12" s="3"/>
      <c r="AV12" s="3"/>
      <c r="AW12" s="3"/>
      <c r="AX12" s="2"/>
      <c r="AY12" s="2"/>
      <c r="AZ12" s="2"/>
      <c r="BA12" s="2"/>
      <c r="BB12" s="2"/>
      <c r="BC12" s="2"/>
      <c r="BD12" s="2"/>
      <c r="BE12" s="2"/>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B32">
        <v>0</v>
      </c>
      <c r="C32">
        <v>0</v>
      </c>
      <c r="D32">
        <v>0</v>
      </c>
      <c r="E32">
        <v>5</v>
      </c>
      <c r="F32">
        <v>5</v>
      </c>
      <c r="G32">
        <v>0</v>
      </c>
      <c r="H32">
        <v>5</v>
      </c>
      <c r="I32">
        <v>0</v>
      </c>
      <c r="R32">
        <v>0</v>
      </c>
      <c r="S32">
        <v>0</v>
      </c>
      <c r="T32">
        <v>0</v>
      </c>
      <c r="U32">
        <v>-5</v>
      </c>
      <c r="V32">
        <v>-5</v>
      </c>
      <c r="W32">
        <v>0</v>
      </c>
      <c r="X32">
        <v>5</v>
      </c>
      <c r="Y32">
        <v>0</v>
      </c>
      <c r="AH32">
        <v>0</v>
      </c>
      <c r="AI32">
        <v>0</v>
      </c>
      <c r="AJ32">
        <v>0</v>
      </c>
      <c r="AK32">
        <v>5</v>
      </c>
      <c r="AL32">
        <v>5</v>
      </c>
      <c r="AM32">
        <v>0</v>
      </c>
      <c r="AN32">
        <v>-5</v>
      </c>
      <c r="AO32">
        <v>0</v>
      </c>
      <c r="AX32">
        <v>0</v>
      </c>
      <c r="AY32">
        <v>0</v>
      </c>
      <c r="AZ32">
        <v>0</v>
      </c>
      <c r="BA32">
        <v>-5</v>
      </c>
      <c r="BB32">
        <v>-5</v>
      </c>
      <c r="BC32">
        <v>0</v>
      </c>
      <c r="BD32">
        <v>-5</v>
      </c>
      <c r="BE32">
        <v>0</v>
      </c>
    </row>
    <row r="33" spans="2:57" x14ac:dyDescent="0.2">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2:57" x14ac:dyDescent="0.2">
      <c r="B34">
        <v>0</v>
      </c>
      <c r="C34">
        <v>0</v>
      </c>
      <c r="D34">
        <v>0</v>
      </c>
      <c r="E34">
        <v>5</v>
      </c>
      <c r="F34">
        <v>5</v>
      </c>
      <c r="G34">
        <v>0</v>
      </c>
      <c r="H34">
        <v>5</v>
      </c>
      <c r="I34">
        <v>0</v>
      </c>
      <c r="R34">
        <v>0</v>
      </c>
      <c r="S34">
        <v>0</v>
      </c>
      <c r="T34">
        <v>0</v>
      </c>
      <c r="U34">
        <v>-5</v>
      </c>
      <c r="V34">
        <v>-5</v>
      </c>
      <c r="W34">
        <v>0</v>
      </c>
      <c r="X34">
        <v>5</v>
      </c>
      <c r="Y34">
        <v>0</v>
      </c>
      <c r="AH34">
        <v>0</v>
      </c>
      <c r="AI34">
        <v>0</v>
      </c>
      <c r="AJ34">
        <v>0</v>
      </c>
      <c r="AK34">
        <v>5</v>
      </c>
      <c r="AL34">
        <v>5</v>
      </c>
      <c r="AM34">
        <v>0</v>
      </c>
      <c r="AN34">
        <v>-5</v>
      </c>
      <c r="AO34">
        <v>0</v>
      </c>
      <c r="AX34">
        <v>0</v>
      </c>
      <c r="AY34">
        <v>0</v>
      </c>
      <c r="AZ34">
        <v>0</v>
      </c>
      <c r="BA34">
        <v>-5</v>
      </c>
      <c r="BB34">
        <v>-5</v>
      </c>
      <c r="BC34">
        <v>0</v>
      </c>
      <c r="BD34">
        <v>-5</v>
      </c>
      <c r="BE34">
        <v>0</v>
      </c>
    </row>
    <row r="41" spans="2:57" x14ac:dyDescent="0.2">
      <c r="H41" s="8" t="s">
        <v>217</v>
      </c>
      <c r="I41">
        <f>SUM(B2:BM2)</f>
        <v>1</v>
      </c>
    </row>
    <row r="42" spans="2:57" x14ac:dyDescent="0.2">
      <c r="B42" s="8" t="s">
        <v>73</v>
      </c>
    </row>
    <row r="43" spans="2:57" x14ac:dyDescent="0.2">
      <c r="B43" s="2">
        <v>10</v>
      </c>
      <c r="C43" s="2">
        <v>10</v>
      </c>
      <c r="D43" s="2">
        <v>10</v>
      </c>
      <c r="E43" s="2">
        <v>40</v>
      </c>
      <c r="F43" s="2">
        <v>40</v>
      </c>
      <c r="G43" s="2">
        <v>40</v>
      </c>
      <c r="H43" s="2">
        <v>40</v>
      </c>
      <c r="I43" s="2">
        <v>20</v>
      </c>
      <c r="K43">
        <f>SUM(B43:I43)</f>
        <v>210</v>
      </c>
    </row>
    <row r="44" spans="2:57" x14ac:dyDescent="0.2">
      <c r="B44" s="2">
        <v>10</v>
      </c>
      <c r="C44" s="2">
        <v>10</v>
      </c>
      <c r="D44" s="2">
        <v>10</v>
      </c>
      <c r="E44" s="2">
        <v>45</v>
      </c>
      <c r="F44" s="2">
        <v>45</v>
      </c>
      <c r="G44" s="2">
        <v>40</v>
      </c>
      <c r="H44" s="2">
        <v>45</v>
      </c>
      <c r="I44" s="2">
        <v>20</v>
      </c>
      <c r="K44">
        <f t="shared" ref="K44:K46" si="17">SUM(B44:I44)</f>
        <v>225</v>
      </c>
    </row>
    <row r="45" spans="2:57" x14ac:dyDescent="0.2">
      <c r="B45" s="2">
        <v>10</v>
      </c>
      <c r="C45" s="2">
        <v>10</v>
      </c>
      <c r="D45" s="2">
        <v>10</v>
      </c>
      <c r="E45" s="2">
        <v>40</v>
      </c>
      <c r="F45" s="2">
        <v>40</v>
      </c>
      <c r="G45" s="2">
        <v>40</v>
      </c>
      <c r="H45" s="2">
        <v>35</v>
      </c>
      <c r="I45" s="2">
        <v>20</v>
      </c>
      <c r="K45">
        <f t="shared" si="17"/>
        <v>205</v>
      </c>
    </row>
    <row r="46" spans="2:57" x14ac:dyDescent="0.2">
      <c r="B46" s="2">
        <v>10</v>
      </c>
      <c r="C46" s="2">
        <v>10</v>
      </c>
      <c r="D46" s="2">
        <v>10</v>
      </c>
      <c r="E46" s="2">
        <v>45</v>
      </c>
      <c r="F46" s="2">
        <v>45</v>
      </c>
      <c r="G46" s="2">
        <v>40</v>
      </c>
      <c r="H46" s="2">
        <v>40</v>
      </c>
      <c r="I46" s="2">
        <v>20</v>
      </c>
      <c r="K46">
        <f t="shared" si="17"/>
        <v>220</v>
      </c>
    </row>
    <row r="47" spans="2:57" x14ac:dyDescent="0.2">
      <c r="G47" s="24"/>
      <c r="H47" s="24"/>
    </row>
    <row r="49" spans="2:6" x14ac:dyDescent="0.2">
      <c r="B49" s="8" t="s">
        <v>209</v>
      </c>
    </row>
    <row r="50" spans="2:6" x14ac:dyDescent="0.2">
      <c r="B50" t="s">
        <v>200</v>
      </c>
      <c r="C50" t="s">
        <v>201</v>
      </c>
      <c r="D50" t="s">
        <v>202</v>
      </c>
      <c r="E50" t="s">
        <v>203</v>
      </c>
      <c r="F50" t="s">
        <v>204</v>
      </c>
    </row>
    <row r="51" spans="2:6" x14ac:dyDescent="0.2">
      <c r="B51" s="25">
        <v>30</v>
      </c>
      <c r="C51" s="25">
        <v>80</v>
      </c>
      <c r="D51" s="25">
        <v>40</v>
      </c>
      <c r="E51" s="25">
        <v>40</v>
      </c>
    </row>
    <row r="52" spans="2:6" x14ac:dyDescent="0.2">
      <c r="B52" s="25">
        <v>30</v>
      </c>
      <c r="C52" s="25">
        <v>90</v>
      </c>
      <c r="D52" s="25">
        <v>40</v>
      </c>
      <c r="E52" s="25">
        <v>45</v>
      </c>
    </row>
    <row r="53" spans="2:6" x14ac:dyDescent="0.2">
      <c r="B53" s="25">
        <v>30</v>
      </c>
      <c r="C53" s="25">
        <v>80</v>
      </c>
      <c r="D53" s="25">
        <v>40</v>
      </c>
      <c r="E53" s="25">
        <v>35</v>
      </c>
    </row>
    <row r="54" spans="2:6" x14ac:dyDescent="0.2">
      <c r="B54" s="25">
        <v>30</v>
      </c>
      <c r="C54" s="25">
        <v>90</v>
      </c>
      <c r="D54" s="25">
        <v>40</v>
      </c>
      <c r="E54" s="25">
        <v>40</v>
      </c>
    </row>
  </sheetData>
  <mergeCells count="16">
    <mergeCell ref="B3:I3"/>
    <mergeCell ref="J3:Q3"/>
    <mergeCell ref="B1:Q1"/>
    <mergeCell ref="B2:Q2"/>
    <mergeCell ref="R1:AG1"/>
    <mergeCell ref="R2:AG2"/>
    <mergeCell ref="R3:Y3"/>
    <mergeCell ref="Z3:AG3"/>
    <mergeCell ref="AH1:AW1"/>
    <mergeCell ref="AH2:AW2"/>
    <mergeCell ref="AH3:AO3"/>
    <mergeCell ref="AP3:AW3"/>
    <mergeCell ref="AX1:BM1"/>
    <mergeCell ref="AX2:BM2"/>
    <mergeCell ref="AX3:BE3"/>
    <mergeCell ref="BF3:B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90" zoomScaleNormal="90" workbookViewId="0">
      <selection activeCell="J40" sqref="J40"/>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7">
        <v>21</v>
      </c>
      <c r="C1" s="57"/>
      <c r="D1" s="57"/>
      <c r="E1" s="57"/>
      <c r="F1" s="57"/>
      <c r="G1" s="57"/>
      <c r="H1" s="57"/>
      <c r="I1" s="57"/>
      <c r="J1" s="57"/>
      <c r="K1" s="57"/>
      <c r="L1" s="57"/>
      <c r="M1" s="57"/>
      <c r="N1" s="57"/>
      <c r="O1" s="57"/>
      <c r="P1" s="57"/>
      <c r="Q1" s="57"/>
      <c r="R1" s="57">
        <f>B1+Parameters!$B$7</f>
        <v>25</v>
      </c>
      <c r="S1" s="57"/>
      <c r="T1" s="57"/>
      <c r="U1" s="57"/>
      <c r="V1" s="57"/>
      <c r="W1" s="57"/>
      <c r="X1" s="57"/>
      <c r="Y1" s="57"/>
      <c r="Z1" s="57"/>
      <c r="AA1" s="57"/>
      <c r="AB1" s="57"/>
      <c r="AC1" s="57"/>
      <c r="AD1" s="57"/>
      <c r="AE1" s="57"/>
      <c r="AF1" s="57"/>
      <c r="AG1" s="57"/>
      <c r="AH1" s="57">
        <f>R1+Parameters!$B$7</f>
        <v>29</v>
      </c>
      <c r="AI1" s="57"/>
      <c r="AJ1" s="57"/>
      <c r="AK1" s="57"/>
      <c r="AL1" s="57"/>
      <c r="AM1" s="57"/>
      <c r="AN1" s="57"/>
      <c r="AO1" s="57"/>
      <c r="AP1" s="57"/>
      <c r="AQ1" s="57"/>
      <c r="AR1" s="57"/>
      <c r="AS1" s="57"/>
      <c r="AT1" s="57"/>
      <c r="AU1" s="57"/>
      <c r="AV1" s="57"/>
      <c r="AW1" s="57"/>
      <c r="AX1" s="57">
        <f>AH1+Parameters!$B$7</f>
        <v>33</v>
      </c>
      <c r="AY1" s="57"/>
      <c r="AZ1" s="57"/>
      <c r="BA1" s="57"/>
      <c r="BB1" s="57"/>
      <c r="BC1" s="57"/>
      <c r="BD1" s="57"/>
      <c r="BE1" s="57"/>
      <c r="BF1" s="57"/>
      <c r="BG1" s="57"/>
      <c r="BH1" s="57"/>
      <c r="BI1" s="57"/>
      <c r="BJ1" s="57"/>
      <c r="BK1" s="57"/>
      <c r="BL1" s="57"/>
      <c r="BM1" s="57"/>
      <c r="BN1" s="57">
        <f>AX1+Parameters!$B$7</f>
        <v>37</v>
      </c>
      <c r="BO1" s="57"/>
      <c r="BP1" s="57"/>
      <c r="BQ1" s="57"/>
      <c r="BR1" s="57"/>
      <c r="BS1" s="57"/>
      <c r="BT1" s="57"/>
      <c r="BU1" s="57"/>
      <c r="BV1" s="57"/>
      <c r="BW1" s="57"/>
      <c r="BX1" s="57"/>
      <c r="BY1" s="57"/>
      <c r="BZ1" s="57"/>
      <c r="CA1" s="57"/>
      <c r="CB1" s="57"/>
      <c r="CC1" s="57"/>
      <c r="CD1" s="57">
        <f>BN1+Parameters!$B$7</f>
        <v>41</v>
      </c>
      <c r="CE1" s="57"/>
      <c r="CF1" s="57"/>
      <c r="CG1" s="57"/>
      <c r="CH1" s="57"/>
      <c r="CI1" s="57"/>
      <c r="CJ1" s="57"/>
      <c r="CK1" s="57"/>
      <c r="CL1" s="57"/>
      <c r="CM1" s="57"/>
      <c r="CN1" s="57"/>
      <c r="CO1" s="57"/>
      <c r="CP1" s="57"/>
      <c r="CQ1" s="57"/>
      <c r="CR1" s="57"/>
      <c r="CS1" s="57"/>
      <c r="CT1" s="57">
        <f>CD1+Parameters!$B$7</f>
        <v>45</v>
      </c>
      <c r="CU1" s="57"/>
      <c r="CV1" s="57"/>
      <c r="CW1" s="57"/>
      <c r="CX1" s="57"/>
      <c r="CY1" s="57"/>
      <c r="CZ1" s="57"/>
      <c r="DA1" s="57"/>
      <c r="DB1" s="57"/>
      <c r="DC1" s="57"/>
      <c r="DD1" s="57"/>
      <c r="DE1" s="57"/>
      <c r="DF1" s="57"/>
      <c r="DG1" s="57"/>
      <c r="DH1" s="57"/>
      <c r="DI1" s="57"/>
      <c r="DJ1" s="57">
        <f>CT1+Parameters!$B$7</f>
        <v>49</v>
      </c>
      <c r="DK1" s="57"/>
      <c r="DL1" s="57"/>
      <c r="DM1" s="57"/>
      <c r="DN1" s="57"/>
      <c r="DO1" s="57"/>
      <c r="DP1" s="57"/>
      <c r="DQ1" s="57"/>
      <c r="DR1" s="57"/>
      <c r="DS1" s="57"/>
      <c r="DT1" s="57"/>
      <c r="DU1" s="57"/>
      <c r="DV1" s="57"/>
      <c r="DW1" s="57"/>
      <c r="DX1" s="57"/>
      <c r="DY1" s="57"/>
      <c r="DZ1" s="57">
        <f>DJ1+Parameters!$B$7</f>
        <v>53</v>
      </c>
      <c r="EA1" s="57"/>
      <c r="EB1" s="57"/>
      <c r="EC1" s="57"/>
      <c r="ED1" s="57"/>
      <c r="EE1" s="57"/>
      <c r="EF1" s="57"/>
      <c r="EG1" s="57"/>
      <c r="EH1" s="57"/>
      <c r="EI1" s="57"/>
      <c r="EJ1" s="57"/>
      <c r="EK1" s="57"/>
      <c r="EL1" s="57"/>
      <c r="EM1" s="57"/>
      <c r="EN1" s="57"/>
      <c r="EO1" s="57"/>
      <c r="EP1" s="57">
        <f>DZ1+Parameters!$B$7</f>
        <v>57</v>
      </c>
      <c r="EQ1" s="57"/>
      <c r="ER1" s="57"/>
      <c r="ES1" s="57"/>
      <c r="ET1" s="57"/>
      <c r="EU1" s="57"/>
      <c r="EV1" s="57"/>
      <c r="EW1" s="57"/>
      <c r="EX1" s="57"/>
      <c r="EY1" s="57"/>
      <c r="EZ1" s="57"/>
      <c r="FA1" s="57"/>
      <c r="FB1" s="57"/>
      <c r="FC1" s="57"/>
      <c r="FD1" s="57"/>
      <c r="FE1" s="57"/>
      <c r="FF1" s="57">
        <f>EP1+Parameters!$B$7</f>
        <v>61</v>
      </c>
      <c r="FG1" s="57"/>
      <c r="FH1" s="57"/>
      <c r="FI1" s="57"/>
      <c r="FJ1" s="57"/>
      <c r="FK1" s="57"/>
      <c r="FL1" s="57"/>
      <c r="FM1" s="57"/>
      <c r="FN1" s="57"/>
      <c r="FO1" s="57"/>
      <c r="FP1" s="57"/>
      <c r="FQ1" s="57"/>
      <c r="FR1" s="57"/>
      <c r="FS1" s="57"/>
      <c r="FT1" s="57"/>
      <c r="FU1" s="57"/>
      <c r="FV1" s="57">
        <f>FF1+Parameters!$B$7</f>
        <v>65</v>
      </c>
      <c r="FW1" s="57"/>
      <c r="FX1" s="57"/>
      <c r="FY1" s="57"/>
      <c r="FZ1" s="57"/>
      <c r="GA1" s="57"/>
      <c r="GB1" s="57"/>
      <c r="GC1" s="57"/>
      <c r="GD1" s="57"/>
      <c r="GE1" s="57"/>
      <c r="GF1" s="57"/>
      <c r="GG1" s="57"/>
      <c r="GH1" s="57"/>
      <c r="GI1" s="57"/>
      <c r="GJ1" s="57"/>
      <c r="GK1" s="57"/>
      <c r="GL1" s="57">
        <f>FV1+Parameters!$B$7</f>
        <v>69</v>
      </c>
      <c r="GM1" s="57"/>
      <c r="GN1" s="57"/>
      <c r="GO1" s="57"/>
      <c r="GP1" s="57"/>
      <c r="GQ1" s="57"/>
      <c r="GR1" s="57"/>
      <c r="GS1" s="57"/>
      <c r="GT1" s="57"/>
      <c r="GU1" s="57"/>
      <c r="GV1" s="57"/>
      <c r="GW1" s="57"/>
      <c r="GX1" s="57"/>
      <c r="GY1" s="57"/>
      <c r="GZ1" s="57"/>
      <c r="HA1" s="57"/>
      <c r="HB1" s="57">
        <f>GL1+Parameters!$B$7</f>
        <v>73</v>
      </c>
      <c r="HC1" s="57"/>
      <c r="HD1" s="57"/>
      <c r="HE1" s="57"/>
      <c r="HF1" s="57"/>
      <c r="HG1" s="57"/>
      <c r="HH1" s="57"/>
      <c r="HI1" s="57"/>
      <c r="HJ1" s="57"/>
      <c r="HK1" s="57"/>
      <c r="HL1" s="57"/>
      <c r="HM1" s="57"/>
      <c r="HN1" s="57"/>
      <c r="HO1" s="57"/>
      <c r="HP1" s="57"/>
      <c r="HQ1" s="57"/>
      <c r="HR1" s="57">
        <f>HB1+Parameters!$B$7</f>
        <v>77</v>
      </c>
      <c r="HS1" s="57"/>
      <c r="HT1" s="57"/>
      <c r="HU1" s="57"/>
      <c r="HV1" s="57"/>
      <c r="HW1" s="57"/>
      <c r="HX1" s="57"/>
      <c r="HY1" s="57"/>
      <c r="HZ1" s="57"/>
      <c r="IA1" s="57"/>
      <c r="IB1" s="57"/>
      <c r="IC1" s="57"/>
      <c r="ID1" s="57"/>
      <c r="IE1" s="57"/>
      <c r="IF1" s="57"/>
      <c r="IG1" s="57"/>
      <c r="IH1" s="57">
        <f>HR1+Parameters!$B$7</f>
        <v>81</v>
      </c>
      <c r="II1" s="57"/>
      <c r="IJ1" s="57"/>
      <c r="IK1" s="57"/>
      <c r="IL1" s="57"/>
      <c r="IM1" s="57"/>
      <c r="IN1" s="57"/>
      <c r="IO1" s="57"/>
      <c r="IP1" s="57"/>
      <c r="IQ1" s="57"/>
      <c r="IR1" s="57"/>
      <c r="IS1" s="57"/>
      <c r="IT1" s="57"/>
      <c r="IU1" s="57"/>
      <c r="IV1" s="57"/>
      <c r="IW1" s="57"/>
    </row>
    <row r="2" spans="1:257" x14ac:dyDescent="0.2">
      <c r="A2" s="4" t="s">
        <v>26</v>
      </c>
      <c r="B2" s="57">
        <f>1/16</f>
        <v>6.25E-2</v>
      </c>
      <c r="C2" s="57"/>
      <c r="D2" s="57"/>
      <c r="E2" s="57"/>
      <c r="F2" s="57"/>
      <c r="G2" s="57"/>
      <c r="H2" s="57"/>
      <c r="I2" s="57"/>
      <c r="J2" s="57"/>
      <c r="K2" s="57"/>
      <c r="L2" s="57"/>
      <c r="M2" s="57"/>
      <c r="N2" s="57"/>
      <c r="O2" s="57"/>
      <c r="P2" s="57"/>
      <c r="Q2" s="57"/>
      <c r="R2" s="57">
        <f>B2</f>
        <v>6.25E-2</v>
      </c>
      <c r="S2" s="57"/>
      <c r="T2" s="57"/>
      <c r="U2" s="57"/>
      <c r="V2" s="57"/>
      <c r="W2" s="57"/>
      <c r="X2" s="57"/>
      <c r="Y2" s="57"/>
      <c r="Z2" s="57"/>
      <c r="AA2" s="57"/>
      <c r="AB2" s="57"/>
      <c r="AC2" s="57"/>
      <c r="AD2" s="57"/>
      <c r="AE2" s="57"/>
      <c r="AF2" s="57"/>
      <c r="AG2" s="57"/>
      <c r="AH2" s="57">
        <f t="shared" ref="AH2" si="0">R2</f>
        <v>6.25E-2</v>
      </c>
      <c r="AI2" s="57"/>
      <c r="AJ2" s="57"/>
      <c r="AK2" s="57"/>
      <c r="AL2" s="57"/>
      <c r="AM2" s="57"/>
      <c r="AN2" s="57"/>
      <c r="AO2" s="57"/>
      <c r="AP2" s="57"/>
      <c r="AQ2" s="57"/>
      <c r="AR2" s="57"/>
      <c r="AS2" s="57"/>
      <c r="AT2" s="57"/>
      <c r="AU2" s="57"/>
      <c r="AV2" s="57"/>
      <c r="AW2" s="57"/>
      <c r="AX2" s="57">
        <f t="shared" ref="AX2" si="1">AH2</f>
        <v>6.25E-2</v>
      </c>
      <c r="AY2" s="57"/>
      <c r="AZ2" s="57"/>
      <c r="BA2" s="57"/>
      <c r="BB2" s="57"/>
      <c r="BC2" s="57"/>
      <c r="BD2" s="57"/>
      <c r="BE2" s="57"/>
      <c r="BF2" s="57"/>
      <c r="BG2" s="57"/>
      <c r="BH2" s="57"/>
      <c r="BI2" s="57"/>
      <c r="BJ2" s="57"/>
      <c r="BK2" s="57"/>
      <c r="BL2" s="57"/>
      <c r="BM2" s="57"/>
      <c r="BN2" s="57">
        <f t="shared" ref="BN2" si="2">AX2</f>
        <v>6.25E-2</v>
      </c>
      <c r="BO2" s="57"/>
      <c r="BP2" s="57"/>
      <c r="BQ2" s="57"/>
      <c r="BR2" s="57"/>
      <c r="BS2" s="57"/>
      <c r="BT2" s="57"/>
      <c r="BU2" s="57"/>
      <c r="BV2" s="57"/>
      <c r="BW2" s="57"/>
      <c r="BX2" s="57"/>
      <c r="BY2" s="57"/>
      <c r="BZ2" s="57"/>
      <c r="CA2" s="57"/>
      <c r="CB2" s="57"/>
      <c r="CC2" s="57"/>
      <c r="CD2" s="57">
        <f t="shared" ref="CD2" si="3">BN2</f>
        <v>6.25E-2</v>
      </c>
      <c r="CE2" s="57"/>
      <c r="CF2" s="57"/>
      <c r="CG2" s="57"/>
      <c r="CH2" s="57"/>
      <c r="CI2" s="57"/>
      <c r="CJ2" s="57"/>
      <c r="CK2" s="57"/>
      <c r="CL2" s="57"/>
      <c r="CM2" s="57"/>
      <c r="CN2" s="57"/>
      <c r="CO2" s="57"/>
      <c r="CP2" s="57"/>
      <c r="CQ2" s="57"/>
      <c r="CR2" s="57"/>
      <c r="CS2" s="57"/>
      <c r="CT2" s="57">
        <f t="shared" ref="CT2" si="4">CD2</f>
        <v>6.25E-2</v>
      </c>
      <c r="CU2" s="57"/>
      <c r="CV2" s="57"/>
      <c r="CW2" s="57"/>
      <c r="CX2" s="57"/>
      <c r="CY2" s="57"/>
      <c r="CZ2" s="57"/>
      <c r="DA2" s="57"/>
      <c r="DB2" s="57"/>
      <c r="DC2" s="57"/>
      <c r="DD2" s="57"/>
      <c r="DE2" s="57"/>
      <c r="DF2" s="57"/>
      <c r="DG2" s="57"/>
      <c r="DH2" s="57"/>
      <c r="DI2" s="57"/>
      <c r="DJ2" s="57">
        <f t="shared" ref="DJ2" si="5">CT2</f>
        <v>6.25E-2</v>
      </c>
      <c r="DK2" s="57"/>
      <c r="DL2" s="57"/>
      <c r="DM2" s="57"/>
      <c r="DN2" s="57"/>
      <c r="DO2" s="57"/>
      <c r="DP2" s="57"/>
      <c r="DQ2" s="57"/>
      <c r="DR2" s="57"/>
      <c r="DS2" s="57"/>
      <c r="DT2" s="57"/>
      <c r="DU2" s="57"/>
      <c r="DV2" s="57"/>
      <c r="DW2" s="57"/>
      <c r="DX2" s="57"/>
      <c r="DY2" s="57"/>
      <c r="DZ2" s="57">
        <f t="shared" ref="DZ2" si="6">DJ2</f>
        <v>6.25E-2</v>
      </c>
      <c r="EA2" s="57"/>
      <c r="EB2" s="57"/>
      <c r="EC2" s="57"/>
      <c r="ED2" s="57"/>
      <c r="EE2" s="57"/>
      <c r="EF2" s="57"/>
      <c r="EG2" s="57"/>
      <c r="EH2" s="57"/>
      <c r="EI2" s="57"/>
      <c r="EJ2" s="57"/>
      <c r="EK2" s="57"/>
      <c r="EL2" s="57"/>
      <c r="EM2" s="57"/>
      <c r="EN2" s="57"/>
      <c r="EO2" s="57"/>
      <c r="EP2" s="57">
        <f t="shared" ref="EP2" si="7">DZ2</f>
        <v>6.25E-2</v>
      </c>
      <c r="EQ2" s="57"/>
      <c r="ER2" s="57"/>
      <c r="ES2" s="57"/>
      <c r="ET2" s="57"/>
      <c r="EU2" s="57"/>
      <c r="EV2" s="57"/>
      <c r="EW2" s="57"/>
      <c r="EX2" s="57"/>
      <c r="EY2" s="57"/>
      <c r="EZ2" s="57"/>
      <c r="FA2" s="57"/>
      <c r="FB2" s="57"/>
      <c r="FC2" s="57"/>
      <c r="FD2" s="57"/>
      <c r="FE2" s="57"/>
      <c r="FF2" s="57">
        <f t="shared" ref="FF2" si="8">EP2</f>
        <v>6.25E-2</v>
      </c>
      <c r="FG2" s="57"/>
      <c r="FH2" s="57"/>
      <c r="FI2" s="57"/>
      <c r="FJ2" s="57"/>
      <c r="FK2" s="57"/>
      <c r="FL2" s="57"/>
      <c r="FM2" s="57"/>
      <c r="FN2" s="57"/>
      <c r="FO2" s="57"/>
      <c r="FP2" s="57"/>
      <c r="FQ2" s="57"/>
      <c r="FR2" s="57"/>
      <c r="FS2" s="57"/>
      <c r="FT2" s="57"/>
      <c r="FU2" s="57"/>
      <c r="FV2" s="57">
        <f t="shared" ref="FV2" si="9">FF2</f>
        <v>6.25E-2</v>
      </c>
      <c r="FW2" s="57"/>
      <c r="FX2" s="57"/>
      <c r="FY2" s="57"/>
      <c r="FZ2" s="57"/>
      <c r="GA2" s="57"/>
      <c r="GB2" s="57"/>
      <c r="GC2" s="57"/>
      <c r="GD2" s="57"/>
      <c r="GE2" s="57"/>
      <c r="GF2" s="57"/>
      <c r="GG2" s="57"/>
      <c r="GH2" s="57"/>
      <c r="GI2" s="57"/>
      <c r="GJ2" s="57"/>
      <c r="GK2" s="57"/>
      <c r="GL2" s="57">
        <f t="shared" ref="GL2" si="10">FV2</f>
        <v>6.25E-2</v>
      </c>
      <c r="GM2" s="57"/>
      <c r="GN2" s="57"/>
      <c r="GO2" s="57"/>
      <c r="GP2" s="57"/>
      <c r="GQ2" s="57"/>
      <c r="GR2" s="57"/>
      <c r="GS2" s="57"/>
      <c r="GT2" s="57"/>
      <c r="GU2" s="57"/>
      <c r="GV2" s="57"/>
      <c r="GW2" s="57"/>
      <c r="GX2" s="57"/>
      <c r="GY2" s="57"/>
      <c r="GZ2" s="57"/>
      <c r="HA2" s="57"/>
      <c r="HB2" s="57">
        <f t="shared" ref="HB2" si="11">GL2</f>
        <v>6.25E-2</v>
      </c>
      <c r="HC2" s="57"/>
      <c r="HD2" s="57"/>
      <c r="HE2" s="57"/>
      <c r="HF2" s="57"/>
      <c r="HG2" s="57"/>
      <c r="HH2" s="57"/>
      <c r="HI2" s="57"/>
      <c r="HJ2" s="57"/>
      <c r="HK2" s="57"/>
      <c r="HL2" s="57"/>
      <c r="HM2" s="57"/>
      <c r="HN2" s="57"/>
      <c r="HO2" s="57"/>
      <c r="HP2" s="57"/>
      <c r="HQ2" s="57"/>
      <c r="HR2" s="57">
        <f t="shared" ref="HR2" si="12">HB2</f>
        <v>6.25E-2</v>
      </c>
      <c r="HS2" s="57"/>
      <c r="HT2" s="57"/>
      <c r="HU2" s="57"/>
      <c r="HV2" s="57"/>
      <c r="HW2" s="57"/>
      <c r="HX2" s="57"/>
      <c r="HY2" s="57"/>
      <c r="HZ2" s="57"/>
      <c r="IA2" s="57"/>
      <c r="IB2" s="57"/>
      <c r="IC2" s="57"/>
      <c r="ID2" s="57"/>
      <c r="IE2" s="57"/>
      <c r="IF2" s="57"/>
      <c r="IG2" s="57"/>
      <c r="IH2" s="57">
        <f t="shared" ref="IH2" si="13">HR2</f>
        <v>6.25E-2</v>
      </c>
      <c r="II2" s="57"/>
      <c r="IJ2" s="57"/>
      <c r="IK2" s="57"/>
      <c r="IL2" s="57"/>
      <c r="IM2" s="57"/>
      <c r="IN2" s="57"/>
      <c r="IO2" s="57"/>
      <c r="IP2" s="57"/>
      <c r="IQ2" s="57"/>
      <c r="IR2" s="57"/>
      <c r="IS2" s="57"/>
      <c r="IT2" s="57"/>
      <c r="IU2" s="57"/>
      <c r="IV2" s="57"/>
      <c r="IW2" s="57"/>
    </row>
    <row r="3" spans="1:257" x14ac:dyDescent="0.2">
      <c r="A3" s="4" t="s">
        <v>33</v>
      </c>
      <c r="B3" s="63">
        <v>5</v>
      </c>
      <c r="C3" s="64"/>
      <c r="D3" s="64"/>
      <c r="E3" s="64"/>
      <c r="F3" s="64"/>
      <c r="G3" s="64"/>
      <c r="H3" s="64"/>
      <c r="I3" s="64"/>
      <c r="J3" s="64"/>
      <c r="K3" s="64"/>
      <c r="L3" s="64"/>
      <c r="M3" s="64"/>
      <c r="N3" s="64"/>
      <c r="O3" s="64"/>
      <c r="P3" s="64"/>
      <c r="Q3" s="65"/>
      <c r="R3" s="63">
        <v>5</v>
      </c>
      <c r="S3" s="64"/>
      <c r="T3" s="64"/>
      <c r="U3" s="64"/>
      <c r="V3" s="64"/>
      <c r="W3" s="64"/>
      <c r="X3" s="64"/>
      <c r="Y3" s="64"/>
      <c r="Z3" s="64"/>
      <c r="AA3" s="64"/>
      <c r="AB3" s="64"/>
      <c r="AC3" s="64"/>
      <c r="AD3" s="64"/>
      <c r="AE3" s="64"/>
      <c r="AF3" s="64"/>
      <c r="AG3" s="65"/>
      <c r="AH3" s="63">
        <v>5</v>
      </c>
      <c r="AI3" s="64"/>
      <c r="AJ3" s="64"/>
      <c r="AK3" s="64"/>
      <c r="AL3" s="64"/>
      <c r="AM3" s="64"/>
      <c r="AN3" s="64"/>
      <c r="AO3" s="64"/>
      <c r="AP3" s="64"/>
      <c r="AQ3" s="64"/>
      <c r="AR3" s="64"/>
      <c r="AS3" s="64"/>
      <c r="AT3" s="64"/>
      <c r="AU3" s="64"/>
      <c r="AV3" s="64"/>
      <c r="AW3" s="65"/>
      <c r="AX3" s="63">
        <v>5</v>
      </c>
      <c r="AY3" s="64"/>
      <c r="AZ3" s="64"/>
      <c r="BA3" s="64"/>
      <c r="BB3" s="64"/>
      <c r="BC3" s="64"/>
      <c r="BD3" s="64"/>
      <c r="BE3" s="64"/>
      <c r="BF3" s="64"/>
      <c r="BG3" s="64"/>
      <c r="BH3" s="64"/>
      <c r="BI3" s="64"/>
      <c r="BJ3" s="64"/>
      <c r="BK3" s="64"/>
      <c r="BL3" s="64"/>
      <c r="BM3" s="65"/>
      <c r="BN3" s="63">
        <v>9</v>
      </c>
      <c r="BO3" s="64"/>
      <c r="BP3" s="64"/>
      <c r="BQ3" s="64"/>
      <c r="BR3" s="64"/>
      <c r="BS3" s="64"/>
      <c r="BT3" s="64"/>
      <c r="BU3" s="64"/>
      <c r="BV3" s="64"/>
      <c r="BW3" s="64"/>
      <c r="BX3" s="64"/>
      <c r="BY3" s="64"/>
      <c r="BZ3" s="64"/>
      <c r="CA3" s="64"/>
      <c r="CB3" s="64"/>
      <c r="CC3" s="65"/>
      <c r="CD3" s="63">
        <v>9</v>
      </c>
      <c r="CE3" s="64"/>
      <c r="CF3" s="64"/>
      <c r="CG3" s="64"/>
      <c r="CH3" s="64"/>
      <c r="CI3" s="64"/>
      <c r="CJ3" s="64"/>
      <c r="CK3" s="64"/>
      <c r="CL3" s="64"/>
      <c r="CM3" s="64"/>
      <c r="CN3" s="64"/>
      <c r="CO3" s="64"/>
      <c r="CP3" s="64"/>
      <c r="CQ3" s="64"/>
      <c r="CR3" s="64"/>
      <c r="CS3" s="65"/>
      <c r="CT3" s="63">
        <v>9</v>
      </c>
      <c r="CU3" s="64"/>
      <c r="CV3" s="64"/>
      <c r="CW3" s="64"/>
      <c r="CX3" s="64"/>
      <c r="CY3" s="64"/>
      <c r="CZ3" s="64"/>
      <c r="DA3" s="64"/>
      <c r="DB3" s="64"/>
      <c r="DC3" s="64"/>
      <c r="DD3" s="64"/>
      <c r="DE3" s="64"/>
      <c r="DF3" s="64"/>
      <c r="DG3" s="64"/>
      <c r="DH3" s="64"/>
      <c r="DI3" s="65"/>
      <c r="DJ3" s="63">
        <v>9</v>
      </c>
      <c r="DK3" s="64"/>
      <c r="DL3" s="64"/>
      <c r="DM3" s="64"/>
      <c r="DN3" s="64"/>
      <c r="DO3" s="64"/>
      <c r="DP3" s="64"/>
      <c r="DQ3" s="64"/>
      <c r="DR3" s="64"/>
      <c r="DS3" s="64"/>
      <c r="DT3" s="64"/>
      <c r="DU3" s="64"/>
      <c r="DV3" s="64"/>
      <c r="DW3" s="64"/>
      <c r="DX3" s="64"/>
      <c r="DY3" s="65"/>
      <c r="DZ3" s="66">
        <v>13</v>
      </c>
      <c r="EA3" s="61"/>
      <c r="EB3" s="61"/>
      <c r="EC3" s="61"/>
      <c r="ED3" s="61"/>
      <c r="EE3" s="61"/>
      <c r="EF3" s="61"/>
      <c r="EG3" s="61"/>
      <c r="EH3" s="61"/>
      <c r="EI3" s="61"/>
      <c r="EJ3" s="61"/>
      <c r="EK3" s="61"/>
      <c r="EL3" s="61"/>
      <c r="EM3" s="61"/>
      <c r="EN3" s="61"/>
      <c r="EO3" s="62"/>
      <c r="EP3" s="60">
        <v>13</v>
      </c>
      <c r="EQ3" s="61"/>
      <c r="ER3" s="61"/>
      <c r="ES3" s="61"/>
      <c r="ET3" s="61"/>
      <c r="EU3" s="61"/>
      <c r="EV3" s="61"/>
      <c r="EW3" s="61"/>
      <c r="EX3" s="61"/>
      <c r="EY3" s="61"/>
      <c r="EZ3" s="61"/>
      <c r="FA3" s="61"/>
      <c r="FB3" s="61"/>
      <c r="FC3" s="61"/>
      <c r="FD3" s="61"/>
      <c r="FE3" s="62"/>
      <c r="FF3" s="60">
        <v>13</v>
      </c>
      <c r="FG3" s="61"/>
      <c r="FH3" s="61"/>
      <c r="FI3" s="61"/>
      <c r="FJ3" s="61"/>
      <c r="FK3" s="61"/>
      <c r="FL3" s="61"/>
      <c r="FM3" s="61"/>
      <c r="FN3" s="61"/>
      <c r="FO3" s="61"/>
      <c r="FP3" s="61"/>
      <c r="FQ3" s="61"/>
      <c r="FR3" s="61"/>
      <c r="FS3" s="61"/>
      <c r="FT3" s="61"/>
      <c r="FU3" s="62"/>
      <c r="FV3" s="60">
        <v>13</v>
      </c>
      <c r="FW3" s="61"/>
      <c r="FX3" s="61"/>
      <c r="FY3" s="61"/>
      <c r="FZ3" s="61"/>
      <c r="GA3" s="61"/>
      <c r="GB3" s="61"/>
      <c r="GC3" s="61"/>
      <c r="GD3" s="61"/>
      <c r="GE3" s="61"/>
      <c r="GF3" s="61"/>
      <c r="GG3" s="61"/>
      <c r="GH3" s="61"/>
      <c r="GI3" s="61"/>
      <c r="GJ3" s="61"/>
      <c r="GK3" s="62"/>
      <c r="GL3" s="60">
        <v>17</v>
      </c>
      <c r="GM3" s="61"/>
      <c r="GN3" s="61"/>
      <c r="GO3" s="61"/>
      <c r="GP3" s="61"/>
      <c r="GQ3" s="61"/>
      <c r="GR3" s="61"/>
      <c r="GS3" s="61"/>
      <c r="GT3" s="61"/>
      <c r="GU3" s="61"/>
      <c r="GV3" s="61"/>
      <c r="GW3" s="61"/>
      <c r="GX3" s="61"/>
      <c r="GY3" s="61"/>
      <c r="GZ3" s="61"/>
      <c r="HA3" s="62"/>
      <c r="HB3" s="60">
        <v>17</v>
      </c>
      <c r="HC3" s="61"/>
      <c r="HD3" s="61"/>
      <c r="HE3" s="61"/>
      <c r="HF3" s="61"/>
      <c r="HG3" s="61"/>
      <c r="HH3" s="61"/>
      <c r="HI3" s="61"/>
      <c r="HJ3" s="61"/>
      <c r="HK3" s="61"/>
      <c r="HL3" s="61"/>
      <c r="HM3" s="61"/>
      <c r="HN3" s="61"/>
      <c r="HO3" s="61"/>
      <c r="HP3" s="61"/>
      <c r="HQ3" s="62"/>
      <c r="HR3" s="60">
        <v>17</v>
      </c>
      <c r="HS3" s="61"/>
      <c r="HT3" s="61"/>
      <c r="HU3" s="61"/>
      <c r="HV3" s="61"/>
      <c r="HW3" s="61"/>
      <c r="HX3" s="61"/>
      <c r="HY3" s="61"/>
      <c r="HZ3" s="61"/>
      <c r="IA3" s="61"/>
      <c r="IB3" s="61"/>
      <c r="IC3" s="61"/>
      <c r="ID3" s="61"/>
      <c r="IE3" s="61"/>
      <c r="IF3" s="61"/>
      <c r="IG3" s="62"/>
      <c r="IH3" s="60">
        <v>17</v>
      </c>
      <c r="II3" s="61"/>
      <c r="IJ3" s="61"/>
      <c r="IK3" s="61"/>
      <c r="IL3" s="61"/>
      <c r="IM3" s="61"/>
      <c r="IN3" s="61"/>
      <c r="IO3" s="61"/>
      <c r="IP3" s="61"/>
      <c r="IQ3" s="61"/>
      <c r="IR3" s="61"/>
      <c r="IS3" s="61"/>
      <c r="IT3" s="61"/>
      <c r="IU3" s="61"/>
      <c r="IV3" s="61"/>
      <c r="IW3" s="62"/>
    </row>
    <row r="4" spans="1:257" x14ac:dyDescent="0.2">
      <c r="A4" s="4"/>
      <c r="B4" s="58" t="s">
        <v>27</v>
      </c>
      <c r="C4" s="58"/>
      <c r="D4" s="58"/>
      <c r="E4" s="58"/>
      <c r="F4" s="58"/>
      <c r="G4" s="58"/>
      <c r="H4" s="58"/>
      <c r="I4" s="58"/>
      <c r="J4" s="59" t="s">
        <v>28</v>
      </c>
      <c r="K4" s="59"/>
      <c r="L4" s="59"/>
      <c r="M4" s="59"/>
      <c r="N4" s="59"/>
      <c r="O4" s="59"/>
      <c r="P4" s="59"/>
      <c r="Q4" s="59"/>
      <c r="R4" s="58" t="s">
        <v>27</v>
      </c>
      <c r="S4" s="58"/>
      <c r="T4" s="58"/>
      <c r="U4" s="58"/>
      <c r="V4" s="58"/>
      <c r="W4" s="58"/>
      <c r="X4" s="58"/>
      <c r="Y4" s="58"/>
      <c r="Z4" s="59" t="s">
        <v>28</v>
      </c>
      <c r="AA4" s="59"/>
      <c r="AB4" s="59"/>
      <c r="AC4" s="59"/>
      <c r="AD4" s="59"/>
      <c r="AE4" s="59"/>
      <c r="AF4" s="59"/>
      <c r="AG4" s="59"/>
      <c r="AH4" s="58" t="s">
        <v>27</v>
      </c>
      <c r="AI4" s="58"/>
      <c r="AJ4" s="58"/>
      <c r="AK4" s="58"/>
      <c r="AL4" s="58"/>
      <c r="AM4" s="58"/>
      <c r="AN4" s="58"/>
      <c r="AO4" s="58"/>
      <c r="AP4" s="59" t="s">
        <v>28</v>
      </c>
      <c r="AQ4" s="59"/>
      <c r="AR4" s="59"/>
      <c r="AS4" s="59"/>
      <c r="AT4" s="59"/>
      <c r="AU4" s="59"/>
      <c r="AV4" s="59"/>
      <c r="AW4" s="59"/>
      <c r="AX4" s="58" t="s">
        <v>27</v>
      </c>
      <c r="AY4" s="58"/>
      <c r="AZ4" s="58"/>
      <c r="BA4" s="58"/>
      <c r="BB4" s="58"/>
      <c r="BC4" s="58"/>
      <c r="BD4" s="58"/>
      <c r="BE4" s="58"/>
      <c r="BF4" s="59" t="s">
        <v>28</v>
      </c>
      <c r="BG4" s="59"/>
      <c r="BH4" s="59"/>
      <c r="BI4" s="59"/>
      <c r="BJ4" s="59"/>
      <c r="BK4" s="59"/>
      <c r="BL4" s="59"/>
      <c r="BM4" s="59"/>
      <c r="BN4" s="58" t="s">
        <v>27</v>
      </c>
      <c r="BO4" s="58"/>
      <c r="BP4" s="58"/>
      <c r="BQ4" s="58"/>
      <c r="BR4" s="58"/>
      <c r="BS4" s="58"/>
      <c r="BT4" s="58"/>
      <c r="BU4" s="58"/>
      <c r="BV4" s="59" t="s">
        <v>28</v>
      </c>
      <c r="BW4" s="59"/>
      <c r="BX4" s="59"/>
      <c r="BY4" s="59"/>
      <c r="BZ4" s="59"/>
      <c r="CA4" s="59"/>
      <c r="CB4" s="59"/>
      <c r="CC4" s="59"/>
      <c r="CD4" s="58" t="s">
        <v>27</v>
      </c>
      <c r="CE4" s="58"/>
      <c r="CF4" s="58"/>
      <c r="CG4" s="58"/>
      <c r="CH4" s="58"/>
      <c r="CI4" s="58"/>
      <c r="CJ4" s="58"/>
      <c r="CK4" s="58"/>
      <c r="CL4" s="59" t="s">
        <v>28</v>
      </c>
      <c r="CM4" s="59"/>
      <c r="CN4" s="59"/>
      <c r="CO4" s="59"/>
      <c r="CP4" s="59"/>
      <c r="CQ4" s="59"/>
      <c r="CR4" s="59"/>
      <c r="CS4" s="59"/>
      <c r="CT4" s="58" t="s">
        <v>27</v>
      </c>
      <c r="CU4" s="58"/>
      <c r="CV4" s="58"/>
      <c r="CW4" s="58"/>
      <c r="CX4" s="58"/>
      <c r="CY4" s="58"/>
      <c r="CZ4" s="58"/>
      <c r="DA4" s="58"/>
      <c r="DB4" s="59" t="s">
        <v>28</v>
      </c>
      <c r="DC4" s="59"/>
      <c r="DD4" s="59"/>
      <c r="DE4" s="59"/>
      <c r="DF4" s="59"/>
      <c r="DG4" s="59"/>
      <c r="DH4" s="59"/>
      <c r="DI4" s="59"/>
      <c r="DJ4" s="58" t="s">
        <v>27</v>
      </c>
      <c r="DK4" s="58"/>
      <c r="DL4" s="58"/>
      <c r="DM4" s="58"/>
      <c r="DN4" s="58"/>
      <c r="DO4" s="58"/>
      <c r="DP4" s="58"/>
      <c r="DQ4" s="58"/>
      <c r="DR4" s="59" t="s">
        <v>28</v>
      </c>
      <c r="DS4" s="59"/>
      <c r="DT4" s="59"/>
      <c r="DU4" s="59"/>
      <c r="DV4" s="59"/>
      <c r="DW4" s="59"/>
      <c r="DX4" s="59"/>
      <c r="DY4" s="59"/>
      <c r="DZ4" s="58" t="s">
        <v>27</v>
      </c>
      <c r="EA4" s="58"/>
      <c r="EB4" s="58"/>
      <c r="EC4" s="58"/>
      <c r="ED4" s="58"/>
      <c r="EE4" s="58"/>
      <c r="EF4" s="58"/>
      <c r="EG4" s="58"/>
      <c r="EH4" s="59" t="s">
        <v>28</v>
      </c>
      <c r="EI4" s="59"/>
      <c r="EJ4" s="59"/>
      <c r="EK4" s="59"/>
      <c r="EL4" s="59"/>
      <c r="EM4" s="59"/>
      <c r="EN4" s="59"/>
      <c r="EO4" s="59"/>
      <c r="EP4" s="58" t="s">
        <v>27</v>
      </c>
      <c r="EQ4" s="58"/>
      <c r="ER4" s="58"/>
      <c r="ES4" s="58"/>
      <c r="ET4" s="58"/>
      <c r="EU4" s="58"/>
      <c r="EV4" s="58"/>
      <c r="EW4" s="58"/>
      <c r="EX4" s="59" t="s">
        <v>28</v>
      </c>
      <c r="EY4" s="59"/>
      <c r="EZ4" s="59"/>
      <c r="FA4" s="59"/>
      <c r="FB4" s="59"/>
      <c r="FC4" s="59"/>
      <c r="FD4" s="59"/>
      <c r="FE4" s="59"/>
      <c r="FF4" s="58" t="s">
        <v>27</v>
      </c>
      <c r="FG4" s="58"/>
      <c r="FH4" s="58"/>
      <c r="FI4" s="58"/>
      <c r="FJ4" s="58"/>
      <c r="FK4" s="58"/>
      <c r="FL4" s="58"/>
      <c r="FM4" s="58"/>
      <c r="FN4" s="59" t="s">
        <v>28</v>
      </c>
      <c r="FO4" s="59"/>
      <c r="FP4" s="59"/>
      <c r="FQ4" s="59"/>
      <c r="FR4" s="59"/>
      <c r="FS4" s="59"/>
      <c r="FT4" s="59"/>
      <c r="FU4" s="59"/>
      <c r="FV4" s="58" t="s">
        <v>27</v>
      </c>
      <c r="FW4" s="58"/>
      <c r="FX4" s="58"/>
      <c r="FY4" s="58"/>
      <c r="FZ4" s="58"/>
      <c r="GA4" s="58"/>
      <c r="GB4" s="58"/>
      <c r="GC4" s="58"/>
      <c r="GD4" s="59" t="s">
        <v>28</v>
      </c>
      <c r="GE4" s="59"/>
      <c r="GF4" s="59"/>
      <c r="GG4" s="59"/>
      <c r="GH4" s="59"/>
      <c r="GI4" s="59"/>
      <c r="GJ4" s="59"/>
      <c r="GK4" s="59"/>
      <c r="GL4" s="58" t="s">
        <v>27</v>
      </c>
      <c r="GM4" s="58"/>
      <c r="GN4" s="58"/>
      <c r="GO4" s="58"/>
      <c r="GP4" s="58"/>
      <c r="GQ4" s="58"/>
      <c r="GR4" s="58"/>
      <c r="GS4" s="58"/>
      <c r="GT4" s="59" t="s">
        <v>28</v>
      </c>
      <c r="GU4" s="59"/>
      <c r="GV4" s="59"/>
      <c r="GW4" s="59"/>
      <c r="GX4" s="59"/>
      <c r="GY4" s="59"/>
      <c r="GZ4" s="59"/>
      <c r="HA4" s="59"/>
      <c r="HB4" s="58" t="s">
        <v>27</v>
      </c>
      <c r="HC4" s="58"/>
      <c r="HD4" s="58"/>
      <c r="HE4" s="58"/>
      <c r="HF4" s="58"/>
      <c r="HG4" s="58"/>
      <c r="HH4" s="58"/>
      <c r="HI4" s="58"/>
      <c r="HJ4" s="59" t="s">
        <v>28</v>
      </c>
      <c r="HK4" s="59"/>
      <c r="HL4" s="59"/>
      <c r="HM4" s="59"/>
      <c r="HN4" s="59"/>
      <c r="HO4" s="59"/>
      <c r="HP4" s="59"/>
      <c r="HQ4" s="59"/>
      <c r="HR4" s="58" t="s">
        <v>27</v>
      </c>
      <c r="HS4" s="58"/>
      <c r="HT4" s="58"/>
      <c r="HU4" s="58"/>
      <c r="HV4" s="58"/>
      <c r="HW4" s="58"/>
      <c r="HX4" s="58"/>
      <c r="HY4" s="58"/>
      <c r="HZ4" s="59" t="s">
        <v>28</v>
      </c>
      <c r="IA4" s="59"/>
      <c r="IB4" s="59"/>
      <c r="IC4" s="59"/>
      <c r="ID4" s="59"/>
      <c r="IE4" s="59"/>
      <c r="IF4" s="59"/>
      <c r="IG4" s="59"/>
      <c r="IH4" s="58" t="s">
        <v>27</v>
      </c>
      <c r="II4" s="58"/>
      <c r="IJ4" s="58"/>
      <c r="IK4" s="58"/>
      <c r="IL4" s="58"/>
      <c r="IM4" s="58"/>
      <c r="IN4" s="58"/>
      <c r="IO4" s="58"/>
      <c r="IP4" s="59" t="s">
        <v>28</v>
      </c>
      <c r="IQ4" s="59"/>
      <c r="IR4" s="59"/>
      <c r="IS4" s="59"/>
      <c r="IT4" s="59"/>
      <c r="IU4" s="59"/>
      <c r="IV4" s="59"/>
      <c r="IW4" s="59"/>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9"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8"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5"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9"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5"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9"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5"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9"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9"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9"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ref="CU6:DA9" si="40">CE6</f>
        <v>10</v>
      </c>
      <c r="CV6" s="2">
        <f t="shared" si="40"/>
        <v>10</v>
      </c>
      <c r="CW6" s="2">
        <f t="shared" si="40"/>
        <v>40</v>
      </c>
      <c r="CX6" s="2">
        <f t="shared" si="40"/>
        <v>40</v>
      </c>
      <c r="CY6" s="2">
        <f t="shared" si="40"/>
        <v>40</v>
      </c>
      <c r="CZ6" s="2">
        <f t="shared" si="40"/>
        <v>40</v>
      </c>
      <c r="DA6" s="2">
        <f t="shared" si="40"/>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9" si="41">CT6</f>
        <v>10</v>
      </c>
      <c r="DK6" s="2">
        <f t="shared" ref="DK6:DK9" si="42">CU6</f>
        <v>10</v>
      </c>
      <c r="DL6" s="2">
        <f t="shared" ref="DL6:DL9" si="43">CV6</f>
        <v>10</v>
      </c>
      <c r="DM6" s="2">
        <f t="shared" ref="DM6:DM9" si="44">CW6</f>
        <v>40</v>
      </c>
      <c r="DN6" s="2">
        <f t="shared" ref="DN6:DN9" si="45">CX6</f>
        <v>40</v>
      </c>
      <c r="DO6" s="2">
        <f t="shared" ref="DO6:DO9" si="46">CY6</f>
        <v>40</v>
      </c>
      <c r="DP6" s="2">
        <f t="shared" ref="DP6:DP9" si="47">CZ6</f>
        <v>40</v>
      </c>
      <c r="DQ6" s="2">
        <f t="shared" ref="DQ6:DQ9" si="48">DA6</f>
        <v>20</v>
      </c>
      <c r="DR6" s="3">
        <f t="shared" ref="DR6:DR9" si="49">DB6</f>
        <v>0</v>
      </c>
      <c r="DS6" s="3">
        <f t="shared" ref="DS6:DS9" si="50">DC6</f>
        <v>0</v>
      </c>
      <c r="DT6" s="3">
        <f t="shared" ref="DT6:DT9" si="51">DD6</f>
        <v>0</v>
      </c>
      <c r="DU6" s="3">
        <f t="shared" ref="DU6:DU9" si="52">DE6</f>
        <v>0</v>
      </c>
      <c r="DV6" s="3">
        <f t="shared" ref="DV6:DV9" si="53">DF6</f>
        <v>0</v>
      </c>
      <c r="DW6" s="3">
        <f t="shared" ref="DW6:DW9" si="54">DG6</f>
        <v>0</v>
      </c>
      <c r="DX6" s="3">
        <f t="shared" ref="DX6:DX9" si="55">DH6</f>
        <v>0</v>
      </c>
      <c r="DY6" s="3">
        <f t="shared" ref="DY6:DY9" si="56">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9" si="57">DZ6</f>
        <v>10</v>
      </c>
      <c r="EQ6" s="2">
        <f t="shared" si="26"/>
        <v>10</v>
      </c>
      <c r="ER6" s="2">
        <f t="shared" si="26"/>
        <v>10</v>
      </c>
      <c r="ES6" s="2">
        <f t="shared" si="26"/>
        <v>40</v>
      </c>
      <c r="ET6" s="2">
        <f t="shared" si="26"/>
        <v>40</v>
      </c>
      <c r="EU6" s="2">
        <f t="shared" si="26"/>
        <v>40</v>
      </c>
      <c r="EV6" s="2">
        <f t="shared" si="26"/>
        <v>40</v>
      </c>
      <c r="EW6" s="2">
        <f t="shared" si="26"/>
        <v>20</v>
      </c>
      <c r="EX6" s="3">
        <f t="shared" ref="EX6:EX9" si="58">EH6</f>
        <v>0</v>
      </c>
      <c r="EY6" s="3">
        <f t="shared" si="27"/>
        <v>0</v>
      </c>
      <c r="EZ6" s="3">
        <f t="shared" si="27"/>
        <v>0</v>
      </c>
      <c r="FA6" s="3">
        <f t="shared" si="27"/>
        <v>0</v>
      </c>
      <c r="FB6" s="3">
        <f t="shared" si="27"/>
        <v>0</v>
      </c>
      <c r="FC6" s="3">
        <f t="shared" si="27"/>
        <v>0</v>
      </c>
      <c r="FD6" s="3">
        <f t="shared" si="27"/>
        <v>0</v>
      </c>
      <c r="FE6" s="3">
        <f t="shared" si="27"/>
        <v>0</v>
      </c>
      <c r="FF6" s="2">
        <f t="shared" ref="FF6:FF9" si="59">EP6</f>
        <v>10</v>
      </c>
      <c r="FG6" s="2">
        <f t="shared" ref="FG6:FG9" si="60">EQ6</f>
        <v>10</v>
      </c>
      <c r="FH6" s="2">
        <f t="shared" ref="FH6:FH9" si="61">ER6</f>
        <v>10</v>
      </c>
      <c r="FI6" s="2">
        <f t="shared" ref="FI6:FI9" si="62">ES6</f>
        <v>40</v>
      </c>
      <c r="FJ6" s="2">
        <f t="shared" ref="FJ6:FJ9" si="63">ET6</f>
        <v>40</v>
      </c>
      <c r="FK6" s="2">
        <f t="shared" ref="FK6:FK9" si="64">EU6</f>
        <v>40</v>
      </c>
      <c r="FL6" s="2">
        <f t="shared" ref="FL6:FL9" si="65">EV6</f>
        <v>40</v>
      </c>
      <c r="FM6" s="2">
        <f t="shared" ref="FM6:FM9" si="66">EW6</f>
        <v>20</v>
      </c>
      <c r="FN6" s="3">
        <f t="shared" ref="FN6:FN9" si="67">EX6</f>
        <v>0</v>
      </c>
      <c r="FO6" s="3">
        <f t="shared" ref="FO6:FO9" si="68">EY6</f>
        <v>0</v>
      </c>
      <c r="FP6" s="3">
        <f t="shared" ref="FP6:FP9" si="69">EZ6</f>
        <v>0</v>
      </c>
      <c r="FQ6" s="3">
        <f t="shared" ref="FQ6:FQ9" si="70">FA6</f>
        <v>0</v>
      </c>
      <c r="FR6" s="3">
        <f t="shared" ref="FR6:FR9" si="71">FB6</f>
        <v>0</v>
      </c>
      <c r="FS6" s="3">
        <f t="shared" ref="FS6:FS9" si="72">FC6</f>
        <v>0</v>
      </c>
      <c r="FT6" s="3">
        <f t="shared" ref="FT6:FT9" si="73">FD6</f>
        <v>0</v>
      </c>
      <c r="FU6" s="3">
        <f t="shared" ref="FU6:FU9" si="74">FE6</f>
        <v>0</v>
      </c>
      <c r="FV6" s="2">
        <f t="shared" ref="FV6:FV9" si="75">FF6</f>
        <v>10</v>
      </c>
      <c r="FW6" s="2">
        <f t="shared" si="30"/>
        <v>10</v>
      </c>
      <c r="FX6" s="2">
        <f t="shared" si="30"/>
        <v>10</v>
      </c>
      <c r="FY6" s="2">
        <f t="shared" si="30"/>
        <v>40</v>
      </c>
      <c r="FZ6" s="2">
        <f t="shared" si="30"/>
        <v>40</v>
      </c>
      <c r="GA6" s="2">
        <f t="shared" si="30"/>
        <v>40</v>
      </c>
      <c r="GB6" s="2">
        <f t="shared" si="30"/>
        <v>40</v>
      </c>
      <c r="GC6" s="2">
        <f t="shared" si="30"/>
        <v>20</v>
      </c>
      <c r="GD6" s="3">
        <f t="shared" ref="GD6:GD9" si="76">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ref="HC6:HI9" si="77">GM6</f>
        <v>10</v>
      </c>
      <c r="HD6" s="2">
        <f t="shared" si="77"/>
        <v>10</v>
      </c>
      <c r="HE6" s="2">
        <f t="shared" si="77"/>
        <v>40</v>
      </c>
      <c r="HF6" s="2">
        <f t="shared" si="77"/>
        <v>40</v>
      </c>
      <c r="HG6" s="2">
        <f t="shared" si="77"/>
        <v>40</v>
      </c>
      <c r="HH6" s="2">
        <f t="shared" si="77"/>
        <v>40</v>
      </c>
      <c r="HI6" s="2">
        <f t="shared" si="77"/>
        <v>20</v>
      </c>
      <c r="HJ6" s="3">
        <f t="shared" ref="HJ6:HJ9" si="78">GT6</f>
        <v>0</v>
      </c>
      <c r="HK6" s="3">
        <f t="shared" ref="HK6:HK9" si="79">GU6</f>
        <v>0</v>
      </c>
      <c r="HL6" s="3">
        <f t="shared" ref="HL6:HL9" si="80">GV6</f>
        <v>0</v>
      </c>
      <c r="HM6" s="3">
        <f t="shared" ref="HM6:HM9" si="81">GW6</f>
        <v>0</v>
      </c>
      <c r="HN6" s="3">
        <f t="shared" ref="HN6:HN9" si="82">GX6</f>
        <v>0</v>
      </c>
      <c r="HO6" s="3">
        <f t="shared" ref="HO6:HO9" si="83">GY6</f>
        <v>0</v>
      </c>
      <c r="HP6" s="3">
        <f t="shared" ref="HP6:HP9" si="84">GZ6</f>
        <v>0</v>
      </c>
      <c r="HQ6" s="3">
        <f t="shared" ref="HQ6:HQ9" si="85">HA6</f>
        <v>0</v>
      </c>
      <c r="HR6" s="2">
        <f t="shared" ref="HR6:HR9" si="86">HB6</f>
        <v>10</v>
      </c>
      <c r="HS6" s="2">
        <f t="shared" si="34"/>
        <v>10</v>
      </c>
      <c r="HT6" s="2">
        <f t="shared" si="34"/>
        <v>10</v>
      </c>
      <c r="HU6" s="2">
        <f t="shared" si="34"/>
        <v>40</v>
      </c>
      <c r="HV6" s="2">
        <f t="shared" si="34"/>
        <v>40</v>
      </c>
      <c r="HW6" s="2">
        <f t="shared" si="34"/>
        <v>40</v>
      </c>
      <c r="HX6" s="2">
        <f t="shared" si="34"/>
        <v>40</v>
      </c>
      <c r="HY6" s="2">
        <f t="shared" si="34"/>
        <v>20</v>
      </c>
      <c r="HZ6" s="3">
        <f t="shared" ref="HZ6:HZ9" si="87">HJ6</f>
        <v>0</v>
      </c>
      <c r="IA6" s="3">
        <f t="shared" si="35"/>
        <v>0</v>
      </c>
      <c r="IB6" s="3">
        <f t="shared" si="35"/>
        <v>0</v>
      </c>
      <c r="IC6" s="3">
        <f t="shared" si="35"/>
        <v>0</v>
      </c>
      <c r="ID6" s="3">
        <f t="shared" si="35"/>
        <v>0</v>
      </c>
      <c r="IE6" s="3">
        <f t="shared" si="35"/>
        <v>0</v>
      </c>
      <c r="IF6" s="3">
        <f t="shared" si="35"/>
        <v>0</v>
      </c>
      <c r="IG6" s="3">
        <f t="shared" si="35"/>
        <v>0</v>
      </c>
      <c r="IH6" s="2">
        <f t="shared" ref="IH6:IH9" si="88">HR6</f>
        <v>10</v>
      </c>
      <c r="II6" s="2">
        <f t="shared" si="36"/>
        <v>10</v>
      </c>
      <c r="IJ6" s="2">
        <f t="shared" si="36"/>
        <v>10</v>
      </c>
      <c r="IK6" s="2">
        <f t="shared" si="36"/>
        <v>40</v>
      </c>
      <c r="IL6" s="2">
        <f t="shared" si="36"/>
        <v>40</v>
      </c>
      <c r="IM6" s="2">
        <f t="shared" si="36"/>
        <v>40</v>
      </c>
      <c r="IN6" s="2">
        <f t="shared" si="36"/>
        <v>40</v>
      </c>
      <c r="IO6" s="2">
        <f t="shared" si="36"/>
        <v>20</v>
      </c>
      <c r="IP6" s="3">
        <f t="shared" ref="IP6:IP9" si="89">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50</v>
      </c>
      <c r="F7" s="2">
        <f>'Demand Stage 2'!F6</f>
        <v>50</v>
      </c>
      <c r="G7" s="2">
        <f>'Demand Stage 2'!G6</f>
        <v>40</v>
      </c>
      <c r="H7" s="2">
        <f>'Demand Stage 2'!H6</f>
        <v>50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50</v>
      </c>
      <c r="V7" s="2">
        <f>'Demand Stage 2'!F6</f>
        <v>50</v>
      </c>
      <c r="W7" s="2">
        <f>'Demand Stage 2'!G6</f>
        <v>40</v>
      </c>
      <c r="X7" s="2">
        <f>'Demand Stage 2'!H6</f>
        <v>50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50</v>
      </c>
      <c r="AL7" s="2">
        <f>'Demand Stage 2'!F6</f>
        <v>50</v>
      </c>
      <c r="AM7" s="2">
        <f>'Demand Stage 2'!G6</f>
        <v>40</v>
      </c>
      <c r="AN7" s="2">
        <f>'Demand Stage 2'!H6</f>
        <v>50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50</v>
      </c>
      <c r="BB7" s="2">
        <f>'Demand Stage 2'!F6</f>
        <v>50</v>
      </c>
      <c r="BC7" s="2">
        <f>'Demand Stage 2'!G6</f>
        <v>40</v>
      </c>
      <c r="BD7" s="2">
        <f>'Demand Stage 2'!H6</f>
        <v>50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50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50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9" si="90">CD7</f>
        <v>10</v>
      </c>
      <c r="CU7" s="2">
        <f t="shared" si="40"/>
        <v>10</v>
      </c>
      <c r="CV7" s="2">
        <f t="shared" si="40"/>
        <v>10</v>
      </c>
      <c r="CW7" s="2">
        <f t="shared" si="40"/>
        <v>40</v>
      </c>
      <c r="CX7" s="2">
        <f t="shared" si="40"/>
        <v>40</v>
      </c>
      <c r="CY7" s="2">
        <f t="shared" si="40"/>
        <v>40</v>
      </c>
      <c r="CZ7" s="2">
        <f t="shared" si="40"/>
        <v>50</v>
      </c>
      <c r="DA7" s="2">
        <f t="shared" si="40"/>
        <v>20</v>
      </c>
      <c r="DB7" s="3">
        <f t="shared" si="16"/>
        <v>0</v>
      </c>
      <c r="DC7" s="3">
        <f t="shared" si="17"/>
        <v>0</v>
      </c>
      <c r="DD7" s="3">
        <f t="shared" si="18"/>
        <v>0</v>
      </c>
      <c r="DE7" s="3">
        <f t="shared" si="19"/>
        <v>0</v>
      </c>
      <c r="DF7" s="3">
        <f t="shared" si="20"/>
        <v>0</v>
      </c>
      <c r="DG7" s="3">
        <f t="shared" si="21"/>
        <v>0</v>
      </c>
      <c r="DH7" s="3">
        <f t="shared" si="22"/>
        <v>0</v>
      </c>
      <c r="DI7" s="3">
        <f t="shared" si="23"/>
        <v>0</v>
      </c>
      <c r="DJ7" s="2">
        <f t="shared" si="41"/>
        <v>10</v>
      </c>
      <c r="DK7" s="2">
        <f t="shared" si="42"/>
        <v>10</v>
      </c>
      <c r="DL7" s="2">
        <f t="shared" si="43"/>
        <v>10</v>
      </c>
      <c r="DM7" s="2">
        <f t="shared" si="44"/>
        <v>40</v>
      </c>
      <c r="DN7" s="2">
        <f t="shared" si="45"/>
        <v>40</v>
      </c>
      <c r="DO7" s="2">
        <f t="shared" si="46"/>
        <v>40</v>
      </c>
      <c r="DP7" s="2">
        <f t="shared" si="47"/>
        <v>50</v>
      </c>
      <c r="DQ7" s="2">
        <f t="shared" si="48"/>
        <v>20</v>
      </c>
      <c r="DR7" s="3">
        <f t="shared" si="49"/>
        <v>0</v>
      </c>
      <c r="DS7" s="3">
        <f t="shared" si="50"/>
        <v>0</v>
      </c>
      <c r="DT7" s="3">
        <f t="shared" si="51"/>
        <v>0</v>
      </c>
      <c r="DU7" s="3">
        <f t="shared" si="52"/>
        <v>0</v>
      </c>
      <c r="DV7" s="3">
        <f t="shared" si="53"/>
        <v>0</v>
      </c>
      <c r="DW7" s="3">
        <f t="shared" si="54"/>
        <v>0</v>
      </c>
      <c r="DX7" s="3">
        <f t="shared" si="55"/>
        <v>0</v>
      </c>
      <c r="DY7" s="3">
        <f t="shared" si="56"/>
        <v>0</v>
      </c>
      <c r="DZ7" s="2">
        <f>'Demand Stage 2'!AH6</f>
        <v>10</v>
      </c>
      <c r="EA7" s="2">
        <f>'Demand Stage 2'!AI6</f>
        <v>10</v>
      </c>
      <c r="EB7" s="2">
        <f>'Demand Stage 2'!AJ6</f>
        <v>10</v>
      </c>
      <c r="EC7" s="2">
        <f>'Demand Stage 2'!AK6</f>
        <v>50</v>
      </c>
      <c r="ED7" s="2">
        <f>'Demand Stage 2'!AL6</f>
        <v>50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57"/>
        <v>10</v>
      </c>
      <c r="EQ7" s="2">
        <f t="shared" si="26"/>
        <v>10</v>
      </c>
      <c r="ER7" s="2">
        <f t="shared" si="26"/>
        <v>10</v>
      </c>
      <c r="ES7" s="2">
        <f t="shared" si="26"/>
        <v>50</v>
      </c>
      <c r="ET7" s="2">
        <f t="shared" si="26"/>
        <v>50</v>
      </c>
      <c r="EU7" s="2">
        <f t="shared" si="26"/>
        <v>40</v>
      </c>
      <c r="EV7" s="2">
        <f t="shared" si="26"/>
        <v>40</v>
      </c>
      <c r="EW7" s="2">
        <f t="shared" si="26"/>
        <v>20</v>
      </c>
      <c r="EX7" s="3">
        <f t="shared" si="58"/>
        <v>0</v>
      </c>
      <c r="EY7" s="3">
        <f t="shared" si="27"/>
        <v>0</v>
      </c>
      <c r="EZ7" s="3">
        <f t="shared" si="27"/>
        <v>0</v>
      </c>
      <c r="FA7" s="3">
        <f t="shared" si="27"/>
        <v>0</v>
      </c>
      <c r="FB7" s="3">
        <f t="shared" si="27"/>
        <v>0</v>
      </c>
      <c r="FC7" s="3">
        <f t="shared" si="27"/>
        <v>0</v>
      </c>
      <c r="FD7" s="3">
        <f t="shared" si="27"/>
        <v>0</v>
      </c>
      <c r="FE7" s="3">
        <f t="shared" si="27"/>
        <v>0</v>
      </c>
      <c r="FF7" s="2">
        <f t="shared" si="59"/>
        <v>10</v>
      </c>
      <c r="FG7" s="2">
        <f t="shared" si="60"/>
        <v>10</v>
      </c>
      <c r="FH7" s="2">
        <f t="shared" si="61"/>
        <v>10</v>
      </c>
      <c r="FI7" s="2">
        <f t="shared" si="62"/>
        <v>50</v>
      </c>
      <c r="FJ7" s="2">
        <f t="shared" si="63"/>
        <v>50</v>
      </c>
      <c r="FK7" s="2">
        <f t="shared" si="64"/>
        <v>40</v>
      </c>
      <c r="FL7" s="2">
        <f t="shared" si="65"/>
        <v>40</v>
      </c>
      <c r="FM7" s="2">
        <f t="shared" si="66"/>
        <v>20</v>
      </c>
      <c r="FN7" s="3">
        <f t="shared" si="67"/>
        <v>0</v>
      </c>
      <c r="FO7" s="3">
        <f t="shared" si="68"/>
        <v>0</v>
      </c>
      <c r="FP7" s="3">
        <f t="shared" si="69"/>
        <v>0</v>
      </c>
      <c r="FQ7" s="3">
        <f t="shared" si="70"/>
        <v>0</v>
      </c>
      <c r="FR7" s="3">
        <f t="shared" si="71"/>
        <v>0</v>
      </c>
      <c r="FS7" s="3">
        <f t="shared" si="72"/>
        <v>0</v>
      </c>
      <c r="FT7" s="3">
        <f t="shared" si="73"/>
        <v>0</v>
      </c>
      <c r="FU7" s="3">
        <f t="shared" si="74"/>
        <v>0</v>
      </c>
      <c r="FV7" s="2">
        <f t="shared" si="75"/>
        <v>10</v>
      </c>
      <c r="FW7" s="2">
        <f t="shared" si="30"/>
        <v>10</v>
      </c>
      <c r="FX7" s="2">
        <f t="shared" si="30"/>
        <v>10</v>
      </c>
      <c r="FY7" s="2">
        <f t="shared" si="30"/>
        <v>50</v>
      </c>
      <c r="FZ7" s="2">
        <f t="shared" si="30"/>
        <v>50</v>
      </c>
      <c r="GA7" s="2">
        <f t="shared" si="30"/>
        <v>40</v>
      </c>
      <c r="GB7" s="2">
        <f t="shared" si="30"/>
        <v>40</v>
      </c>
      <c r="GC7" s="2">
        <f t="shared" si="30"/>
        <v>20</v>
      </c>
      <c r="GD7" s="3">
        <f t="shared" si="76"/>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9" si="91">GL7</f>
        <v>10</v>
      </c>
      <c r="HC7" s="2">
        <f t="shared" si="77"/>
        <v>10</v>
      </c>
      <c r="HD7" s="2">
        <f t="shared" si="77"/>
        <v>10</v>
      </c>
      <c r="HE7" s="2">
        <f t="shared" si="77"/>
        <v>40</v>
      </c>
      <c r="HF7" s="2">
        <f t="shared" si="77"/>
        <v>40</v>
      </c>
      <c r="HG7" s="2">
        <f t="shared" si="77"/>
        <v>40</v>
      </c>
      <c r="HH7" s="2">
        <f t="shared" si="77"/>
        <v>40</v>
      </c>
      <c r="HI7" s="2">
        <f t="shared" si="77"/>
        <v>20</v>
      </c>
      <c r="HJ7" s="3">
        <f t="shared" si="78"/>
        <v>0</v>
      </c>
      <c r="HK7" s="3">
        <f t="shared" si="79"/>
        <v>0</v>
      </c>
      <c r="HL7" s="3">
        <f t="shared" si="80"/>
        <v>0</v>
      </c>
      <c r="HM7" s="3">
        <f t="shared" si="81"/>
        <v>0</v>
      </c>
      <c r="HN7" s="3">
        <f t="shared" si="82"/>
        <v>0</v>
      </c>
      <c r="HO7" s="3">
        <f t="shared" si="83"/>
        <v>0</v>
      </c>
      <c r="HP7" s="3">
        <f t="shared" si="84"/>
        <v>0</v>
      </c>
      <c r="HQ7" s="3">
        <f t="shared" si="85"/>
        <v>0</v>
      </c>
      <c r="HR7" s="2">
        <f t="shared" si="86"/>
        <v>10</v>
      </c>
      <c r="HS7" s="2">
        <f t="shared" si="34"/>
        <v>10</v>
      </c>
      <c r="HT7" s="2">
        <f t="shared" si="34"/>
        <v>10</v>
      </c>
      <c r="HU7" s="2">
        <f t="shared" si="34"/>
        <v>40</v>
      </c>
      <c r="HV7" s="2">
        <f t="shared" si="34"/>
        <v>40</v>
      </c>
      <c r="HW7" s="2">
        <f t="shared" si="34"/>
        <v>40</v>
      </c>
      <c r="HX7" s="2">
        <f t="shared" si="34"/>
        <v>40</v>
      </c>
      <c r="HY7" s="2">
        <f t="shared" si="34"/>
        <v>20</v>
      </c>
      <c r="HZ7" s="3">
        <f t="shared" si="87"/>
        <v>0</v>
      </c>
      <c r="IA7" s="3">
        <f t="shared" si="35"/>
        <v>0</v>
      </c>
      <c r="IB7" s="3">
        <f t="shared" si="35"/>
        <v>0</v>
      </c>
      <c r="IC7" s="3">
        <f t="shared" si="35"/>
        <v>0</v>
      </c>
      <c r="ID7" s="3">
        <f t="shared" si="35"/>
        <v>0</v>
      </c>
      <c r="IE7" s="3">
        <f t="shared" si="35"/>
        <v>0</v>
      </c>
      <c r="IF7" s="3">
        <f t="shared" si="35"/>
        <v>0</v>
      </c>
      <c r="IG7" s="3">
        <f t="shared" si="35"/>
        <v>0</v>
      </c>
      <c r="IH7" s="2">
        <f t="shared" si="88"/>
        <v>10</v>
      </c>
      <c r="II7" s="2">
        <f t="shared" si="36"/>
        <v>10</v>
      </c>
      <c r="IJ7" s="2">
        <f t="shared" si="36"/>
        <v>10</v>
      </c>
      <c r="IK7" s="2">
        <f t="shared" si="36"/>
        <v>40</v>
      </c>
      <c r="IL7" s="2">
        <f t="shared" si="36"/>
        <v>40</v>
      </c>
      <c r="IM7" s="2">
        <f t="shared" si="36"/>
        <v>40</v>
      </c>
      <c r="IN7" s="2">
        <f t="shared" si="36"/>
        <v>40</v>
      </c>
      <c r="IO7" s="2">
        <f t="shared" si="36"/>
        <v>20</v>
      </c>
      <c r="IP7" s="3">
        <f t="shared" si="89"/>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35</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35</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35</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35</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35</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35</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90"/>
        <v>10</v>
      </c>
      <c r="CU8" s="2">
        <f t="shared" si="40"/>
        <v>10</v>
      </c>
      <c r="CV8" s="2">
        <f t="shared" si="40"/>
        <v>10</v>
      </c>
      <c r="CW8" s="2">
        <f t="shared" si="40"/>
        <v>40</v>
      </c>
      <c r="CX8" s="2">
        <f t="shared" si="40"/>
        <v>40</v>
      </c>
      <c r="CY8" s="2">
        <f t="shared" si="40"/>
        <v>40</v>
      </c>
      <c r="CZ8" s="2">
        <f t="shared" si="40"/>
        <v>35</v>
      </c>
      <c r="DA8" s="2">
        <f t="shared" si="40"/>
        <v>20</v>
      </c>
      <c r="DB8" s="3">
        <f t="shared" si="16"/>
        <v>0</v>
      </c>
      <c r="DC8" s="3">
        <f t="shared" si="17"/>
        <v>0</v>
      </c>
      <c r="DD8" s="3">
        <f t="shared" si="18"/>
        <v>0</v>
      </c>
      <c r="DE8" s="3">
        <f t="shared" si="19"/>
        <v>0</v>
      </c>
      <c r="DF8" s="3">
        <f t="shared" si="20"/>
        <v>0</v>
      </c>
      <c r="DG8" s="3">
        <f t="shared" si="21"/>
        <v>0</v>
      </c>
      <c r="DH8" s="3">
        <f t="shared" si="22"/>
        <v>0</v>
      </c>
      <c r="DI8" s="3">
        <f t="shared" si="23"/>
        <v>0</v>
      </c>
      <c r="DJ8" s="2">
        <f t="shared" si="41"/>
        <v>10</v>
      </c>
      <c r="DK8" s="2">
        <f t="shared" si="42"/>
        <v>10</v>
      </c>
      <c r="DL8" s="2">
        <f t="shared" si="43"/>
        <v>10</v>
      </c>
      <c r="DM8" s="2">
        <f t="shared" si="44"/>
        <v>40</v>
      </c>
      <c r="DN8" s="2">
        <f t="shared" si="45"/>
        <v>40</v>
      </c>
      <c r="DO8" s="2">
        <f t="shared" si="46"/>
        <v>40</v>
      </c>
      <c r="DP8" s="2">
        <f t="shared" si="47"/>
        <v>35</v>
      </c>
      <c r="DQ8" s="2">
        <f t="shared" si="48"/>
        <v>20</v>
      </c>
      <c r="DR8" s="3">
        <f t="shared" si="49"/>
        <v>0</v>
      </c>
      <c r="DS8" s="3">
        <f t="shared" si="50"/>
        <v>0</v>
      </c>
      <c r="DT8" s="3">
        <f t="shared" si="51"/>
        <v>0</v>
      </c>
      <c r="DU8" s="3">
        <f t="shared" si="52"/>
        <v>0</v>
      </c>
      <c r="DV8" s="3">
        <f t="shared" si="53"/>
        <v>0</v>
      </c>
      <c r="DW8" s="3">
        <f t="shared" si="54"/>
        <v>0</v>
      </c>
      <c r="DX8" s="3">
        <f t="shared" si="55"/>
        <v>0</v>
      </c>
      <c r="DY8" s="3">
        <f t="shared" si="56"/>
        <v>0</v>
      </c>
      <c r="DZ8" s="2">
        <f>'Demand Stage 2'!AH7</f>
        <v>10</v>
      </c>
      <c r="EA8" s="2">
        <f>'Demand Stage 2'!AI7</f>
        <v>10</v>
      </c>
      <c r="EB8" s="2">
        <f>'Demand Stage 2'!AJ7</f>
        <v>10</v>
      </c>
      <c r="EC8" s="2">
        <f>'Demand Stage 2'!AK7</f>
        <v>40</v>
      </c>
      <c r="ED8" s="2">
        <f>'Demand Stage 2'!AL7</f>
        <v>40</v>
      </c>
      <c r="EE8" s="2">
        <f>'Demand Stage 2'!AM7</f>
        <v>40</v>
      </c>
      <c r="EF8" s="2">
        <f>'Demand Stage 2'!AN7</f>
        <v>35</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57"/>
        <v>10</v>
      </c>
      <c r="EQ8" s="2">
        <f t="shared" si="26"/>
        <v>10</v>
      </c>
      <c r="ER8" s="2">
        <f t="shared" si="26"/>
        <v>10</v>
      </c>
      <c r="ES8" s="2">
        <f t="shared" si="26"/>
        <v>40</v>
      </c>
      <c r="ET8" s="2">
        <f t="shared" si="26"/>
        <v>40</v>
      </c>
      <c r="EU8" s="2">
        <f t="shared" si="26"/>
        <v>40</v>
      </c>
      <c r="EV8" s="2">
        <f t="shared" si="26"/>
        <v>35</v>
      </c>
      <c r="EW8" s="2">
        <f t="shared" si="26"/>
        <v>20</v>
      </c>
      <c r="EX8" s="3">
        <f t="shared" si="58"/>
        <v>0</v>
      </c>
      <c r="EY8" s="3">
        <f t="shared" si="27"/>
        <v>0</v>
      </c>
      <c r="EZ8" s="3">
        <f t="shared" si="27"/>
        <v>0</v>
      </c>
      <c r="FA8" s="3">
        <f t="shared" si="27"/>
        <v>0</v>
      </c>
      <c r="FB8" s="3">
        <f t="shared" si="27"/>
        <v>0</v>
      </c>
      <c r="FC8" s="3">
        <f t="shared" si="27"/>
        <v>0</v>
      </c>
      <c r="FD8" s="3">
        <f t="shared" si="27"/>
        <v>0</v>
      </c>
      <c r="FE8" s="3">
        <f t="shared" si="27"/>
        <v>0</v>
      </c>
      <c r="FF8" s="2">
        <f t="shared" si="59"/>
        <v>10</v>
      </c>
      <c r="FG8" s="2">
        <f t="shared" si="60"/>
        <v>10</v>
      </c>
      <c r="FH8" s="2">
        <f t="shared" si="61"/>
        <v>10</v>
      </c>
      <c r="FI8" s="2">
        <f t="shared" si="62"/>
        <v>40</v>
      </c>
      <c r="FJ8" s="2">
        <f t="shared" si="63"/>
        <v>40</v>
      </c>
      <c r="FK8" s="2">
        <f t="shared" si="64"/>
        <v>40</v>
      </c>
      <c r="FL8" s="2">
        <f t="shared" si="65"/>
        <v>35</v>
      </c>
      <c r="FM8" s="2">
        <f t="shared" si="66"/>
        <v>20</v>
      </c>
      <c r="FN8" s="3">
        <f t="shared" si="67"/>
        <v>0</v>
      </c>
      <c r="FO8" s="3">
        <f t="shared" si="68"/>
        <v>0</v>
      </c>
      <c r="FP8" s="3">
        <f t="shared" si="69"/>
        <v>0</v>
      </c>
      <c r="FQ8" s="3">
        <f t="shared" si="70"/>
        <v>0</v>
      </c>
      <c r="FR8" s="3">
        <f t="shared" si="71"/>
        <v>0</v>
      </c>
      <c r="FS8" s="3">
        <f t="shared" si="72"/>
        <v>0</v>
      </c>
      <c r="FT8" s="3">
        <f t="shared" si="73"/>
        <v>0</v>
      </c>
      <c r="FU8" s="3">
        <f t="shared" si="74"/>
        <v>0</v>
      </c>
      <c r="FV8" s="2">
        <f t="shared" si="75"/>
        <v>10</v>
      </c>
      <c r="FW8" s="2">
        <f t="shared" si="30"/>
        <v>10</v>
      </c>
      <c r="FX8" s="2">
        <f t="shared" si="30"/>
        <v>10</v>
      </c>
      <c r="FY8" s="2">
        <f t="shared" si="30"/>
        <v>40</v>
      </c>
      <c r="FZ8" s="2">
        <f t="shared" si="30"/>
        <v>40</v>
      </c>
      <c r="GA8" s="2">
        <f t="shared" si="30"/>
        <v>40</v>
      </c>
      <c r="GB8" s="2">
        <f t="shared" si="30"/>
        <v>35</v>
      </c>
      <c r="GC8" s="2">
        <f t="shared" si="30"/>
        <v>20</v>
      </c>
      <c r="GD8" s="3">
        <f t="shared" si="76"/>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35</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91"/>
        <v>10</v>
      </c>
      <c r="HC8" s="2">
        <f t="shared" si="77"/>
        <v>10</v>
      </c>
      <c r="HD8" s="2">
        <f t="shared" si="77"/>
        <v>10</v>
      </c>
      <c r="HE8" s="2">
        <f t="shared" si="77"/>
        <v>40</v>
      </c>
      <c r="HF8" s="2">
        <f t="shared" si="77"/>
        <v>40</v>
      </c>
      <c r="HG8" s="2">
        <f t="shared" si="77"/>
        <v>40</v>
      </c>
      <c r="HH8" s="2">
        <f t="shared" si="77"/>
        <v>35</v>
      </c>
      <c r="HI8" s="2">
        <f t="shared" si="77"/>
        <v>20</v>
      </c>
      <c r="HJ8" s="3">
        <f t="shared" si="78"/>
        <v>0</v>
      </c>
      <c r="HK8" s="3">
        <f t="shared" si="79"/>
        <v>0</v>
      </c>
      <c r="HL8" s="3">
        <f t="shared" si="80"/>
        <v>0</v>
      </c>
      <c r="HM8" s="3">
        <f t="shared" si="81"/>
        <v>0</v>
      </c>
      <c r="HN8" s="3">
        <f t="shared" si="82"/>
        <v>0</v>
      </c>
      <c r="HO8" s="3">
        <f t="shared" si="83"/>
        <v>0</v>
      </c>
      <c r="HP8" s="3">
        <f t="shared" si="84"/>
        <v>0</v>
      </c>
      <c r="HQ8" s="3">
        <f t="shared" si="85"/>
        <v>0</v>
      </c>
      <c r="HR8" s="2">
        <f t="shared" si="86"/>
        <v>10</v>
      </c>
      <c r="HS8" s="2">
        <f t="shared" si="34"/>
        <v>10</v>
      </c>
      <c r="HT8" s="2">
        <f t="shared" si="34"/>
        <v>10</v>
      </c>
      <c r="HU8" s="2">
        <f t="shared" si="34"/>
        <v>40</v>
      </c>
      <c r="HV8" s="2">
        <f t="shared" si="34"/>
        <v>40</v>
      </c>
      <c r="HW8" s="2">
        <f t="shared" si="34"/>
        <v>40</v>
      </c>
      <c r="HX8" s="2">
        <f t="shared" si="34"/>
        <v>35</v>
      </c>
      <c r="HY8" s="2">
        <f t="shared" si="34"/>
        <v>20</v>
      </c>
      <c r="HZ8" s="3">
        <f t="shared" si="87"/>
        <v>0</v>
      </c>
      <c r="IA8" s="3">
        <f t="shared" si="35"/>
        <v>0</v>
      </c>
      <c r="IB8" s="3">
        <f t="shared" si="35"/>
        <v>0</v>
      </c>
      <c r="IC8" s="3">
        <f t="shared" si="35"/>
        <v>0</v>
      </c>
      <c r="ID8" s="3">
        <f t="shared" si="35"/>
        <v>0</v>
      </c>
      <c r="IE8" s="3">
        <f t="shared" si="35"/>
        <v>0</v>
      </c>
      <c r="IF8" s="3">
        <f t="shared" si="35"/>
        <v>0</v>
      </c>
      <c r="IG8" s="3">
        <f t="shared" si="35"/>
        <v>0</v>
      </c>
      <c r="IH8" s="2">
        <f t="shared" si="88"/>
        <v>10</v>
      </c>
      <c r="II8" s="2">
        <f t="shared" si="36"/>
        <v>10</v>
      </c>
      <c r="IJ8" s="2">
        <f t="shared" si="36"/>
        <v>10</v>
      </c>
      <c r="IK8" s="2">
        <f t="shared" si="36"/>
        <v>40</v>
      </c>
      <c r="IL8" s="2">
        <f t="shared" si="36"/>
        <v>40</v>
      </c>
      <c r="IM8" s="2">
        <f t="shared" si="36"/>
        <v>40</v>
      </c>
      <c r="IN8" s="2">
        <f t="shared" si="36"/>
        <v>35</v>
      </c>
      <c r="IO8" s="2">
        <f t="shared" si="36"/>
        <v>20</v>
      </c>
      <c r="IP8" s="3">
        <f t="shared" si="89"/>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50</v>
      </c>
      <c r="F9" s="2">
        <f>'Demand Stage 2'!F8</f>
        <v>50</v>
      </c>
      <c r="G9" s="2">
        <f>'Demand Stage 2'!G8</f>
        <v>40</v>
      </c>
      <c r="H9" s="2">
        <f>'Demand Stage 2'!H8</f>
        <v>45</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50</v>
      </c>
      <c r="V9" s="2">
        <f>'Demand Stage 2'!F8</f>
        <v>50</v>
      </c>
      <c r="W9" s="2">
        <f>'Demand Stage 2'!G8</f>
        <v>40</v>
      </c>
      <c r="X9" s="2">
        <f>'Demand Stage 2'!H8</f>
        <v>45</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50</v>
      </c>
      <c r="AL9" s="2">
        <f>'Demand Stage 2'!F8</f>
        <v>50</v>
      </c>
      <c r="AM9" s="2">
        <f>'Demand Stage 2'!G8</f>
        <v>40</v>
      </c>
      <c r="AN9" s="2">
        <f>'Demand Stage 2'!H8</f>
        <v>45</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50</v>
      </c>
      <c r="BB9" s="2">
        <f>'Demand Stage 2'!F8</f>
        <v>50</v>
      </c>
      <c r="BC9" s="2">
        <f>'Demand Stage 2'!G8</f>
        <v>40</v>
      </c>
      <c r="BD9" s="2">
        <f>'Demand Stage 2'!H8</f>
        <v>45</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45</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45</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90"/>
        <v>10</v>
      </c>
      <c r="CU9" s="2">
        <f t="shared" si="40"/>
        <v>10</v>
      </c>
      <c r="CV9" s="2">
        <f t="shared" si="40"/>
        <v>10</v>
      </c>
      <c r="CW9" s="2">
        <f t="shared" si="40"/>
        <v>40</v>
      </c>
      <c r="CX9" s="2">
        <f t="shared" si="40"/>
        <v>40</v>
      </c>
      <c r="CY9" s="2">
        <f t="shared" si="40"/>
        <v>40</v>
      </c>
      <c r="CZ9" s="2">
        <f t="shared" si="40"/>
        <v>45</v>
      </c>
      <c r="DA9" s="2">
        <f t="shared" si="40"/>
        <v>20</v>
      </c>
      <c r="DB9" s="3">
        <f>CL9</f>
        <v>0</v>
      </c>
      <c r="DC9" s="3">
        <f t="shared" si="17"/>
        <v>0</v>
      </c>
      <c r="DD9" s="3">
        <f t="shared" si="18"/>
        <v>0</v>
      </c>
      <c r="DE9" s="3">
        <f t="shared" si="19"/>
        <v>0</v>
      </c>
      <c r="DF9" s="3">
        <f t="shared" si="20"/>
        <v>0</v>
      </c>
      <c r="DG9" s="3">
        <f t="shared" si="21"/>
        <v>0</v>
      </c>
      <c r="DH9" s="3">
        <f t="shared" si="22"/>
        <v>0</v>
      </c>
      <c r="DI9" s="3">
        <f t="shared" si="23"/>
        <v>0</v>
      </c>
      <c r="DJ9" s="2">
        <f t="shared" si="41"/>
        <v>10</v>
      </c>
      <c r="DK9" s="2">
        <f t="shared" si="42"/>
        <v>10</v>
      </c>
      <c r="DL9" s="2">
        <f t="shared" si="43"/>
        <v>10</v>
      </c>
      <c r="DM9" s="2">
        <f t="shared" si="44"/>
        <v>40</v>
      </c>
      <c r="DN9" s="2">
        <f t="shared" si="45"/>
        <v>40</v>
      </c>
      <c r="DO9" s="2">
        <f t="shared" si="46"/>
        <v>40</v>
      </c>
      <c r="DP9" s="2">
        <f t="shared" si="47"/>
        <v>45</v>
      </c>
      <c r="DQ9" s="2">
        <f t="shared" si="48"/>
        <v>20</v>
      </c>
      <c r="DR9" s="3">
        <f t="shared" si="49"/>
        <v>0</v>
      </c>
      <c r="DS9" s="3">
        <f t="shared" si="50"/>
        <v>0</v>
      </c>
      <c r="DT9" s="3">
        <f t="shared" si="51"/>
        <v>0</v>
      </c>
      <c r="DU9" s="3">
        <f t="shared" si="52"/>
        <v>0</v>
      </c>
      <c r="DV9" s="3">
        <f t="shared" si="53"/>
        <v>0</v>
      </c>
      <c r="DW9" s="3">
        <f t="shared" si="54"/>
        <v>0</v>
      </c>
      <c r="DX9" s="3">
        <f t="shared" si="55"/>
        <v>0</v>
      </c>
      <c r="DY9" s="3">
        <f t="shared" si="56"/>
        <v>0</v>
      </c>
      <c r="DZ9" s="2">
        <f>'Demand Stage 2'!AH8</f>
        <v>10</v>
      </c>
      <c r="EA9" s="2">
        <f>'Demand Stage 2'!AI8</f>
        <v>10</v>
      </c>
      <c r="EB9" s="2">
        <f>'Demand Stage 2'!AJ8</f>
        <v>10</v>
      </c>
      <c r="EC9" s="2">
        <f>'Demand Stage 2'!AK8</f>
        <v>50</v>
      </c>
      <c r="ED9" s="2">
        <f>'Demand Stage 2'!AL8</f>
        <v>50</v>
      </c>
      <c r="EE9" s="2">
        <f>'Demand Stage 2'!AM8</f>
        <v>40</v>
      </c>
      <c r="EF9" s="2">
        <f>'Demand Stage 2'!AN8</f>
        <v>35</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57"/>
        <v>10</v>
      </c>
      <c r="EQ9" s="2">
        <f t="shared" si="26"/>
        <v>10</v>
      </c>
      <c r="ER9" s="2">
        <f t="shared" si="26"/>
        <v>10</v>
      </c>
      <c r="ES9" s="2">
        <f t="shared" si="26"/>
        <v>50</v>
      </c>
      <c r="ET9" s="2">
        <f t="shared" si="26"/>
        <v>50</v>
      </c>
      <c r="EU9" s="2">
        <f t="shared" si="26"/>
        <v>40</v>
      </c>
      <c r="EV9" s="2">
        <f t="shared" si="26"/>
        <v>35</v>
      </c>
      <c r="EW9" s="2">
        <f t="shared" si="26"/>
        <v>20</v>
      </c>
      <c r="EX9" s="3">
        <f t="shared" si="58"/>
        <v>0</v>
      </c>
      <c r="EY9" s="3">
        <f t="shared" si="27"/>
        <v>0</v>
      </c>
      <c r="EZ9" s="3">
        <f t="shared" si="27"/>
        <v>0</v>
      </c>
      <c r="FA9" s="3">
        <f t="shared" si="27"/>
        <v>0</v>
      </c>
      <c r="FB9" s="3">
        <f t="shared" si="27"/>
        <v>0</v>
      </c>
      <c r="FC9" s="3">
        <f t="shared" si="27"/>
        <v>0</v>
      </c>
      <c r="FD9" s="3">
        <f t="shared" si="27"/>
        <v>0</v>
      </c>
      <c r="FE9" s="3">
        <f t="shared" si="27"/>
        <v>0</v>
      </c>
      <c r="FF9" s="2">
        <f t="shared" si="59"/>
        <v>10</v>
      </c>
      <c r="FG9" s="2">
        <f t="shared" si="60"/>
        <v>10</v>
      </c>
      <c r="FH9" s="2">
        <f t="shared" si="61"/>
        <v>10</v>
      </c>
      <c r="FI9" s="2">
        <f t="shared" si="62"/>
        <v>50</v>
      </c>
      <c r="FJ9" s="2">
        <f t="shared" si="63"/>
        <v>50</v>
      </c>
      <c r="FK9" s="2">
        <f t="shared" si="64"/>
        <v>40</v>
      </c>
      <c r="FL9" s="2">
        <f t="shared" si="65"/>
        <v>35</v>
      </c>
      <c r="FM9" s="2">
        <f t="shared" si="66"/>
        <v>20</v>
      </c>
      <c r="FN9" s="3">
        <f t="shared" si="67"/>
        <v>0</v>
      </c>
      <c r="FO9" s="3">
        <f t="shared" si="68"/>
        <v>0</v>
      </c>
      <c r="FP9" s="3">
        <f t="shared" si="69"/>
        <v>0</v>
      </c>
      <c r="FQ9" s="3">
        <f t="shared" si="70"/>
        <v>0</v>
      </c>
      <c r="FR9" s="3">
        <f t="shared" si="71"/>
        <v>0</v>
      </c>
      <c r="FS9" s="3">
        <f t="shared" si="72"/>
        <v>0</v>
      </c>
      <c r="FT9" s="3">
        <f t="shared" si="73"/>
        <v>0</v>
      </c>
      <c r="FU9" s="3">
        <f t="shared" si="74"/>
        <v>0</v>
      </c>
      <c r="FV9" s="2">
        <f t="shared" si="75"/>
        <v>10</v>
      </c>
      <c r="FW9" s="2">
        <f t="shared" si="30"/>
        <v>10</v>
      </c>
      <c r="FX9" s="2">
        <f t="shared" si="30"/>
        <v>10</v>
      </c>
      <c r="FY9" s="2">
        <f t="shared" si="30"/>
        <v>50</v>
      </c>
      <c r="FZ9" s="2">
        <f t="shared" si="30"/>
        <v>50</v>
      </c>
      <c r="GA9" s="2">
        <f t="shared" si="30"/>
        <v>40</v>
      </c>
      <c r="GB9" s="2">
        <f t="shared" si="30"/>
        <v>35</v>
      </c>
      <c r="GC9" s="2">
        <f t="shared" si="30"/>
        <v>20</v>
      </c>
      <c r="GD9" s="3">
        <f t="shared" si="76"/>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35</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91"/>
        <v>10</v>
      </c>
      <c r="HC9" s="2">
        <f t="shared" si="77"/>
        <v>10</v>
      </c>
      <c r="HD9" s="2">
        <f t="shared" si="77"/>
        <v>10</v>
      </c>
      <c r="HE9" s="2">
        <f t="shared" si="77"/>
        <v>40</v>
      </c>
      <c r="HF9" s="2">
        <f t="shared" si="77"/>
        <v>40</v>
      </c>
      <c r="HG9" s="2">
        <f t="shared" si="77"/>
        <v>40</v>
      </c>
      <c r="HH9" s="2">
        <f t="shared" si="77"/>
        <v>35</v>
      </c>
      <c r="HI9" s="2">
        <f t="shared" si="77"/>
        <v>20</v>
      </c>
      <c r="HJ9" s="3">
        <f t="shared" si="78"/>
        <v>0</v>
      </c>
      <c r="HK9" s="3">
        <f t="shared" si="79"/>
        <v>0</v>
      </c>
      <c r="HL9" s="3">
        <f t="shared" si="80"/>
        <v>0</v>
      </c>
      <c r="HM9" s="3">
        <f t="shared" si="81"/>
        <v>0</v>
      </c>
      <c r="HN9" s="3">
        <f t="shared" si="82"/>
        <v>0</v>
      </c>
      <c r="HO9" s="3">
        <f t="shared" si="83"/>
        <v>0</v>
      </c>
      <c r="HP9" s="3">
        <f t="shared" si="84"/>
        <v>0</v>
      </c>
      <c r="HQ9" s="3">
        <f t="shared" si="85"/>
        <v>0</v>
      </c>
      <c r="HR9" s="2">
        <f t="shared" si="86"/>
        <v>10</v>
      </c>
      <c r="HS9" s="2">
        <f t="shared" si="34"/>
        <v>10</v>
      </c>
      <c r="HT9" s="2">
        <f t="shared" si="34"/>
        <v>10</v>
      </c>
      <c r="HU9" s="2">
        <f t="shared" si="34"/>
        <v>40</v>
      </c>
      <c r="HV9" s="2">
        <f t="shared" si="34"/>
        <v>40</v>
      </c>
      <c r="HW9" s="2">
        <f t="shared" si="34"/>
        <v>40</v>
      </c>
      <c r="HX9" s="2">
        <f t="shared" si="34"/>
        <v>35</v>
      </c>
      <c r="HY9" s="2">
        <f t="shared" si="34"/>
        <v>20</v>
      </c>
      <c r="HZ9" s="3">
        <f t="shared" si="87"/>
        <v>0</v>
      </c>
      <c r="IA9" s="3">
        <f t="shared" si="35"/>
        <v>0</v>
      </c>
      <c r="IB9" s="3">
        <f t="shared" si="35"/>
        <v>0</v>
      </c>
      <c r="IC9" s="3">
        <f t="shared" si="35"/>
        <v>0</v>
      </c>
      <c r="ID9" s="3">
        <f t="shared" si="35"/>
        <v>0</v>
      </c>
      <c r="IE9" s="3">
        <f t="shared" si="35"/>
        <v>0</v>
      </c>
      <c r="IF9" s="3">
        <f t="shared" si="35"/>
        <v>0</v>
      </c>
      <c r="IG9" s="3">
        <f t="shared" si="35"/>
        <v>0</v>
      </c>
      <c r="IH9" s="2">
        <f t="shared" si="88"/>
        <v>10</v>
      </c>
      <c r="II9" s="2">
        <f t="shared" si="36"/>
        <v>10</v>
      </c>
      <c r="IJ9" s="2">
        <f t="shared" si="36"/>
        <v>10</v>
      </c>
      <c r="IK9" s="2">
        <f t="shared" si="36"/>
        <v>40</v>
      </c>
      <c r="IL9" s="2">
        <f t="shared" si="36"/>
        <v>40</v>
      </c>
      <c r="IM9" s="2">
        <f t="shared" si="36"/>
        <v>40</v>
      </c>
      <c r="IN9" s="2">
        <f t="shared" si="36"/>
        <v>35</v>
      </c>
      <c r="IO9" s="2">
        <f t="shared" si="36"/>
        <v>20</v>
      </c>
      <c r="IP9" s="3">
        <f t="shared" si="89"/>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c r="C10" s="2"/>
      <c r="D10" s="2"/>
      <c r="E10" s="2"/>
      <c r="F10" s="2"/>
      <c r="G10" s="2"/>
      <c r="H10" s="2"/>
      <c r="I10" s="2"/>
      <c r="J10" s="3"/>
      <c r="K10" s="3"/>
      <c r="L10" s="3"/>
      <c r="M10" s="3"/>
      <c r="N10" s="3"/>
      <c r="O10" s="3"/>
      <c r="P10" s="3"/>
      <c r="Q10" s="3"/>
      <c r="R10" s="2"/>
      <c r="S10" s="2"/>
      <c r="T10" s="2"/>
      <c r="U10" s="2"/>
      <c r="V10" s="2"/>
      <c r="W10" s="2"/>
      <c r="X10" s="2"/>
      <c r="Y10" s="2"/>
      <c r="Z10" s="3"/>
      <c r="AA10" s="3"/>
      <c r="AB10" s="3"/>
      <c r="AC10" s="3"/>
      <c r="AD10" s="3"/>
      <c r="AE10" s="3"/>
      <c r="AF10" s="3"/>
      <c r="AG10" s="3"/>
      <c r="AH10" s="2"/>
      <c r="AI10" s="2"/>
      <c r="AJ10" s="2"/>
      <c r="AK10" s="2"/>
      <c r="AL10" s="2"/>
      <c r="AM10" s="2"/>
      <c r="AN10" s="2"/>
      <c r="AO10" s="2"/>
      <c r="AP10" s="3"/>
      <c r="AQ10" s="3"/>
      <c r="AR10" s="3"/>
      <c r="AS10" s="3"/>
      <c r="AT10" s="3"/>
      <c r="AU10" s="3"/>
      <c r="AV10" s="3"/>
      <c r="AW10" s="3"/>
      <c r="AX10" s="2"/>
      <c r="AY10" s="2"/>
      <c r="AZ10" s="2"/>
      <c r="BA10" s="2"/>
      <c r="BB10" s="2"/>
      <c r="BC10" s="2"/>
      <c r="BD10" s="2"/>
      <c r="BE10" s="2"/>
      <c r="BF10" s="3"/>
      <c r="BG10" s="3"/>
      <c r="BH10" s="3"/>
      <c r="BI10" s="3"/>
      <c r="BJ10" s="3"/>
      <c r="BK10" s="3"/>
      <c r="BL10" s="3"/>
      <c r="BM10" s="3"/>
      <c r="BN10" s="2"/>
      <c r="BO10" s="2"/>
      <c r="BP10" s="2"/>
      <c r="BQ10" s="2"/>
      <c r="BR10" s="2"/>
      <c r="BS10" s="2"/>
      <c r="BT10" s="2"/>
      <c r="BU10" s="2"/>
      <c r="BV10" s="3"/>
      <c r="BW10" s="3"/>
      <c r="BX10" s="3"/>
      <c r="BY10" s="3"/>
      <c r="BZ10" s="3"/>
      <c r="CA10" s="3"/>
      <c r="CB10" s="3"/>
      <c r="CC10" s="3"/>
      <c r="CD10" s="2"/>
      <c r="CE10" s="2"/>
      <c r="CF10" s="2"/>
      <c r="CG10" s="2"/>
      <c r="CH10" s="2"/>
      <c r="CI10" s="2"/>
      <c r="CJ10" s="2"/>
      <c r="CK10" s="2"/>
      <c r="CL10" s="3"/>
      <c r="CM10" s="3"/>
      <c r="CN10" s="3"/>
      <c r="CO10" s="3"/>
      <c r="CP10" s="3"/>
      <c r="CQ10" s="3"/>
      <c r="CR10" s="3"/>
      <c r="CS10" s="3"/>
      <c r="CT10" s="2"/>
      <c r="CU10" s="2"/>
      <c r="CV10" s="2"/>
      <c r="CW10" s="2"/>
      <c r="CX10" s="2"/>
      <c r="CY10" s="2"/>
      <c r="CZ10" s="2"/>
      <c r="DA10" s="2"/>
      <c r="DB10" s="3"/>
      <c r="DC10" s="3"/>
      <c r="DD10" s="3"/>
      <c r="DE10" s="3"/>
      <c r="DF10" s="3"/>
      <c r="DG10" s="3"/>
      <c r="DH10" s="3"/>
      <c r="DI10" s="3"/>
      <c r="DJ10" s="2"/>
      <c r="DK10" s="2"/>
      <c r="DL10" s="2"/>
      <c r="DM10" s="2"/>
      <c r="DN10" s="2"/>
      <c r="DO10" s="2"/>
      <c r="DP10" s="2"/>
      <c r="DQ10" s="2"/>
      <c r="DR10" s="3"/>
      <c r="DS10" s="3"/>
      <c r="DT10" s="3"/>
      <c r="DU10" s="3"/>
      <c r="DV10" s="3"/>
      <c r="DW10" s="3"/>
      <c r="DX10" s="3"/>
      <c r="DY10" s="3"/>
      <c r="DZ10" s="2"/>
      <c r="EA10" s="2"/>
      <c r="EB10" s="2"/>
      <c r="EC10" s="2"/>
      <c r="ED10" s="2"/>
      <c r="EE10" s="2"/>
      <c r="EF10" s="2"/>
      <c r="EG10" s="2"/>
      <c r="EH10" s="3"/>
      <c r="EI10" s="3"/>
      <c r="EJ10" s="3"/>
      <c r="EK10" s="3"/>
      <c r="EL10" s="3"/>
      <c r="EM10" s="3"/>
      <c r="EN10" s="3"/>
      <c r="EO10" s="3"/>
      <c r="EP10" s="2"/>
      <c r="EQ10" s="2"/>
      <c r="ER10" s="2"/>
      <c r="ES10" s="2"/>
      <c r="ET10" s="2"/>
      <c r="EU10" s="2"/>
      <c r="EV10" s="2"/>
      <c r="EW10" s="2"/>
      <c r="EX10" s="3"/>
      <c r="EY10" s="3"/>
      <c r="EZ10" s="3"/>
      <c r="FA10" s="3"/>
      <c r="FB10" s="3"/>
      <c r="FC10" s="3"/>
      <c r="FD10" s="3"/>
      <c r="FE10" s="3"/>
      <c r="FF10" s="2"/>
      <c r="FG10" s="2"/>
      <c r="FH10" s="2"/>
      <c r="FI10" s="2"/>
      <c r="FJ10" s="2"/>
      <c r="FK10" s="2"/>
      <c r="FL10" s="2"/>
      <c r="FM10" s="2"/>
      <c r="FN10" s="3"/>
      <c r="FO10" s="3"/>
      <c r="FP10" s="3"/>
      <c r="FQ10" s="3"/>
      <c r="FR10" s="3"/>
      <c r="FS10" s="3"/>
      <c r="FT10" s="3"/>
      <c r="FU10" s="3"/>
      <c r="FV10" s="2"/>
      <c r="FW10" s="2"/>
      <c r="FX10" s="2"/>
      <c r="FY10" s="2"/>
      <c r="FZ10" s="2"/>
      <c r="GA10" s="2"/>
      <c r="GB10" s="2"/>
      <c r="GC10" s="2"/>
      <c r="GD10" s="3"/>
      <c r="GE10" s="3"/>
      <c r="GF10" s="3"/>
      <c r="GG10" s="3"/>
      <c r="GH10" s="3"/>
      <c r="GI10" s="3"/>
      <c r="GJ10" s="3"/>
      <c r="GK10" s="3"/>
      <c r="GL10" s="2"/>
      <c r="GM10" s="2"/>
      <c r="GN10" s="2"/>
      <c r="GO10" s="2"/>
      <c r="GP10" s="2"/>
      <c r="GQ10" s="2"/>
      <c r="GR10" s="2"/>
      <c r="GS10" s="2"/>
      <c r="GT10" s="3"/>
      <c r="GU10" s="3"/>
      <c r="GV10" s="3"/>
      <c r="GW10" s="3"/>
      <c r="GX10" s="3"/>
      <c r="GY10" s="3"/>
      <c r="GZ10" s="3"/>
      <c r="HA10" s="3"/>
      <c r="HB10" s="2"/>
      <c r="HC10" s="2"/>
      <c r="HD10" s="2"/>
      <c r="HE10" s="2"/>
      <c r="HF10" s="2"/>
      <c r="HG10" s="2"/>
      <c r="HH10" s="2"/>
      <c r="HI10" s="2"/>
      <c r="HJ10" s="3"/>
      <c r="HK10" s="3"/>
      <c r="HL10" s="3"/>
      <c r="HM10" s="3"/>
      <c r="HN10" s="3"/>
      <c r="HO10" s="3"/>
      <c r="HP10" s="3"/>
      <c r="HQ10" s="3"/>
      <c r="HR10" s="2"/>
      <c r="HS10" s="2"/>
      <c r="HT10" s="2"/>
      <c r="HU10" s="2"/>
      <c r="HV10" s="2"/>
      <c r="HW10" s="2"/>
      <c r="HX10" s="2"/>
      <c r="HY10" s="2"/>
      <c r="HZ10" s="3"/>
      <c r="IA10" s="3"/>
      <c r="IB10" s="3"/>
      <c r="IC10" s="3"/>
      <c r="ID10" s="3"/>
      <c r="IE10" s="3"/>
      <c r="IF10" s="3"/>
      <c r="IG10" s="3"/>
      <c r="IH10" s="2"/>
      <c r="II10" s="2"/>
      <c r="IJ10" s="2"/>
      <c r="IK10" s="2"/>
      <c r="IL10" s="2"/>
      <c r="IM10" s="2"/>
      <c r="IN10" s="2"/>
      <c r="IO10" s="2"/>
      <c r="IP10" s="3"/>
      <c r="IQ10" s="3"/>
      <c r="IR10" s="3"/>
      <c r="IS10" s="3"/>
      <c r="IT10" s="3"/>
      <c r="IU10" s="3"/>
      <c r="IV10" s="3"/>
      <c r="IW10" s="3"/>
    </row>
    <row r="11" spans="1:257" x14ac:dyDescent="0.2">
      <c r="A11" s="1">
        <v>5</v>
      </c>
      <c r="B11" s="2"/>
      <c r="C11" s="2"/>
      <c r="D11" s="2"/>
      <c r="E11" s="2"/>
      <c r="F11" s="2"/>
      <c r="G11" s="2"/>
      <c r="H11" s="2"/>
      <c r="I11" s="2"/>
      <c r="J11" s="3"/>
      <c r="K11" s="3"/>
      <c r="L11" s="3"/>
      <c r="M11" s="3"/>
      <c r="N11" s="3"/>
      <c r="O11" s="3"/>
      <c r="P11" s="3"/>
      <c r="Q11" s="3"/>
      <c r="R11" s="2"/>
      <c r="S11" s="2"/>
      <c r="T11" s="2"/>
      <c r="U11" s="2"/>
      <c r="V11" s="2"/>
      <c r="W11" s="2"/>
      <c r="X11" s="2"/>
      <c r="Y11" s="2"/>
      <c r="Z11" s="3"/>
      <c r="AA11" s="3"/>
      <c r="AB11" s="3"/>
      <c r="AC11" s="3"/>
      <c r="AD11" s="3"/>
      <c r="AE11" s="3"/>
      <c r="AF11" s="3"/>
      <c r="AG11" s="3"/>
      <c r="AH11" s="2"/>
      <c r="AI11" s="2"/>
      <c r="AJ11" s="2"/>
      <c r="AK11" s="2"/>
      <c r="AL11" s="2"/>
      <c r="AM11" s="2"/>
      <c r="AN11" s="2"/>
      <c r="AO11" s="2"/>
      <c r="AP11" s="3"/>
      <c r="AQ11" s="3"/>
      <c r="AR11" s="3"/>
      <c r="AS11" s="3"/>
      <c r="AT11" s="3"/>
      <c r="AU11" s="3"/>
      <c r="AV11" s="3"/>
      <c r="AW11" s="3"/>
      <c r="AX11" s="2"/>
      <c r="AY11" s="2"/>
      <c r="AZ11" s="2"/>
      <c r="BA11" s="2"/>
      <c r="BB11" s="2"/>
      <c r="BC11" s="2"/>
      <c r="BD11" s="2"/>
      <c r="BE11" s="2"/>
      <c r="BF11" s="3"/>
      <c r="BG11" s="3"/>
      <c r="BH11" s="3"/>
      <c r="BI11" s="3"/>
      <c r="BJ11" s="3"/>
      <c r="BK11" s="3"/>
      <c r="BL11" s="3"/>
      <c r="BM11" s="3"/>
      <c r="BN11" s="2"/>
      <c r="BO11" s="2"/>
      <c r="BP11" s="2"/>
      <c r="BQ11" s="2"/>
      <c r="BR11" s="2"/>
      <c r="BS11" s="2"/>
      <c r="BT11" s="2"/>
      <c r="BU11" s="2"/>
      <c r="BV11" s="3"/>
      <c r="BW11" s="3"/>
      <c r="BX11" s="3"/>
      <c r="BY11" s="3"/>
      <c r="BZ11" s="3"/>
      <c r="CA11" s="3"/>
      <c r="CB11" s="3"/>
      <c r="CC11" s="3"/>
      <c r="CD11" s="2"/>
      <c r="CE11" s="2"/>
      <c r="CF11" s="2"/>
      <c r="CG11" s="2"/>
      <c r="CH11" s="2"/>
      <c r="CI11" s="2"/>
      <c r="CJ11" s="2"/>
      <c r="CK11" s="2"/>
      <c r="CL11" s="3"/>
      <c r="CM11" s="3"/>
      <c r="CN11" s="3"/>
      <c r="CO11" s="3"/>
      <c r="CP11" s="3"/>
      <c r="CQ11" s="3"/>
      <c r="CR11" s="3"/>
      <c r="CS11" s="3"/>
      <c r="CT11" s="2"/>
      <c r="CU11" s="2"/>
      <c r="CV11" s="2"/>
      <c r="CW11" s="2"/>
      <c r="CX11" s="2"/>
      <c r="CY11" s="2"/>
      <c r="CZ11" s="2"/>
      <c r="DA11" s="2"/>
      <c r="DB11" s="3"/>
      <c r="DC11" s="3"/>
      <c r="DD11" s="3"/>
      <c r="DE11" s="3"/>
      <c r="DF11" s="3"/>
      <c r="DG11" s="3"/>
      <c r="DH11" s="3"/>
      <c r="DI11" s="3"/>
      <c r="DJ11" s="2"/>
      <c r="DK11" s="2"/>
      <c r="DL11" s="2"/>
      <c r="DM11" s="2"/>
      <c r="DN11" s="2"/>
      <c r="DO11" s="2"/>
      <c r="DP11" s="2"/>
      <c r="DQ11" s="2"/>
      <c r="DR11" s="3"/>
      <c r="DS11" s="3"/>
      <c r="DT11" s="3"/>
      <c r="DU11" s="3"/>
      <c r="DV11" s="3"/>
      <c r="DW11" s="3"/>
      <c r="DX11" s="3"/>
      <c r="DY11" s="3"/>
      <c r="DZ11" s="2"/>
      <c r="EA11" s="2"/>
      <c r="EB11" s="2"/>
      <c r="EC11" s="2"/>
      <c r="ED11" s="2"/>
      <c r="EE11" s="2"/>
      <c r="EF11" s="2"/>
      <c r="EG11" s="2"/>
      <c r="EH11" s="3"/>
      <c r="EI11" s="3"/>
      <c r="EJ11" s="3"/>
      <c r="EK11" s="3"/>
      <c r="EL11" s="3"/>
      <c r="EM11" s="3"/>
      <c r="EN11" s="3"/>
      <c r="EO11" s="3"/>
      <c r="EP11" s="2"/>
      <c r="EQ11" s="2"/>
      <c r="ER11" s="2"/>
      <c r="ES11" s="2"/>
      <c r="ET11" s="2"/>
      <c r="EU11" s="2"/>
      <c r="EV11" s="2"/>
      <c r="EW11" s="2"/>
      <c r="EX11" s="3"/>
      <c r="EY11" s="3"/>
      <c r="EZ11" s="3"/>
      <c r="FA11" s="3"/>
      <c r="FB11" s="3"/>
      <c r="FC11" s="3"/>
      <c r="FD11" s="3"/>
      <c r="FE11" s="3"/>
      <c r="FF11" s="2"/>
      <c r="FG11" s="2"/>
      <c r="FH11" s="2"/>
      <c r="FI11" s="2"/>
      <c r="FJ11" s="2"/>
      <c r="FK11" s="2"/>
      <c r="FL11" s="2"/>
      <c r="FM11" s="2"/>
      <c r="FN11" s="3"/>
      <c r="FO11" s="3"/>
      <c r="FP11" s="3"/>
      <c r="FQ11" s="3"/>
      <c r="FR11" s="3"/>
      <c r="FS11" s="3"/>
      <c r="FT11" s="3"/>
      <c r="FU11" s="3"/>
      <c r="FV11" s="2"/>
      <c r="FW11" s="2"/>
      <c r="FX11" s="2"/>
      <c r="FY11" s="2"/>
      <c r="FZ11" s="2"/>
      <c r="GA11" s="2"/>
      <c r="GB11" s="2"/>
      <c r="GC11" s="2"/>
      <c r="GD11" s="3"/>
      <c r="GE11" s="3"/>
      <c r="GF11" s="3"/>
      <c r="GG11" s="3"/>
      <c r="GH11" s="3"/>
      <c r="GI11" s="3"/>
      <c r="GJ11" s="3"/>
      <c r="GK11" s="3"/>
      <c r="GL11" s="2"/>
      <c r="GM11" s="2"/>
      <c r="GN11" s="2"/>
      <c r="GO11" s="2"/>
      <c r="GP11" s="2"/>
      <c r="GQ11" s="2"/>
      <c r="GR11" s="2"/>
      <c r="GS11" s="2"/>
      <c r="GT11" s="3"/>
      <c r="GU11" s="3"/>
      <c r="GV11" s="3"/>
      <c r="GW11" s="3"/>
      <c r="GX11" s="3"/>
      <c r="GY11" s="3"/>
      <c r="GZ11" s="3"/>
      <c r="HA11" s="3"/>
      <c r="HB11" s="2"/>
      <c r="HC11" s="2"/>
      <c r="HD11" s="2"/>
      <c r="HE11" s="2"/>
      <c r="HF11" s="2"/>
      <c r="HG11" s="2"/>
      <c r="HH11" s="2"/>
      <c r="HI11" s="2"/>
      <c r="HJ11" s="3"/>
      <c r="HK11" s="3"/>
      <c r="HL11" s="3"/>
      <c r="HM11" s="3"/>
      <c r="HN11" s="3"/>
      <c r="HO11" s="3"/>
      <c r="HP11" s="3"/>
      <c r="HQ11" s="3"/>
      <c r="HR11" s="2"/>
      <c r="HS11" s="2"/>
      <c r="HT11" s="2"/>
      <c r="HU11" s="2"/>
      <c r="HV11" s="2"/>
      <c r="HW11" s="2"/>
      <c r="HX11" s="2"/>
      <c r="HY11" s="2"/>
      <c r="HZ11" s="3"/>
      <c r="IA11" s="3"/>
      <c r="IB11" s="3"/>
      <c r="IC11" s="3"/>
      <c r="ID11" s="3"/>
      <c r="IE11" s="3"/>
      <c r="IF11" s="3"/>
      <c r="IG11" s="3"/>
      <c r="IH11" s="2"/>
      <c r="II11" s="2"/>
      <c r="IJ11" s="2"/>
      <c r="IK11" s="2"/>
      <c r="IL11" s="2"/>
      <c r="IM11" s="2"/>
      <c r="IN11" s="2"/>
      <c r="IO11" s="2"/>
      <c r="IP11" s="3"/>
      <c r="IQ11" s="3"/>
      <c r="IR11" s="3"/>
      <c r="IS11" s="3"/>
      <c r="IT11" s="3"/>
      <c r="IU11" s="3"/>
      <c r="IV11" s="3"/>
      <c r="IW11" s="3"/>
    </row>
    <row r="12" spans="1:257" x14ac:dyDescent="0.2">
      <c r="A12" s="1">
        <v>6</v>
      </c>
      <c r="B12" s="2"/>
      <c r="C12" s="2"/>
      <c r="D12" s="2"/>
      <c r="E12" s="2"/>
      <c r="F12" s="2"/>
      <c r="G12" s="2"/>
      <c r="H12" s="2"/>
      <c r="I12" s="2"/>
      <c r="J12" s="3"/>
      <c r="K12" s="3"/>
      <c r="L12" s="3"/>
      <c r="M12" s="3"/>
      <c r="N12" s="3"/>
      <c r="O12" s="3"/>
      <c r="P12" s="3"/>
      <c r="Q12" s="3"/>
      <c r="R12" s="2"/>
      <c r="S12" s="2"/>
      <c r="T12" s="2"/>
      <c r="U12" s="2"/>
      <c r="V12" s="2"/>
      <c r="W12" s="2"/>
      <c r="X12" s="2"/>
      <c r="Y12" s="2"/>
      <c r="Z12" s="3"/>
      <c r="AA12" s="3"/>
      <c r="AB12" s="3"/>
      <c r="AC12" s="3"/>
      <c r="AD12" s="3"/>
      <c r="AE12" s="3"/>
      <c r="AF12" s="3"/>
      <c r="AG12" s="3"/>
      <c r="AH12" s="2"/>
      <c r="AI12" s="2"/>
      <c r="AJ12" s="2"/>
      <c r="AK12" s="2"/>
      <c r="AL12" s="2"/>
      <c r="AM12" s="2"/>
      <c r="AN12" s="2"/>
      <c r="AO12" s="2"/>
      <c r="AP12" s="3"/>
      <c r="AQ12" s="3"/>
      <c r="AR12" s="3"/>
      <c r="AS12" s="3"/>
      <c r="AT12" s="3"/>
      <c r="AU12" s="3"/>
      <c r="AV12" s="3"/>
      <c r="AW12" s="3"/>
      <c r="AX12" s="2"/>
      <c r="AY12" s="2"/>
      <c r="AZ12" s="2"/>
      <c r="BA12" s="2"/>
      <c r="BB12" s="2"/>
      <c r="BC12" s="2"/>
      <c r="BD12" s="2"/>
      <c r="BE12" s="2"/>
      <c r="BF12" s="3"/>
      <c r="BG12" s="3"/>
      <c r="BH12" s="3"/>
      <c r="BI12" s="3"/>
      <c r="BJ12" s="3"/>
      <c r="BK12" s="3"/>
      <c r="BL12" s="3"/>
      <c r="BM12" s="3"/>
      <c r="BN12" s="2"/>
      <c r="BO12" s="2"/>
      <c r="BP12" s="2"/>
      <c r="BQ12" s="2"/>
      <c r="BR12" s="2"/>
      <c r="BS12" s="2"/>
      <c r="BT12" s="2"/>
      <c r="BU12" s="2"/>
      <c r="BV12" s="3"/>
      <c r="BW12" s="3"/>
      <c r="BX12" s="3"/>
      <c r="BY12" s="3"/>
      <c r="BZ12" s="3"/>
      <c r="CA12" s="3"/>
      <c r="CB12" s="3"/>
      <c r="CC12" s="3"/>
      <c r="CD12" s="2"/>
      <c r="CE12" s="2"/>
      <c r="CF12" s="2"/>
      <c r="CG12" s="2"/>
      <c r="CH12" s="2"/>
      <c r="CI12" s="2"/>
      <c r="CJ12" s="2"/>
      <c r="CK12" s="2"/>
      <c r="CL12" s="3"/>
      <c r="CM12" s="3"/>
      <c r="CN12" s="3"/>
      <c r="CO12" s="3"/>
      <c r="CP12" s="3"/>
      <c r="CQ12" s="3"/>
      <c r="CR12" s="3"/>
      <c r="CS12" s="3"/>
      <c r="CT12" s="2"/>
      <c r="CU12" s="2"/>
      <c r="CV12" s="2"/>
      <c r="CW12" s="2"/>
      <c r="CX12" s="2"/>
      <c r="CY12" s="2"/>
      <c r="CZ12" s="2"/>
      <c r="DA12" s="2"/>
      <c r="DB12" s="3"/>
      <c r="DC12" s="3"/>
      <c r="DD12" s="3"/>
      <c r="DE12" s="3"/>
      <c r="DF12" s="3"/>
      <c r="DG12" s="3"/>
      <c r="DH12" s="3"/>
      <c r="DI12" s="3"/>
      <c r="DJ12" s="2"/>
      <c r="DK12" s="2"/>
      <c r="DL12" s="2"/>
      <c r="DM12" s="2"/>
      <c r="DN12" s="2"/>
      <c r="DO12" s="2"/>
      <c r="DP12" s="2"/>
      <c r="DQ12" s="2"/>
      <c r="DR12" s="3"/>
      <c r="DS12" s="3"/>
      <c r="DT12" s="3"/>
      <c r="DU12" s="3"/>
      <c r="DV12" s="3"/>
      <c r="DW12" s="3"/>
      <c r="DX12" s="3"/>
      <c r="DY12" s="3"/>
      <c r="DZ12" s="2"/>
      <c r="EA12" s="2"/>
      <c r="EB12" s="2"/>
      <c r="EC12" s="2"/>
      <c r="ED12" s="2"/>
      <c r="EE12" s="2"/>
      <c r="EF12" s="2"/>
      <c r="EG12" s="2"/>
      <c r="EH12" s="3"/>
      <c r="EI12" s="3"/>
      <c r="EJ12" s="3"/>
      <c r="EK12" s="3"/>
      <c r="EL12" s="3"/>
      <c r="EM12" s="3"/>
      <c r="EN12" s="3"/>
      <c r="EO12" s="3"/>
      <c r="EP12" s="2"/>
      <c r="EQ12" s="2"/>
      <c r="ER12" s="2"/>
      <c r="ES12" s="2"/>
      <c r="ET12" s="2"/>
      <c r="EU12" s="2"/>
      <c r="EV12" s="2"/>
      <c r="EW12" s="2"/>
      <c r="EX12" s="3"/>
      <c r="EY12" s="3"/>
      <c r="EZ12" s="3"/>
      <c r="FA12" s="3"/>
      <c r="FB12" s="3"/>
      <c r="FC12" s="3"/>
      <c r="FD12" s="3"/>
      <c r="FE12" s="3"/>
      <c r="FF12" s="2"/>
      <c r="FG12" s="2"/>
      <c r="FH12" s="2"/>
      <c r="FI12" s="2"/>
      <c r="FJ12" s="2"/>
      <c r="FK12" s="2"/>
      <c r="FL12" s="2"/>
      <c r="FM12" s="2"/>
      <c r="FN12" s="3"/>
      <c r="FO12" s="3"/>
      <c r="FP12" s="3"/>
      <c r="FQ12" s="3"/>
      <c r="FR12" s="3"/>
      <c r="FS12" s="3"/>
      <c r="FT12" s="3"/>
      <c r="FU12" s="3"/>
      <c r="FV12" s="2"/>
      <c r="FW12" s="2"/>
      <c r="FX12" s="2"/>
      <c r="FY12" s="2"/>
      <c r="FZ12" s="2"/>
      <c r="GA12" s="2"/>
      <c r="GB12" s="2"/>
      <c r="GC12" s="2"/>
      <c r="GD12" s="3"/>
      <c r="GE12" s="3"/>
      <c r="GF12" s="3"/>
      <c r="GG12" s="3"/>
      <c r="GH12" s="3"/>
      <c r="GI12" s="3"/>
      <c r="GJ12" s="3"/>
      <c r="GK12" s="3"/>
      <c r="GL12" s="2"/>
      <c r="GM12" s="2"/>
      <c r="GN12" s="2"/>
      <c r="GO12" s="2"/>
      <c r="GP12" s="2"/>
      <c r="GQ12" s="2"/>
      <c r="GR12" s="2"/>
      <c r="GS12" s="2"/>
      <c r="GT12" s="3"/>
      <c r="GU12" s="3"/>
      <c r="GV12" s="3"/>
      <c r="GW12" s="3"/>
      <c r="GX12" s="3"/>
      <c r="GY12" s="3"/>
      <c r="GZ12" s="3"/>
      <c r="HA12" s="3"/>
      <c r="HB12" s="2"/>
      <c r="HC12" s="2"/>
      <c r="HD12" s="2"/>
      <c r="HE12" s="2"/>
      <c r="HF12" s="2"/>
      <c r="HG12" s="2"/>
      <c r="HH12" s="2"/>
      <c r="HI12" s="2"/>
      <c r="HJ12" s="3"/>
      <c r="HK12" s="3"/>
      <c r="HL12" s="3"/>
      <c r="HM12" s="3"/>
      <c r="HN12" s="3"/>
      <c r="HO12" s="3"/>
      <c r="HP12" s="3"/>
      <c r="HQ12" s="3"/>
      <c r="HR12" s="2"/>
      <c r="HS12" s="2"/>
      <c r="HT12" s="2"/>
      <c r="HU12" s="2"/>
      <c r="HV12" s="2"/>
      <c r="HW12" s="2"/>
      <c r="HX12" s="2"/>
      <c r="HY12" s="2"/>
      <c r="HZ12" s="3"/>
      <c r="IA12" s="3"/>
      <c r="IB12" s="3"/>
      <c r="IC12" s="3"/>
      <c r="ID12" s="3"/>
      <c r="IE12" s="3"/>
      <c r="IF12" s="3"/>
      <c r="IG12" s="3"/>
      <c r="IH12" s="2"/>
      <c r="II12" s="2"/>
      <c r="IJ12" s="2"/>
      <c r="IK12" s="2"/>
      <c r="IL12" s="2"/>
      <c r="IM12" s="2"/>
      <c r="IN12" s="2"/>
      <c r="IO12" s="2"/>
      <c r="IP12" s="3"/>
      <c r="IQ12" s="3"/>
      <c r="IR12" s="3"/>
      <c r="IS12" s="3"/>
      <c r="IT12" s="3"/>
      <c r="IU12" s="3"/>
      <c r="IV12" s="3"/>
      <c r="IW12" s="3"/>
    </row>
    <row r="13" spans="1:257" x14ac:dyDescent="0.2">
      <c r="A13" s="1">
        <v>7</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c r="BN13" s="2"/>
      <c r="BO13" s="2"/>
      <c r="BP13" s="2"/>
      <c r="BQ13" s="2"/>
      <c r="BR13" s="2"/>
      <c r="BS13" s="2"/>
      <c r="BT13" s="2"/>
      <c r="BU13" s="2"/>
      <c r="BV13" s="3"/>
      <c r="BW13" s="3"/>
      <c r="BX13" s="3"/>
      <c r="BY13" s="3"/>
      <c r="BZ13" s="3"/>
      <c r="CA13" s="3"/>
      <c r="CB13" s="3"/>
      <c r="CC13" s="3"/>
      <c r="CD13" s="2"/>
      <c r="CE13" s="2"/>
      <c r="CF13" s="2"/>
      <c r="CG13" s="2"/>
      <c r="CH13" s="2"/>
      <c r="CI13" s="2"/>
      <c r="CJ13" s="2"/>
      <c r="CK13" s="2"/>
      <c r="CL13" s="3"/>
      <c r="CM13" s="3"/>
      <c r="CN13" s="3"/>
      <c r="CO13" s="3"/>
      <c r="CP13" s="3"/>
      <c r="CQ13" s="3"/>
      <c r="CR13" s="3"/>
      <c r="CS13" s="3"/>
      <c r="CT13" s="2"/>
      <c r="CU13" s="2"/>
      <c r="CV13" s="2"/>
      <c r="CW13" s="2"/>
      <c r="CX13" s="2"/>
      <c r="CY13" s="2"/>
      <c r="CZ13" s="2"/>
      <c r="DA13" s="2"/>
      <c r="DB13" s="3"/>
      <c r="DC13" s="3"/>
      <c r="DD13" s="3"/>
      <c r="DE13" s="3"/>
      <c r="DF13" s="3"/>
      <c r="DG13" s="3"/>
      <c r="DH13" s="3"/>
      <c r="DI13" s="3"/>
      <c r="DJ13" s="2"/>
      <c r="DK13" s="2"/>
      <c r="DL13" s="2"/>
      <c r="DM13" s="2"/>
      <c r="DN13" s="2"/>
      <c r="DO13" s="2"/>
      <c r="DP13" s="2"/>
      <c r="DQ13" s="2"/>
      <c r="DR13" s="3"/>
      <c r="DS13" s="3"/>
      <c r="DT13" s="3"/>
      <c r="DU13" s="3"/>
      <c r="DV13" s="3"/>
      <c r="DW13" s="3"/>
      <c r="DX13" s="3"/>
      <c r="DY13" s="3"/>
      <c r="DZ13" s="2"/>
      <c r="EA13" s="2"/>
      <c r="EB13" s="2"/>
      <c r="EC13" s="2"/>
      <c r="ED13" s="2"/>
      <c r="EE13" s="2"/>
      <c r="EF13" s="2"/>
      <c r="EG13" s="2"/>
      <c r="EH13" s="3"/>
      <c r="EI13" s="3"/>
      <c r="EJ13" s="3"/>
      <c r="EK13" s="3"/>
      <c r="EL13" s="3"/>
      <c r="EM13" s="3"/>
      <c r="EN13" s="3"/>
      <c r="EO13" s="3"/>
      <c r="EP13" s="2"/>
      <c r="EQ13" s="2"/>
      <c r="ER13" s="2"/>
      <c r="ES13" s="2"/>
      <c r="ET13" s="2"/>
      <c r="EU13" s="2"/>
      <c r="EV13" s="2"/>
      <c r="EW13" s="2"/>
      <c r="EX13" s="3"/>
      <c r="EY13" s="3"/>
      <c r="EZ13" s="3"/>
      <c r="FA13" s="3"/>
      <c r="FB13" s="3"/>
      <c r="FC13" s="3"/>
      <c r="FD13" s="3"/>
      <c r="FE13" s="3"/>
      <c r="FF13" s="2"/>
      <c r="FG13" s="2"/>
      <c r="FH13" s="2"/>
      <c r="FI13" s="2"/>
      <c r="FJ13" s="2"/>
      <c r="FK13" s="2"/>
      <c r="FL13" s="2"/>
      <c r="FM13" s="2"/>
      <c r="FN13" s="3"/>
      <c r="FO13" s="3"/>
      <c r="FP13" s="3"/>
      <c r="FQ13" s="3"/>
      <c r="FR13" s="3"/>
      <c r="FS13" s="3"/>
      <c r="FT13" s="3"/>
      <c r="FU13" s="3"/>
      <c r="FV13" s="2"/>
      <c r="FW13" s="2"/>
      <c r="FX13" s="2"/>
      <c r="FY13" s="2"/>
      <c r="FZ13" s="2"/>
      <c r="GA13" s="2"/>
      <c r="GB13" s="2"/>
      <c r="GC13" s="2"/>
      <c r="GD13" s="3"/>
      <c r="GE13" s="3"/>
      <c r="GF13" s="3"/>
      <c r="GG13" s="3"/>
      <c r="GH13" s="3"/>
      <c r="GI13" s="3"/>
      <c r="GJ13" s="3"/>
      <c r="GK13" s="3"/>
      <c r="GL13" s="2"/>
      <c r="GM13" s="2"/>
      <c r="GN13" s="2"/>
      <c r="GO13" s="2"/>
      <c r="GP13" s="2"/>
      <c r="GQ13" s="2"/>
      <c r="GR13" s="2"/>
      <c r="GS13" s="2"/>
      <c r="GT13" s="3"/>
      <c r="GU13" s="3"/>
      <c r="GV13" s="3"/>
      <c r="GW13" s="3"/>
      <c r="GX13" s="3"/>
      <c r="GY13" s="3"/>
      <c r="GZ13" s="3"/>
      <c r="HA13" s="3"/>
      <c r="HB13" s="2"/>
      <c r="HC13" s="2"/>
      <c r="HD13" s="2"/>
      <c r="HE13" s="2"/>
      <c r="HF13" s="2"/>
      <c r="HG13" s="2"/>
      <c r="HH13" s="2"/>
      <c r="HI13" s="2"/>
      <c r="HJ13" s="3"/>
      <c r="HK13" s="3"/>
      <c r="HL13" s="3"/>
      <c r="HM13" s="3"/>
      <c r="HN13" s="3"/>
      <c r="HO13" s="3"/>
      <c r="HP13" s="3"/>
      <c r="HQ13" s="3"/>
      <c r="HR13" s="2"/>
      <c r="HS13" s="2"/>
      <c r="HT13" s="2"/>
      <c r="HU13" s="2"/>
      <c r="HV13" s="2"/>
      <c r="HW13" s="2"/>
      <c r="HX13" s="2"/>
      <c r="HY13" s="2"/>
      <c r="HZ13" s="3"/>
      <c r="IA13" s="3"/>
      <c r="IB13" s="3"/>
      <c r="IC13" s="3"/>
      <c r="ID13" s="3"/>
      <c r="IE13" s="3"/>
      <c r="IF13" s="3"/>
      <c r="IG13" s="3"/>
      <c r="IH13" s="2"/>
      <c r="II13" s="2"/>
      <c r="IJ13" s="2"/>
      <c r="IK13" s="2"/>
      <c r="IL13" s="2"/>
      <c r="IM13" s="2"/>
      <c r="IN13" s="2"/>
      <c r="IO13" s="2"/>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B1:Q1"/>
    <mergeCell ref="R1:AG1"/>
    <mergeCell ref="B2:Q2"/>
    <mergeCell ref="R2:AG2"/>
    <mergeCell ref="B4:I4"/>
    <mergeCell ref="J4:Q4"/>
    <mergeCell ref="R4:Y4"/>
    <mergeCell ref="Z4:AG4"/>
    <mergeCell ref="B3:Q3"/>
    <mergeCell ref="R3:AG3"/>
    <mergeCell ref="AH4:AO4"/>
    <mergeCell ref="AP4:AW4"/>
    <mergeCell ref="AX4:BE4"/>
    <mergeCell ref="BF4:BM4"/>
    <mergeCell ref="BN4:BU4"/>
    <mergeCell ref="BV4:CC4"/>
    <mergeCell ref="CD4:CK4"/>
    <mergeCell ref="CL4:CS4"/>
    <mergeCell ref="CT4:DA4"/>
    <mergeCell ref="DB4:DI4"/>
    <mergeCell ref="DJ4:DQ4"/>
    <mergeCell ref="DR4:DY4"/>
    <mergeCell ref="DZ4:EG4"/>
    <mergeCell ref="EH4:EO4"/>
    <mergeCell ref="EP4:EW4"/>
    <mergeCell ref="EX4:FE4"/>
    <mergeCell ref="FF4:FM4"/>
    <mergeCell ref="FN4:FU4"/>
    <mergeCell ref="FV4:GC4"/>
    <mergeCell ref="GD4:GK4"/>
    <mergeCell ref="GL4:GS4"/>
    <mergeCell ref="GT4:HA4"/>
    <mergeCell ref="HB4:HI4"/>
    <mergeCell ref="HJ4:HQ4"/>
    <mergeCell ref="HR4:HY4"/>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AX2:BM2"/>
    <mergeCell ref="BN2:CC2"/>
    <mergeCell ref="CD2:CS2"/>
    <mergeCell ref="CT2:DI2"/>
    <mergeCell ref="DJ2:DY2"/>
    <mergeCell ref="HB2:HQ2"/>
    <mergeCell ref="HR2:IG2"/>
    <mergeCell ref="IH2:IW2"/>
    <mergeCell ref="DZ2:EO2"/>
    <mergeCell ref="EP2:FE2"/>
    <mergeCell ref="FF2:FU2"/>
    <mergeCell ref="FV2:GK2"/>
    <mergeCell ref="GL2:HA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5"/>
  <sheetViews>
    <sheetView topLeftCell="B1" zoomScale="210" zoomScaleNormal="210" workbookViewId="0">
      <selection activeCell="K8" sqref="K8"/>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28</v>
      </c>
      <c r="C3">
        <v>28</v>
      </c>
      <c r="D3">
        <v>28</v>
      </c>
      <c r="E3">
        <v>30</v>
      </c>
      <c r="F3">
        <v>30</v>
      </c>
      <c r="G3">
        <v>31</v>
      </c>
      <c r="H3">
        <v>32</v>
      </c>
      <c r="I3">
        <v>30</v>
      </c>
      <c r="K3">
        <f t="shared" ref="K3:K5" si="0">AVERAGE(B3:I3)</f>
        <v>29.625</v>
      </c>
    </row>
    <row r="4" spans="1:11" x14ac:dyDescent="0.2">
      <c r="A4">
        <v>3</v>
      </c>
      <c r="B4">
        <v>27</v>
      </c>
      <c r="C4">
        <v>27</v>
      </c>
      <c r="D4">
        <v>27</v>
      </c>
      <c r="E4">
        <v>29</v>
      </c>
      <c r="F4">
        <v>29</v>
      </c>
      <c r="G4">
        <v>30</v>
      </c>
      <c r="H4">
        <v>31</v>
      </c>
      <c r="I4">
        <v>30</v>
      </c>
      <c r="K4">
        <f t="shared" si="0"/>
        <v>28.75</v>
      </c>
    </row>
    <row r="5" spans="1:11" x14ac:dyDescent="0.2">
      <c r="A5">
        <v>4</v>
      </c>
      <c r="B5">
        <v>29</v>
      </c>
      <c r="C5">
        <v>29</v>
      </c>
      <c r="D5">
        <v>29</v>
      </c>
      <c r="E5">
        <v>31</v>
      </c>
      <c r="F5">
        <v>31</v>
      </c>
      <c r="G5">
        <v>32</v>
      </c>
      <c r="H5">
        <v>33</v>
      </c>
      <c r="I5">
        <v>30</v>
      </c>
      <c r="K5">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5"/>
  <sheetViews>
    <sheetView zoomScale="160" zoomScaleNormal="160" workbookViewId="0">
      <selection activeCell="J8" sqref="J8"/>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1"/>
  <sheetViews>
    <sheetView zoomScale="180" zoomScaleNormal="180" workbookViewId="0">
      <selection activeCell="F13" sqref="F13"/>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4</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1"/>
  <sheetViews>
    <sheetView topLeftCell="A32" zoomScale="160" zoomScaleNormal="160" workbookViewId="0">
      <selection activeCell="M3" sqref="M3"/>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v>
      </c>
      <c r="N2" s="3">
        <v>0.2</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1"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v>
      </c>
      <c r="N3" s="3">
        <v>0.2</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v>
      </c>
      <c r="N4" s="3">
        <v>0.2</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v>
      </c>
      <c r="N5" s="3">
        <v>0.2</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v>
      </c>
      <c r="N6" s="3">
        <v>0.2</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v>
      </c>
      <c r="N7" s="3">
        <v>0.2</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v>
      </c>
      <c r="N8" s="3">
        <v>0.2</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v>
      </c>
      <c r="N9" s="3">
        <v>0.2</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v>
      </c>
      <c r="N10" s="3">
        <v>0.2</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v>
      </c>
      <c r="N11" s="3">
        <v>0.2</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v>
      </c>
      <c r="N12" s="3">
        <v>0.2</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v>
      </c>
      <c r="N13" s="3">
        <v>0.2</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v>
      </c>
      <c r="N14" s="3">
        <v>0.2</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v>
      </c>
      <c r="N15" s="3">
        <v>0.2</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v>
      </c>
      <c r="N16" s="3">
        <v>0.2</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v>
      </c>
      <c r="N17" s="3">
        <v>0.2</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v>
      </c>
      <c r="N18" s="3">
        <v>0.2</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v>
      </c>
      <c r="N19" s="3">
        <v>0.2</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v>
      </c>
      <c r="N20" s="3">
        <v>0.2</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v>
      </c>
      <c r="N21" s="3">
        <v>0.2</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v>
      </c>
      <c r="N22" s="3">
        <v>0.2</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v>
      </c>
      <c r="N23" s="3">
        <v>0.2</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v>
      </c>
      <c r="N24" s="3">
        <v>0.2</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v>
      </c>
      <c r="N25" s="3">
        <v>0.2</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v>
      </c>
      <c r="N26" s="3">
        <v>0.2</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v>
      </c>
      <c r="N27" s="3">
        <v>0.2</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v>
      </c>
      <c r="N28" s="3">
        <v>0.2</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v>
      </c>
      <c r="N29" s="3">
        <v>0.2</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v>
      </c>
      <c r="N30" s="3">
        <v>0.2</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v>
      </c>
      <c r="N31" s="3">
        <v>0.2</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v>
      </c>
      <c r="N32" s="3">
        <v>0.2</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v>
      </c>
      <c r="N33" s="3">
        <v>0.2</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v>
      </c>
      <c r="N34" s="3">
        <v>0.2</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v>
      </c>
      <c r="N35" s="3">
        <v>0.2</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v>
      </c>
      <c r="N36" s="3">
        <v>0.2</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v>
      </c>
      <c r="N37" s="3">
        <v>0.2</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v>
      </c>
      <c r="N38" s="3">
        <v>0.2</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v>
      </c>
      <c r="N39" s="3">
        <v>0.2</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v>
      </c>
      <c r="N40" s="3">
        <v>0.2</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v>
      </c>
      <c r="N41" s="3">
        <v>0.2</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v>
      </c>
      <c r="N42" s="3">
        <v>0.2</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v>
      </c>
      <c r="N43" s="3">
        <v>0.2</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v>
      </c>
      <c r="N44" s="3">
        <v>0.2</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v>
      </c>
      <c r="N45" s="3">
        <v>0.2</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v>
      </c>
      <c r="N46" s="3">
        <v>0.2</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v>
      </c>
      <c r="N47" s="3">
        <v>0.2</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v>
      </c>
      <c r="N48" s="3">
        <v>0.2</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v>
      </c>
      <c r="N49" s="3">
        <v>0.2</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v>
      </c>
      <c r="N50" s="3">
        <v>0.2</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v>
      </c>
      <c r="N51" s="3">
        <v>0.2</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v>
      </c>
      <c r="N52" s="3">
        <v>0.2</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v>
      </c>
      <c r="N53" s="3">
        <v>0.2</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v>
      </c>
      <c r="N54" s="3">
        <v>0.2</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v>
      </c>
      <c r="N55" s="3">
        <v>0.2</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v>
      </c>
      <c r="N56" s="3">
        <v>0.2</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v>
      </c>
      <c r="N57" s="3">
        <v>0.2</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v>
      </c>
      <c r="N58" s="3">
        <v>0.2</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v>
      </c>
      <c r="N59" s="3">
        <v>0.2</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v>
      </c>
      <c r="N60" s="3">
        <v>0.2</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v>
      </c>
      <c r="N61" s="3">
        <v>0.2</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I19" sqref="I19"/>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98</v>
      </c>
      <c r="C2" t="s">
        <v>110</v>
      </c>
      <c r="D2" s="26" t="s">
        <v>74</v>
      </c>
      <c r="E2" s="26" t="s">
        <v>98</v>
      </c>
      <c r="F2" s="51" t="s">
        <v>188</v>
      </c>
      <c r="G2" s="51" t="s">
        <v>75</v>
      </c>
      <c r="H2" s="51" t="s">
        <v>92</v>
      </c>
    </row>
    <row r="3" spans="1:8" x14ac:dyDescent="0.2">
      <c r="B3" t="s">
        <v>110</v>
      </c>
      <c r="D3" s="26" t="s">
        <v>101</v>
      </c>
      <c r="H3" s="51" t="s">
        <v>188</v>
      </c>
    </row>
    <row r="4" spans="1:8" x14ac:dyDescent="0.2">
      <c r="B4" t="s">
        <v>76</v>
      </c>
      <c r="D4" s="26" t="s">
        <v>77</v>
      </c>
    </row>
    <row r="5" spans="1:8" x14ac:dyDescent="0.2">
      <c r="B5" s="13"/>
      <c r="D5" s="26" t="s">
        <v>102</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16.798879452054791</v>
      </c>
      <c r="C15" cm="1">
        <f t="array" ref="C15">SUM(IF(ISNUMBER(VLOOKUP(C2:C13,Nodes!$B$3:$I$61,8)),VLOOKUP(C2:C13,Nodes!$B$3:$I$61,8)))</f>
        <v>3.8482712328767121</v>
      </c>
      <c r="D15" cm="1">
        <f t="array" ref="D15">SUM(IF(ISNUMBER(VLOOKUP(D2:D13,Nodes!$B$3:$I$61,8)),VLOOKUP(D2:D13,Nodes!$B$3:$I$61,8)))</f>
        <v>240.19259726027397</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10.738131506849314</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tabSelected="1" zoomScale="200" zoomScaleNormal="200" workbookViewId="0">
      <selection activeCell="B9" sqref="B9:I9"/>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v>0.2</v>
      </c>
      <c r="C2">
        <v>0.2</v>
      </c>
      <c r="D2">
        <v>0</v>
      </c>
      <c r="E2">
        <v>0.2</v>
      </c>
      <c r="F2">
        <v>0</v>
      </c>
      <c r="G2">
        <v>0.2</v>
      </c>
      <c r="H2">
        <v>0.2</v>
      </c>
      <c r="I2">
        <v>0</v>
      </c>
      <c r="K2">
        <f>HLOOKUP(A2,Traders!$A$1:$H$15,15,)</f>
        <v>32.633767123287676</v>
      </c>
      <c r="L2" cm="1">
        <f t="array" ref="L2">SUM(B2:I2*MAX('Demand Stage 1'!$B$5:$I$8))</f>
        <v>45</v>
      </c>
    </row>
    <row r="3" spans="1:12" x14ac:dyDescent="0.2">
      <c r="A3" t="s">
        <v>177</v>
      </c>
      <c r="B3">
        <v>0</v>
      </c>
      <c r="C3">
        <v>0</v>
      </c>
      <c r="D3">
        <v>0</v>
      </c>
      <c r="E3">
        <v>0</v>
      </c>
      <c r="F3">
        <v>0</v>
      </c>
      <c r="G3">
        <v>0</v>
      </c>
      <c r="H3">
        <v>0</v>
      </c>
      <c r="I3">
        <v>0</v>
      </c>
      <c r="K3">
        <f>HLOOKUP(A3,Traders!$A$1:$H$15,15,)</f>
        <v>16.798879452054791</v>
      </c>
      <c r="L3" cm="1">
        <f t="array" ref="L3">SUM(B3:I3*MAX('Demand Stage 1'!$B$5:$I$8))</f>
        <v>0</v>
      </c>
    </row>
    <row r="4" spans="1:12" x14ac:dyDescent="0.2">
      <c r="A4" t="s">
        <v>210</v>
      </c>
      <c r="B4">
        <v>0</v>
      </c>
      <c r="C4">
        <v>0</v>
      </c>
      <c r="D4">
        <v>0</v>
      </c>
      <c r="E4">
        <v>0</v>
      </c>
      <c r="F4">
        <v>0</v>
      </c>
      <c r="G4">
        <v>0</v>
      </c>
      <c r="H4">
        <v>0</v>
      </c>
      <c r="I4">
        <v>0</v>
      </c>
      <c r="K4">
        <f>HLOOKUP(A4,Traders!$A$1:$H$15,15,)</f>
        <v>3.8482712328767121</v>
      </c>
      <c r="L4" cm="1">
        <f t="array" ref="L4">SUM(B4:I4*MAX('Demand Stage 1'!$B$5:$I$8))</f>
        <v>0</v>
      </c>
    </row>
    <row r="5" spans="1:12" x14ac:dyDescent="0.2">
      <c r="A5" t="s">
        <v>163</v>
      </c>
      <c r="B5">
        <v>0.75</v>
      </c>
      <c r="C5">
        <v>0.75</v>
      </c>
      <c r="D5">
        <v>1</v>
      </c>
      <c r="E5">
        <v>0.75</v>
      </c>
      <c r="F5">
        <v>0</v>
      </c>
      <c r="G5">
        <v>0.75</v>
      </c>
      <c r="H5">
        <v>0.75</v>
      </c>
      <c r="I5">
        <v>1</v>
      </c>
      <c r="K5">
        <f>HLOOKUP(A5,Traders!$A$1:$H$15,15,)</f>
        <v>240.19259726027397</v>
      </c>
      <c r="L5" cm="1">
        <f t="array" ref="L5">SUM(B5:I5*MAX('Demand Stage 1'!$B$5:$I$8))</f>
        <v>258.75</v>
      </c>
    </row>
    <row r="6" spans="1:12" x14ac:dyDescent="0.2">
      <c r="A6" t="s">
        <v>211</v>
      </c>
      <c r="B6">
        <v>0</v>
      </c>
      <c r="C6">
        <v>0</v>
      </c>
      <c r="D6">
        <v>0</v>
      </c>
      <c r="E6">
        <v>0</v>
      </c>
      <c r="F6">
        <v>0</v>
      </c>
      <c r="G6">
        <v>0</v>
      </c>
      <c r="H6">
        <v>0</v>
      </c>
      <c r="I6">
        <v>0</v>
      </c>
      <c r="K6">
        <f>HLOOKUP(A6,Traders!$A$1:$H$15,15,)</f>
        <v>4.0645178082191773</v>
      </c>
      <c r="L6" cm="1">
        <f t="array" ref="L6">SUM(B6:I6*MAX('Demand Stage 1'!$B$5:$I$8))</f>
        <v>0</v>
      </c>
    </row>
    <row r="7" spans="1:12" x14ac:dyDescent="0.2">
      <c r="A7" t="s">
        <v>212</v>
      </c>
      <c r="B7">
        <v>0</v>
      </c>
      <c r="C7">
        <v>0</v>
      </c>
      <c r="D7">
        <v>0</v>
      </c>
      <c r="E7">
        <v>0</v>
      </c>
      <c r="F7">
        <v>0</v>
      </c>
      <c r="G7">
        <v>0</v>
      </c>
      <c r="H7">
        <v>0</v>
      </c>
      <c r="I7">
        <v>0</v>
      </c>
      <c r="K7">
        <f>HLOOKUP(A7,Traders!$A$1:$H$15,15,)</f>
        <v>10.738131506849314</v>
      </c>
      <c r="L7" cm="1">
        <f t="array" ref="L7">SUM(B7:I7*MAX('Demand Stage 1'!$B$5:$I$8))</f>
        <v>0</v>
      </c>
    </row>
    <row r="8" spans="1:12" x14ac:dyDescent="0.2">
      <c r="A8" t="s">
        <v>214</v>
      </c>
      <c r="B8">
        <v>0</v>
      </c>
      <c r="C8">
        <v>0</v>
      </c>
      <c r="D8">
        <v>0</v>
      </c>
      <c r="E8">
        <v>0</v>
      </c>
      <c r="F8">
        <v>0</v>
      </c>
      <c r="G8">
        <v>0</v>
      </c>
      <c r="H8">
        <v>0</v>
      </c>
      <c r="I8">
        <v>0</v>
      </c>
      <c r="K8">
        <f>HLOOKUP(A8,Traders!$A$1:$H$15,15,)</f>
        <v>1.5822602739726026</v>
      </c>
      <c r="L8" cm="1">
        <f t="array" ref="L8">SUM(B8:I8*MAX('Demand Stage 1'!$B$5:$I$8))</f>
        <v>0</v>
      </c>
    </row>
    <row r="9" spans="1:12" ht="17" thickBot="1" x14ac:dyDescent="0.25">
      <c r="A9" s="40" t="s">
        <v>213</v>
      </c>
      <c r="B9">
        <v>0</v>
      </c>
      <c r="C9">
        <v>0</v>
      </c>
      <c r="D9">
        <v>0</v>
      </c>
      <c r="E9">
        <v>0</v>
      </c>
      <c r="F9">
        <v>0</v>
      </c>
      <c r="G9">
        <v>0</v>
      </c>
      <c r="H9">
        <v>0</v>
      </c>
      <c r="I9">
        <v>0</v>
      </c>
      <c r="J9" s="40"/>
      <c r="K9">
        <f>HLOOKUP(A9,Traders!$A$1:$H$15,15,)</f>
        <v>10.738131506849314</v>
      </c>
      <c r="L9" s="40" cm="1">
        <f t="array" ref="L9">SUM(B9:I9*MAX('Demand Stage 1'!$B$5:$I$8))</f>
        <v>0</v>
      </c>
    </row>
    <row r="10" spans="1:12" ht="17" thickTop="1" x14ac:dyDescent="0.2">
      <c r="A10" s="8" t="s">
        <v>308</v>
      </c>
      <c r="B10">
        <f>SUM(B2:B9)</f>
        <v>0.95</v>
      </c>
      <c r="C10">
        <f t="shared" ref="C10:I10" si="0">SUM(C2:C9)</f>
        <v>0.95</v>
      </c>
      <c r="D10">
        <f t="shared" si="0"/>
        <v>1</v>
      </c>
      <c r="E10">
        <f>SUM(E2:E9)</f>
        <v>0.95</v>
      </c>
      <c r="F10">
        <f>SUM(F2:F9)</f>
        <v>0</v>
      </c>
      <c r="G10">
        <f t="shared" si="0"/>
        <v>0.95</v>
      </c>
      <c r="H10">
        <f t="shared" si="0"/>
        <v>0.95</v>
      </c>
      <c r="I10">
        <f t="shared" si="0"/>
        <v>1</v>
      </c>
      <c r="L10" cm="1">
        <f t="array" ref="L10">SUM(B10:I10*MAX('Demand Stage 1'!$B$5:$I$8))</f>
        <v>303.75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C2" sqref="C2"/>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12"/>
  <sheetViews>
    <sheetView workbookViewId="0">
      <selection activeCell="B12" sqref="B12"/>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16</vt:i4>
      </vt:variant>
    </vt:vector>
  </HeadingPairs>
  <TitlesOfParts>
    <vt:vector size="16"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2025-02-27T16:06:03Z</dcterms:modified>
</cp:coreProperties>
</file>