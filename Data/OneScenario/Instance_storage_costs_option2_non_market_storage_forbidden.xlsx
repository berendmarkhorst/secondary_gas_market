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OneScenario/"/>
    </mc:Choice>
  </mc:AlternateContent>
  <xr:revisionPtr revIDLastSave="0" documentId="13_ncr:1_{58889AAC-4A74-9E4D-BF79-5D8766FA3691}" xr6:coauthVersionLast="47" xr6:coauthVersionMax="47" xr10:uidLastSave="{00000000-0000-0000-0000-000000000000}"/>
  <bookViews>
    <workbookView xWindow="-38400" yWindow="500" windowWidth="38400" windowHeight="22060" firstSheet="1" activeTab="14"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HydrogenUncertainty" sheetId="18" r:id="rId15"/>
    <sheet name="ProductionCapacities" sheetId="15" r:id="rId16"/>
    <sheet name="Extra" sheetId="17" r:id="rId17"/>
  </sheets>
  <definedNames>
    <definedName name="_xlnm._FilterDatabase" localSheetId="9" hidden="1">Arcs!$A$1:$N$54</definedName>
    <definedName name="_xlnm._FilterDatabase" localSheetId="2" hidden="1">Nodes!$A$2:$AI$61</definedName>
    <definedName name="_xlnm._FilterDatabase" localSheetId="15"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4" i="2" l="1"/>
  <c r="O5" i="2"/>
  <c r="O6" i="2"/>
  <c r="O7" i="2"/>
  <c r="O8" i="2"/>
  <c r="AC8" i="2" s="1"/>
  <c r="O9" i="2"/>
  <c r="O10" i="2"/>
  <c r="AC10" i="2" s="1"/>
  <c r="O11" i="2"/>
  <c r="AC11" i="2" s="1"/>
  <c r="O12" i="2"/>
  <c r="O13" i="2"/>
  <c r="O14" i="2"/>
  <c r="O15" i="2"/>
  <c r="O16" i="2"/>
  <c r="O17" i="2"/>
  <c r="O18" i="2"/>
  <c r="O19" i="2"/>
  <c r="AC19" i="2" s="1"/>
  <c r="O20" i="2"/>
  <c r="O21" i="2"/>
  <c r="O22" i="2"/>
  <c r="O23" i="2"/>
  <c r="AC23" i="2" s="1"/>
  <c r="O24" i="2"/>
  <c r="AC24" i="2" s="1"/>
  <c r="O25" i="2"/>
  <c r="O26" i="2"/>
  <c r="AC26" i="2" s="1"/>
  <c r="O27" i="2"/>
  <c r="AC27" i="2" s="1"/>
  <c r="O28" i="2"/>
  <c r="O29" i="2"/>
  <c r="O30" i="2"/>
  <c r="O31" i="2"/>
  <c r="O32" i="2"/>
  <c r="O33" i="2"/>
  <c r="O34" i="2"/>
  <c r="AC34" i="2" s="1"/>
  <c r="O35" i="2"/>
  <c r="AC35" i="2" s="1"/>
  <c r="O36" i="2"/>
  <c r="O37" i="2"/>
  <c r="O38" i="2"/>
  <c r="O39" i="2"/>
  <c r="O40" i="2"/>
  <c r="O41" i="2"/>
  <c r="O42" i="2"/>
  <c r="O43" i="2"/>
  <c r="AC43" i="2" s="1"/>
  <c r="O44" i="2"/>
  <c r="O45" i="2"/>
  <c r="O46" i="2"/>
  <c r="O47" i="2"/>
  <c r="AC47" i="2" s="1"/>
  <c r="O48" i="2"/>
  <c r="AC48" i="2" s="1"/>
  <c r="O49" i="2"/>
  <c r="AC49" i="2" s="1"/>
  <c r="O50" i="2"/>
  <c r="AC50" i="2" s="1"/>
  <c r="O51" i="2"/>
  <c r="AC51" i="2" s="1"/>
  <c r="O52" i="2"/>
  <c r="O53" i="2"/>
  <c r="O54" i="2"/>
  <c r="O55" i="2"/>
  <c r="O56" i="2"/>
  <c r="O57" i="2"/>
  <c r="O58" i="2"/>
  <c r="O59" i="2"/>
  <c r="O60" i="2"/>
  <c r="O61" i="2"/>
  <c r="O3" i="2"/>
  <c r="AC17" i="2"/>
  <c r="AC18" i="2"/>
  <c r="AC31" i="2"/>
  <c r="AC32" i="2"/>
  <c r="AC33" i="2"/>
  <c r="AC42" i="2"/>
  <c r="AC55" i="2"/>
  <c r="AC56" i="2"/>
  <c r="AC57" i="2"/>
  <c r="AC58" i="2"/>
  <c r="AC59" i="2"/>
  <c r="AC15" i="2"/>
  <c r="AC21" i="2"/>
  <c r="AC45" i="2"/>
  <c r="AC3" i="2"/>
  <c r="AC9" i="2"/>
  <c r="AC38" i="2"/>
  <c r="AC39" i="2"/>
  <c r="AC46" i="2"/>
  <c r="AC54" i="2"/>
  <c r="G2" i="16"/>
  <c r="H2" i="16"/>
  <c r="F3" i="16"/>
  <c r="E4" i="16"/>
  <c r="E5" i="16"/>
  <c r="F5" i="16"/>
  <c r="E6" i="16"/>
  <c r="F6" i="16"/>
  <c r="F8" i="16"/>
  <c r="C10" i="16"/>
  <c r="I4" i="2"/>
  <c r="I5" i="2"/>
  <c r="I6" i="2"/>
  <c r="I7" i="2"/>
  <c r="I8" i="2"/>
  <c r="I9"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3" i="2"/>
  <c r="B2" i="16"/>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3" i="2"/>
  <c r="AC4" i="2"/>
  <c r="AD4" i="2"/>
  <c r="AE4" i="2"/>
  <c r="AF4" i="2"/>
  <c r="AG4" i="2"/>
  <c r="AH4" i="2"/>
  <c r="AI4" i="2"/>
  <c r="AC5" i="2"/>
  <c r="AD5" i="2"/>
  <c r="AE5" i="2"/>
  <c r="AF5" i="2"/>
  <c r="AG5" i="2"/>
  <c r="AH5" i="2"/>
  <c r="AI5" i="2"/>
  <c r="AC6" i="2"/>
  <c r="AD6" i="2"/>
  <c r="AE6" i="2"/>
  <c r="AF6" i="2"/>
  <c r="AG6" i="2"/>
  <c r="AH6" i="2"/>
  <c r="AI6" i="2"/>
  <c r="AC7" i="2"/>
  <c r="AD7" i="2"/>
  <c r="AE7" i="2"/>
  <c r="AF7" i="2"/>
  <c r="AG7" i="2"/>
  <c r="AH7" i="2"/>
  <c r="AI7" i="2"/>
  <c r="AD8" i="2"/>
  <c r="AE8" i="2"/>
  <c r="AF8" i="2"/>
  <c r="AG8" i="2"/>
  <c r="AH8" i="2"/>
  <c r="AI8" i="2"/>
  <c r="AD9" i="2"/>
  <c r="AE9" i="2"/>
  <c r="AF9" i="2"/>
  <c r="AG9" i="2"/>
  <c r="AH9" i="2"/>
  <c r="AI9" i="2"/>
  <c r="AD10" i="2"/>
  <c r="AE10" i="2"/>
  <c r="AF10" i="2"/>
  <c r="AG10" i="2"/>
  <c r="AH10" i="2"/>
  <c r="AI10" i="2"/>
  <c r="AD11" i="2"/>
  <c r="AE11" i="2"/>
  <c r="AF11" i="2"/>
  <c r="AG11" i="2"/>
  <c r="AH11" i="2"/>
  <c r="AI11" i="2"/>
  <c r="AC12" i="2"/>
  <c r="AD12" i="2"/>
  <c r="AE12" i="2"/>
  <c r="AF12" i="2"/>
  <c r="AG12" i="2"/>
  <c r="AH12" i="2"/>
  <c r="AI12" i="2"/>
  <c r="AC13" i="2"/>
  <c r="AD13" i="2"/>
  <c r="AE13" i="2"/>
  <c r="AF13" i="2"/>
  <c r="AG13" i="2"/>
  <c r="AH13" i="2"/>
  <c r="AI13" i="2"/>
  <c r="AC14" i="2"/>
  <c r="AD14" i="2"/>
  <c r="AE14" i="2"/>
  <c r="AF14" i="2"/>
  <c r="AG14" i="2"/>
  <c r="AH14" i="2"/>
  <c r="AI14" i="2"/>
  <c r="AD15" i="2"/>
  <c r="AE15" i="2"/>
  <c r="AF15" i="2"/>
  <c r="AG15" i="2"/>
  <c r="AH15" i="2"/>
  <c r="AI15" i="2"/>
  <c r="AC16" i="2"/>
  <c r="AD16" i="2"/>
  <c r="AE16" i="2"/>
  <c r="AF16" i="2"/>
  <c r="AG16" i="2"/>
  <c r="AH16" i="2"/>
  <c r="AI16" i="2"/>
  <c r="AD17" i="2"/>
  <c r="AE17" i="2"/>
  <c r="AF17" i="2"/>
  <c r="AG17" i="2"/>
  <c r="AH17" i="2"/>
  <c r="AI17" i="2"/>
  <c r="AD18" i="2"/>
  <c r="AE18" i="2"/>
  <c r="AF18" i="2"/>
  <c r="AG18" i="2"/>
  <c r="AH18" i="2"/>
  <c r="AI18" i="2"/>
  <c r="AD19" i="2"/>
  <c r="AE19" i="2"/>
  <c r="AF19" i="2"/>
  <c r="AG19" i="2"/>
  <c r="AH19" i="2"/>
  <c r="AI19" i="2"/>
  <c r="AC20" i="2"/>
  <c r="AD20" i="2"/>
  <c r="AE20" i="2"/>
  <c r="AF20" i="2"/>
  <c r="AG20" i="2"/>
  <c r="AH20" i="2"/>
  <c r="AI20" i="2"/>
  <c r="AD21" i="2"/>
  <c r="AE21" i="2"/>
  <c r="AF21" i="2"/>
  <c r="AG21" i="2"/>
  <c r="AH21" i="2"/>
  <c r="AI21" i="2"/>
  <c r="AC22" i="2"/>
  <c r="AD22" i="2"/>
  <c r="AE22" i="2"/>
  <c r="AF22" i="2"/>
  <c r="AG22" i="2"/>
  <c r="AH22" i="2"/>
  <c r="AI22" i="2"/>
  <c r="AD23" i="2"/>
  <c r="AE23" i="2"/>
  <c r="AF23" i="2"/>
  <c r="AG23" i="2"/>
  <c r="AH23" i="2"/>
  <c r="AI23" i="2"/>
  <c r="AD24" i="2"/>
  <c r="AE24" i="2"/>
  <c r="AF24" i="2"/>
  <c r="AG24" i="2"/>
  <c r="AH24" i="2"/>
  <c r="AI24" i="2"/>
  <c r="AC25" i="2"/>
  <c r="AD25" i="2"/>
  <c r="AE25" i="2"/>
  <c r="AF25" i="2"/>
  <c r="AG25" i="2"/>
  <c r="AH25" i="2"/>
  <c r="AI25" i="2"/>
  <c r="AD26" i="2"/>
  <c r="AE26" i="2"/>
  <c r="AF26" i="2"/>
  <c r="AG26" i="2"/>
  <c r="AH26" i="2"/>
  <c r="AI26" i="2"/>
  <c r="AD27" i="2"/>
  <c r="AE27" i="2"/>
  <c r="AF27" i="2"/>
  <c r="AG27" i="2"/>
  <c r="AH27" i="2"/>
  <c r="AI27" i="2"/>
  <c r="AC28" i="2"/>
  <c r="AD28" i="2"/>
  <c r="AE28" i="2"/>
  <c r="AF28" i="2"/>
  <c r="AG28" i="2"/>
  <c r="AH28" i="2"/>
  <c r="AI28" i="2"/>
  <c r="AC29" i="2"/>
  <c r="AD29" i="2"/>
  <c r="AE29" i="2"/>
  <c r="AF29" i="2"/>
  <c r="AG29" i="2"/>
  <c r="AH29" i="2"/>
  <c r="AI29" i="2"/>
  <c r="AC30" i="2"/>
  <c r="AD30" i="2"/>
  <c r="AE30" i="2"/>
  <c r="AF30" i="2"/>
  <c r="AG30" i="2"/>
  <c r="AH30" i="2"/>
  <c r="AI30" i="2"/>
  <c r="AD31" i="2"/>
  <c r="AE31" i="2"/>
  <c r="AF31" i="2"/>
  <c r="AG31" i="2"/>
  <c r="AH31" i="2"/>
  <c r="AI31" i="2"/>
  <c r="AD32" i="2"/>
  <c r="AE32" i="2"/>
  <c r="AF32" i="2"/>
  <c r="AG32" i="2"/>
  <c r="AH32" i="2"/>
  <c r="AI32" i="2"/>
  <c r="AD33" i="2"/>
  <c r="AE33" i="2"/>
  <c r="AF33" i="2"/>
  <c r="AG33" i="2"/>
  <c r="AH33" i="2"/>
  <c r="AI33" i="2"/>
  <c r="AD34" i="2"/>
  <c r="AE34" i="2"/>
  <c r="AF34" i="2"/>
  <c r="AG34" i="2"/>
  <c r="AH34" i="2"/>
  <c r="AI34" i="2"/>
  <c r="AD35" i="2"/>
  <c r="AE35" i="2"/>
  <c r="AF35" i="2"/>
  <c r="AG35" i="2"/>
  <c r="AH35" i="2"/>
  <c r="AI35" i="2"/>
  <c r="AC36" i="2"/>
  <c r="AD36" i="2"/>
  <c r="AE36" i="2"/>
  <c r="AF36" i="2"/>
  <c r="AG36" i="2"/>
  <c r="AH36" i="2"/>
  <c r="AI36" i="2"/>
  <c r="AC37" i="2"/>
  <c r="AD37" i="2"/>
  <c r="AE37" i="2"/>
  <c r="AF37" i="2"/>
  <c r="AG37" i="2"/>
  <c r="AH37" i="2"/>
  <c r="AI37" i="2"/>
  <c r="AD38" i="2"/>
  <c r="AE38" i="2"/>
  <c r="AF38" i="2"/>
  <c r="AG38" i="2"/>
  <c r="AH38" i="2"/>
  <c r="AI38" i="2"/>
  <c r="AD39" i="2"/>
  <c r="AE39" i="2"/>
  <c r="AF39" i="2"/>
  <c r="AG39" i="2"/>
  <c r="AH39" i="2"/>
  <c r="AI39" i="2"/>
  <c r="AC40" i="2"/>
  <c r="AD40" i="2"/>
  <c r="AE40" i="2"/>
  <c r="AF40" i="2"/>
  <c r="AG40" i="2"/>
  <c r="AH40" i="2"/>
  <c r="AI40" i="2"/>
  <c r="AC41" i="2"/>
  <c r="AD41" i="2"/>
  <c r="AE41" i="2"/>
  <c r="AF41" i="2"/>
  <c r="AG41" i="2"/>
  <c r="AH41" i="2"/>
  <c r="AI41" i="2"/>
  <c r="AD42" i="2"/>
  <c r="AE42" i="2"/>
  <c r="AF42" i="2"/>
  <c r="AG42" i="2"/>
  <c r="AH42" i="2"/>
  <c r="AI42" i="2"/>
  <c r="AD43" i="2"/>
  <c r="AE43" i="2"/>
  <c r="AF43" i="2"/>
  <c r="AG43" i="2"/>
  <c r="AH43" i="2"/>
  <c r="AI43" i="2"/>
  <c r="AC44" i="2"/>
  <c r="AD44" i="2"/>
  <c r="AE44" i="2"/>
  <c r="AF44" i="2"/>
  <c r="AG44" i="2"/>
  <c r="AH44" i="2"/>
  <c r="AI44" i="2"/>
  <c r="AD45" i="2"/>
  <c r="AE45" i="2"/>
  <c r="AF45" i="2"/>
  <c r="AG45" i="2"/>
  <c r="AH45" i="2"/>
  <c r="AI45" i="2"/>
  <c r="AD46" i="2"/>
  <c r="AE46" i="2"/>
  <c r="AF46" i="2"/>
  <c r="AG46" i="2"/>
  <c r="AH46" i="2"/>
  <c r="AI46" i="2"/>
  <c r="AD47" i="2"/>
  <c r="AE47" i="2"/>
  <c r="AF47" i="2"/>
  <c r="AG47" i="2"/>
  <c r="AH47" i="2"/>
  <c r="AI47" i="2"/>
  <c r="AD48" i="2"/>
  <c r="AE48" i="2"/>
  <c r="AF48" i="2"/>
  <c r="AG48" i="2"/>
  <c r="AH48" i="2"/>
  <c r="AI48" i="2"/>
  <c r="AD49" i="2"/>
  <c r="AE49" i="2"/>
  <c r="AF49" i="2"/>
  <c r="AG49" i="2"/>
  <c r="AH49" i="2"/>
  <c r="AI49" i="2"/>
  <c r="AD50" i="2"/>
  <c r="AE50" i="2"/>
  <c r="AF50" i="2"/>
  <c r="AG50" i="2"/>
  <c r="AH50" i="2"/>
  <c r="AI50" i="2"/>
  <c r="AD51" i="2"/>
  <c r="AE51" i="2"/>
  <c r="AF51" i="2"/>
  <c r="AG51" i="2"/>
  <c r="AH51" i="2"/>
  <c r="AI51" i="2"/>
  <c r="AC52" i="2"/>
  <c r="AD52" i="2"/>
  <c r="AE52" i="2"/>
  <c r="AF52" i="2"/>
  <c r="AG52" i="2"/>
  <c r="AH52" i="2"/>
  <c r="AI52" i="2"/>
  <c r="AC53" i="2"/>
  <c r="AD53" i="2"/>
  <c r="AE53" i="2"/>
  <c r="AF53" i="2"/>
  <c r="AG53" i="2"/>
  <c r="AH53" i="2"/>
  <c r="AI53" i="2"/>
  <c r="AD54" i="2"/>
  <c r="AE54" i="2"/>
  <c r="AF54" i="2"/>
  <c r="AG54" i="2"/>
  <c r="AH54" i="2"/>
  <c r="AI54" i="2"/>
  <c r="AD55" i="2"/>
  <c r="AE55" i="2"/>
  <c r="AF55" i="2"/>
  <c r="AG55" i="2"/>
  <c r="AH55" i="2"/>
  <c r="AI55" i="2"/>
  <c r="AD56" i="2"/>
  <c r="AE56" i="2"/>
  <c r="AF56" i="2"/>
  <c r="AG56" i="2"/>
  <c r="AH56" i="2"/>
  <c r="AI56" i="2"/>
  <c r="AD57" i="2"/>
  <c r="AE57" i="2"/>
  <c r="AF57" i="2"/>
  <c r="AG57" i="2"/>
  <c r="AH57" i="2"/>
  <c r="AI57" i="2"/>
  <c r="AD58" i="2"/>
  <c r="AE58" i="2"/>
  <c r="AF58" i="2"/>
  <c r="AG58" i="2"/>
  <c r="AH58" i="2"/>
  <c r="AI58" i="2"/>
  <c r="AD59" i="2"/>
  <c r="AE59" i="2"/>
  <c r="AF59" i="2"/>
  <c r="AG59" i="2"/>
  <c r="AH59" i="2"/>
  <c r="AI59" i="2"/>
  <c r="AC60" i="2"/>
  <c r="AD60" i="2"/>
  <c r="AE60" i="2"/>
  <c r="AF60" i="2"/>
  <c r="AG60" i="2"/>
  <c r="AH60" i="2"/>
  <c r="AI60" i="2"/>
  <c r="AC61" i="2"/>
  <c r="AD61" i="2"/>
  <c r="AE61" i="2"/>
  <c r="AF61" i="2"/>
  <c r="AG61" i="2"/>
  <c r="AH61" i="2"/>
  <c r="AI61" i="2"/>
  <c r="AD3" i="2"/>
  <c r="AE3" i="2"/>
  <c r="AF3" i="2"/>
  <c r="AG3" i="2"/>
  <c r="AH3" i="2"/>
  <c r="AI3" i="2"/>
  <c r="K62" i="1"/>
  <c r="O62" i="1" s="1" a="1"/>
  <c r="O62" i="1" s="1"/>
  <c r="L62" i="1"/>
  <c r="P62" i="1" s="1" a="1"/>
  <c r="P62" i="1" s="1"/>
  <c r="H24" i="17"/>
  <c r="C24" i="17"/>
  <c r="B24" i="17"/>
  <c r="A24" i="17"/>
  <c r="F21" i="17"/>
  <c r="E21" i="17"/>
  <c r="D21" i="17"/>
  <c r="F20" i="17"/>
  <c r="E20" i="17"/>
  <c r="D20" i="17"/>
  <c r="D24" i="17" s="1"/>
  <c r="F19" i="17"/>
  <c r="E19" i="17"/>
  <c r="D19" i="17"/>
  <c r="D18" i="17"/>
  <c r="E17" i="17"/>
  <c r="G16" i="17"/>
  <c r="G24" i="17" s="1"/>
  <c r="F16" i="17"/>
  <c r="F24" i="17" s="1"/>
  <c r="E16" i="17"/>
  <c r="E24" i="17" s="1"/>
  <c r="A16" i="17"/>
  <c r="K2" i="11"/>
  <c r="K3" i="11"/>
  <c r="K4" i="11"/>
  <c r="K5" i="11"/>
  <c r="K6" i="11"/>
  <c r="K7" i="11"/>
  <c r="K8" i="11"/>
  <c r="K9" i="11"/>
  <c r="II6" i="9"/>
  <c r="IJ6" i="9"/>
  <c r="IK6" i="9"/>
  <c r="IL6" i="9"/>
  <c r="IM6" i="9"/>
  <c r="IN6" i="9"/>
  <c r="IO6" i="9"/>
  <c r="II7" i="9"/>
  <c r="IJ7" i="9"/>
  <c r="IK7" i="9"/>
  <c r="IL7" i="9"/>
  <c r="IM7" i="9"/>
  <c r="IN7" i="9"/>
  <c r="IO7" i="9"/>
  <c r="II8" i="9"/>
  <c r="IJ8" i="9"/>
  <c r="IK8" i="9"/>
  <c r="IL8" i="9"/>
  <c r="IM8" i="9"/>
  <c r="IN8" i="9"/>
  <c r="IO8" i="9"/>
  <c r="II9" i="9"/>
  <c r="IJ9" i="9"/>
  <c r="IK9" i="9"/>
  <c r="IL9" i="9"/>
  <c r="IM9" i="9"/>
  <c r="IN9" i="9"/>
  <c r="IO9" i="9"/>
  <c r="II10" i="9"/>
  <c r="IJ10" i="9"/>
  <c r="IK10" i="9"/>
  <c r="IL10" i="9"/>
  <c r="IM10" i="9"/>
  <c r="IN10" i="9"/>
  <c r="IO10" i="9"/>
  <c r="II11" i="9"/>
  <c r="IJ11" i="9"/>
  <c r="IK11" i="9"/>
  <c r="IL11" i="9"/>
  <c r="IM11" i="9"/>
  <c r="IN11" i="9"/>
  <c r="IO11" i="9"/>
  <c r="II12" i="9"/>
  <c r="IJ12" i="9"/>
  <c r="IK12" i="9"/>
  <c r="IL12" i="9"/>
  <c r="IM12" i="9"/>
  <c r="IN12" i="9"/>
  <c r="IO12" i="9"/>
  <c r="II13" i="9"/>
  <c r="IJ13" i="9"/>
  <c r="IK13" i="9"/>
  <c r="IL13" i="9"/>
  <c r="IM13" i="9"/>
  <c r="IN13" i="9"/>
  <c r="IO13" i="9"/>
  <c r="IH7" i="9"/>
  <c r="IH8" i="9"/>
  <c r="IH9" i="9"/>
  <c r="IH10" i="9"/>
  <c r="IH11" i="9"/>
  <c r="IH12" i="9"/>
  <c r="IH13" i="9"/>
  <c r="HS6" i="9"/>
  <c r="HT6" i="9"/>
  <c r="HU6" i="9"/>
  <c r="HV6" i="9"/>
  <c r="HW6" i="9"/>
  <c r="HX6" i="9"/>
  <c r="HY6" i="9"/>
  <c r="HS7" i="9"/>
  <c r="HT7" i="9"/>
  <c r="HU7" i="9"/>
  <c r="HV7" i="9"/>
  <c r="HW7" i="9"/>
  <c r="HX7" i="9"/>
  <c r="HY7" i="9"/>
  <c r="HS8" i="9"/>
  <c r="HT8" i="9"/>
  <c r="HU8" i="9"/>
  <c r="HV8" i="9"/>
  <c r="HW8" i="9"/>
  <c r="HX8" i="9"/>
  <c r="HY8" i="9"/>
  <c r="HS9" i="9"/>
  <c r="HT9" i="9"/>
  <c r="HU9" i="9"/>
  <c r="HV9" i="9"/>
  <c r="HW9" i="9"/>
  <c r="HX9" i="9"/>
  <c r="HY9" i="9"/>
  <c r="HS10" i="9"/>
  <c r="HT10" i="9"/>
  <c r="HU10" i="9"/>
  <c r="HV10" i="9"/>
  <c r="HW10" i="9"/>
  <c r="HX10" i="9"/>
  <c r="HY10" i="9"/>
  <c r="HS11" i="9"/>
  <c r="HT11" i="9"/>
  <c r="HU11" i="9"/>
  <c r="HV11" i="9"/>
  <c r="HW11" i="9"/>
  <c r="HX11" i="9"/>
  <c r="HY11" i="9"/>
  <c r="HS12" i="9"/>
  <c r="HT12" i="9"/>
  <c r="HU12" i="9"/>
  <c r="HV12" i="9"/>
  <c r="HW12" i="9"/>
  <c r="HX12" i="9"/>
  <c r="HY12" i="9"/>
  <c r="HS13" i="9"/>
  <c r="HT13" i="9"/>
  <c r="HU13" i="9"/>
  <c r="HV13" i="9"/>
  <c r="HW13" i="9"/>
  <c r="HX13" i="9"/>
  <c r="HY13" i="9"/>
  <c r="HR7" i="9"/>
  <c r="HR8" i="9"/>
  <c r="HR9" i="9"/>
  <c r="HR10" i="9"/>
  <c r="HR11" i="9"/>
  <c r="HR12" i="9"/>
  <c r="HR13" i="9"/>
  <c r="HC6" i="9"/>
  <c r="HD6" i="9"/>
  <c r="HE6" i="9"/>
  <c r="HF6" i="9"/>
  <c r="HG6" i="9"/>
  <c r="HH6" i="9"/>
  <c r="HI6" i="9"/>
  <c r="HC7" i="9"/>
  <c r="HD7" i="9"/>
  <c r="HE7" i="9"/>
  <c r="HF7" i="9"/>
  <c r="HG7" i="9"/>
  <c r="HH7" i="9"/>
  <c r="HI7" i="9"/>
  <c r="HC8" i="9"/>
  <c r="HD8" i="9"/>
  <c r="HE8" i="9"/>
  <c r="HF8" i="9"/>
  <c r="HG8" i="9"/>
  <c r="HH8" i="9"/>
  <c r="HI8" i="9"/>
  <c r="HC9" i="9"/>
  <c r="HD9" i="9"/>
  <c r="HE9" i="9"/>
  <c r="HF9" i="9"/>
  <c r="HG9" i="9"/>
  <c r="HH9" i="9"/>
  <c r="HI9" i="9"/>
  <c r="HC10" i="9"/>
  <c r="HD10" i="9"/>
  <c r="HE10" i="9"/>
  <c r="HF10" i="9"/>
  <c r="HG10" i="9"/>
  <c r="HH10" i="9"/>
  <c r="HI10" i="9"/>
  <c r="HC11" i="9"/>
  <c r="HD11" i="9"/>
  <c r="HE11" i="9"/>
  <c r="HF11" i="9"/>
  <c r="HG11" i="9"/>
  <c r="HH11" i="9"/>
  <c r="HI11" i="9"/>
  <c r="HC12" i="9"/>
  <c r="HD12" i="9"/>
  <c r="HE12" i="9"/>
  <c r="HF12" i="9"/>
  <c r="HG12" i="9"/>
  <c r="HH12" i="9"/>
  <c r="HI12" i="9"/>
  <c r="HC13" i="9"/>
  <c r="HD13" i="9"/>
  <c r="HE13" i="9"/>
  <c r="HF13" i="9"/>
  <c r="HG13" i="9"/>
  <c r="HH13" i="9"/>
  <c r="HI13" i="9"/>
  <c r="HB7" i="9"/>
  <c r="HB8" i="9"/>
  <c r="HB9" i="9"/>
  <c r="HB10" i="9"/>
  <c r="HB11" i="9"/>
  <c r="HB12" i="9"/>
  <c r="HB13" i="9"/>
  <c r="GM6" i="9"/>
  <c r="GN6" i="9"/>
  <c r="GO6" i="9"/>
  <c r="GP6" i="9"/>
  <c r="GQ6" i="9"/>
  <c r="GR6" i="9"/>
  <c r="GS6" i="9"/>
  <c r="GM7" i="9"/>
  <c r="GN7" i="9"/>
  <c r="GO7" i="9"/>
  <c r="GP7" i="9"/>
  <c r="GQ7" i="9"/>
  <c r="GR7" i="9"/>
  <c r="GS7" i="9"/>
  <c r="GM8" i="9"/>
  <c r="GN8" i="9"/>
  <c r="GO8" i="9"/>
  <c r="GP8" i="9"/>
  <c r="GQ8" i="9"/>
  <c r="GR8" i="9"/>
  <c r="GS8" i="9"/>
  <c r="GM9" i="9"/>
  <c r="GN9" i="9"/>
  <c r="GO9" i="9"/>
  <c r="GP9" i="9"/>
  <c r="GQ9" i="9"/>
  <c r="GR9" i="9"/>
  <c r="GS9" i="9"/>
  <c r="GM10" i="9"/>
  <c r="GN10" i="9"/>
  <c r="GO10" i="9"/>
  <c r="GP10" i="9"/>
  <c r="GQ10" i="9"/>
  <c r="GR10" i="9"/>
  <c r="GS10" i="9"/>
  <c r="GM11" i="9"/>
  <c r="GN11" i="9"/>
  <c r="GO11" i="9"/>
  <c r="GP11" i="9"/>
  <c r="GQ11" i="9"/>
  <c r="GR11" i="9"/>
  <c r="GS11" i="9"/>
  <c r="GM12" i="9"/>
  <c r="GN12" i="9"/>
  <c r="GO12" i="9"/>
  <c r="GP12" i="9"/>
  <c r="GQ12" i="9"/>
  <c r="GR12" i="9"/>
  <c r="GS12" i="9"/>
  <c r="GM13" i="9"/>
  <c r="GN13" i="9"/>
  <c r="GO13" i="9"/>
  <c r="GP13" i="9"/>
  <c r="GQ13" i="9"/>
  <c r="GR13" i="9"/>
  <c r="GS13" i="9"/>
  <c r="GL7" i="9"/>
  <c r="GL8" i="9"/>
  <c r="GL9" i="9"/>
  <c r="GL10" i="9"/>
  <c r="GL11" i="9"/>
  <c r="GL12" i="9"/>
  <c r="GL13" i="9"/>
  <c r="FW6" i="9"/>
  <c r="FX6" i="9"/>
  <c r="FY6" i="9"/>
  <c r="FZ6" i="9"/>
  <c r="GA6" i="9"/>
  <c r="GB6" i="9"/>
  <c r="GC6" i="9"/>
  <c r="FW7" i="9"/>
  <c r="FX7" i="9"/>
  <c r="FY7" i="9"/>
  <c r="FZ7" i="9"/>
  <c r="GA7" i="9"/>
  <c r="GB7" i="9"/>
  <c r="GC7" i="9"/>
  <c r="FW8" i="9"/>
  <c r="FX8" i="9"/>
  <c r="FY8" i="9"/>
  <c r="FZ8" i="9"/>
  <c r="GA8" i="9"/>
  <c r="GB8" i="9"/>
  <c r="GC8" i="9"/>
  <c r="FW9" i="9"/>
  <c r="FX9" i="9"/>
  <c r="FY9" i="9"/>
  <c r="FZ9" i="9"/>
  <c r="GA9" i="9"/>
  <c r="GB9" i="9"/>
  <c r="GC9" i="9"/>
  <c r="FW10" i="9"/>
  <c r="FX10" i="9"/>
  <c r="GA10" i="9"/>
  <c r="GC10" i="9"/>
  <c r="FW11" i="9"/>
  <c r="FX11" i="9"/>
  <c r="FY11" i="9"/>
  <c r="FZ11" i="9"/>
  <c r="GA11" i="9"/>
  <c r="GB11" i="9"/>
  <c r="GC11" i="9"/>
  <c r="FW12" i="9"/>
  <c r="FX12" i="9"/>
  <c r="FY12" i="9"/>
  <c r="FZ12" i="9"/>
  <c r="GA12" i="9"/>
  <c r="GB12" i="9"/>
  <c r="GC12" i="9"/>
  <c r="FW13" i="9"/>
  <c r="FX13" i="9"/>
  <c r="GA13" i="9"/>
  <c r="GC13" i="9"/>
  <c r="FV7" i="9"/>
  <c r="FV8" i="9"/>
  <c r="FV9" i="9"/>
  <c r="FV10" i="9"/>
  <c r="FV11" i="9"/>
  <c r="FV12" i="9"/>
  <c r="FV13" i="9"/>
  <c r="FG6" i="9"/>
  <c r="FH6" i="9"/>
  <c r="FI6" i="9"/>
  <c r="FJ6" i="9"/>
  <c r="FK6" i="9"/>
  <c r="FL6" i="9"/>
  <c r="FM6" i="9"/>
  <c r="FG7" i="9"/>
  <c r="FH7" i="9"/>
  <c r="FI7" i="9"/>
  <c r="FJ7" i="9"/>
  <c r="FK7" i="9"/>
  <c r="FL7" i="9"/>
  <c r="FM7" i="9"/>
  <c r="FG8" i="9"/>
  <c r="FH8" i="9"/>
  <c r="FI8" i="9"/>
  <c r="FJ8" i="9"/>
  <c r="FK8" i="9"/>
  <c r="FL8" i="9"/>
  <c r="FM8" i="9"/>
  <c r="FG9" i="9"/>
  <c r="FH9" i="9"/>
  <c r="FI9" i="9"/>
  <c r="FJ9" i="9"/>
  <c r="FK9" i="9"/>
  <c r="FL9" i="9"/>
  <c r="FM9" i="9"/>
  <c r="FG10" i="9"/>
  <c r="FH10" i="9"/>
  <c r="FK10" i="9"/>
  <c r="FM10" i="9"/>
  <c r="FG11" i="9"/>
  <c r="FH11" i="9"/>
  <c r="FI11" i="9"/>
  <c r="FJ11" i="9"/>
  <c r="FK11" i="9"/>
  <c r="FL11" i="9"/>
  <c r="FM11" i="9"/>
  <c r="FG12" i="9"/>
  <c r="FH12" i="9"/>
  <c r="FI12" i="9"/>
  <c r="FJ12" i="9"/>
  <c r="FK12" i="9"/>
  <c r="FL12" i="9"/>
  <c r="FM12" i="9"/>
  <c r="FG13" i="9"/>
  <c r="FH13" i="9"/>
  <c r="FK13" i="9"/>
  <c r="FM13" i="9"/>
  <c r="FF7" i="9"/>
  <c r="FF8" i="9"/>
  <c r="FF9" i="9"/>
  <c r="FF10" i="9"/>
  <c r="FF11" i="9"/>
  <c r="FF12" i="9"/>
  <c r="FF13" i="9"/>
  <c r="EQ6" i="9"/>
  <c r="ER6" i="9"/>
  <c r="ES6" i="9"/>
  <c r="ET6" i="9"/>
  <c r="EU6" i="9"/>
  <c r="EV6" i="9"/>
  <c r="EW6" i="9"/>
  <c r="EQ7" i="9"/>
  <c r="ER7" i="9"/>
  <c r="ES7" i="9"/>
  <c r="ET7" i="9"/>
  <c r="EU7" i="9"/>
  <c r="EV7" i="9"/>
  <c r="EW7" i="9"/>
  <c r="EQ8" i="9"/>
  <c r="ER8" i="9"/>
  <c r="ES8" i="9"/>
  <c r="ET8" i="9"/>
  <c r="EU8" i="9"/>
  <c r="EV8" i="9"/>
  <c r="EW8" i="9"/>
  <c r="EQ9" i="9"/>
  <c r="ER9" i="9"/>
  <c r="ES9" i="9"/>
  <c r="ET9" i="9"/>
  <c r="EU9" i="9"/>
  <c r="EV9" i="9"/>
  <c r="EW9" i="9"/>
  <c r="EQ10" i="9"/>
  <c r="ER10" i="9"/>
  <c r="EU10" i="9"/>
  <c r="EW10" i="9"/>
  <c r="EQ11" i="9"/>
  <c r="ER11" i="9"/>
  <c r="ES11" i="9"/>
  <c r="ET11" i="9"/>
  <c r="EU11" i="9"/>
  <c r="EV11" i="9"/>
  <c r="EW11" i="9"/>
  <c r="EQ12" i="9"/>
  <c r="ER12" i="9"/>
  <c r="ES12" i="9"/>
  <c r="ET12" i="9"/>
  <c r="EU12" i="9"/>
  <c r="EV12" i="9"/>
  <c r="EW12" i="9"/>
  <c r="EQ13" i="9"/>
  <c r="ER13" i="9"/>
  <c r="EU13" i="9"/>
  <c r="EW13" i="9"/>
  <c r="EP7" i="9"/>
  <c r="EP8" i="9"/>
  <c r="EP9" i="9"/>
  <c r="EP10" i="9"/>
  <c r="EP11" i="9"/>
  <c r="EP12" i="9"/>
  <c r="EP13" i="9"/>
  <c r="EA6" i="9"/>
  <c r="EB6" i="9"/>
  <c r="EC6" i="9"/>
  <c r="ED6" i="9"/>
  <c r="EE6" i="9"/>
  <c r="EF6" i="9"/>
  <c r="EG6" i="9"/>
  <c r="EA7" i="9"/>
  <c r="EB7" i="9"/>
  <c r="EC7" i="9"/>
  <c r="ED7" i="9"/>
  <c r="EE7" i="9"/>
  <c r="EF7" i="9"/>
  <c r="EG7" i="9"/>
  <c r="EA8" i="9"/>
  <c r="EB8" i="9"/>
  <c r="EC8" i="9"/>
  <c r="ED8" i="9"/>
  <c r="EE8" i="9"/>
  <c r="EF8" i="9"/>
  <c r="EG8" i="9"/>
  <c r="EA9" i="9"/>
  <c r="EB9" i="9"/>
  <c r="EC9" i="9"/>
  <c r="ED9" i="9"/>
  <c r="EE9" i="9"/>
  <c r="EF9" i="9"/>
  <c r="EG9" i="9"/>
  <c r="EA10" i="9"/>
  <c r="EB10" i="9"/>
  <c r="EE10" i="9"/>
  <c r="EF10" i="9"/>
  <c r="EV10" i="9" s="1"/>
  <c r="FL10" i="9" s="1"/>
  <c r="GB10" i="9" s="1"/>
  <c r="EG10" i="9"/>
  <c r="EA11" i="9"/>
  <c r="EB11" i="9"/>
  <c r="EC11" i="9"/>
  <c r="ED11" i="9"/>
  <c r="EE11" i="9"/>
  <c r="EF11" i="9"/>
  <c r="EG11" i="9"/>
  <c r="EA12" i="9"/>
  <c r="EB12" i="9"/>
  <c r="EC12" i="9"/>
  <c r="ED12" i="9"/>
  <c r="EE12" i="9"/>
  <c r="EF12" i="9"/>
  <c r="EG12" i="9"/>
  <c r="EA13" i="9"/>
  <c r="EB13" i="9"/>
  <c r="ED13" i="9"/>
  <c r="ET13" i="9" s="1"/>
  <c r="FJ13" i="9" s="1"/>
  <c r="FZ13" i="9" s="1"/>
  <c r="EE13" i="9"/>
  <c r="EF13" i="9"/>
  <c r="EV13" i="9" s="1"/>
  <c r="FL13" i="9" s="1"/>
  <c r="GB13" i="9" s="1"/>
  <c r="EG13" i="9"/>
  <c r="DZ10" i="9"/>
  <c r="DZ11" i="9"/>
  <c r="DZ12" i="9"/>
  <c r="DZ13" i="9"/>
  <c r="DZ7" i="9"/>
  <c r="DZ8" i="9"/>
  <c r="DZ9" i="9"/>
  <c r="B1" i="9"/>
  <c r="DK6" i="9"/>
  <c r="DL6" i="9"/>
  <c r="DM6" i="9"/>
  <c r="DN6" i="9"/>
  <c r="DO6" i="9"/>
  <c r="DP6" i="9"/>
  <c r="DQ6" i="9"/>
  <c r="DK7" i="9"/>
  <c r="DL7" i="9"/>
  <c r="DM7" i="9"/>
  <c r="DN7" i="9"/>
  <c r="DO7" i="9"/>
  <c r="DP7" i="9"/>
  <c r="DQ7" i="9"/>
  <c r="DK8" i="9"/>
  <c r="DL8" i="9"/>
  <c r="DM8" i="9"/>
  <c r="DN8" i="9"/>
  <c r="DO8" i="9"/>
  <c r="DP8" i="9"/>
  <c r="DQ8" i="9"/>
  <c r="DK9" i="9"/>
  <c r="DL9" i="9"/>
  <c r="DM9" i="9"/>
  <c r="DN9" i="9"/>
  <c r="DO9" i="9"/>
  <c r="DP9" i="9"/>
  <c r="DQ9" i="9"/>
  <c r="DK10" i="9"/>
  <c r="DL10" i="9"/>
  <c r="DO10" i="9"/>
  <c r="DQ10" i="9"/>
  <c r="DK11" i="9"/>
  <c r="DL11" i="9"/>
  <c r="DM11" i="9"/>
  <c r="DN11" i="9"/>
  <c r="DO11" i="9"/>
  <c r="DP11" i="9"/>
  <c r="DQ11" i="9"/>
  <c r="DK12" i="9"/>
  <c r="DL12" i="9"/>
  <c r="DM12" i="9"/>
  <c r="DN12" i="9"/>
  <c r="DO12" i="9"/>
  <c r="DP12" i="9"/>
  <c r="DQ12" i="9"/>
  <c r="DK13" i="9"/>
  <c r="DL13" i="9"/>
  <c r="DO13" i="9"/>
  <c r="DQ13" i="9"/>
  <c r="DJ7" i="9"/>
  <c r="DJ8" i="9"/>
  <c r="DJ9" i="9"/>
  <c r="DJ10" i="9"/>
  <c r="DJ11" i="9"/>
  <c r="DJ12" i="9"/>
  <c r="DJ13" i="9"/>
  <c r="CU12" i="9"/>
  <c r="CV12" i="9"/>
  <c r="CW12" i="9"/>
  <c r="CX12" i="9"/>
  <c r="CY12" i="9"/>
  <c r="CZ12" i="9"/>
  <c r="DA12" i="9"/>
  <c r="CU13" i="9"/>
  <c r="CV13" i="9"/>
  <c r="CY13" i="9"/>
  <c r="DA13" i="9"/>
  <c r="CT13" i="9"/>
  <c r="CE11" i="9"/>
  <c r="CF11" i="9"/>
  <c r="CV11" i="9" s="1"/>
  <c r="CG11" i="9"/>
  <c r="CH11" i="9"/>
  <c r="CX11" i="9" s="1"/>
  <c r="CI11" i="9"/>
  <c r="CJ11" i="9"/>
  <c r="CK11" i="9"/>
  <c r="DA11" i="9" s="1"/>
  <c r="CE12" i="9"/>
  <c r="CF12" i="9"/>
  <c r="CG12" i="9"/>
  <c r="CH12" i="9"/>
  <c r="CI12" i="9"/>
  <c r="CJ12" i="9"/>
  <c r="CK12" i="9"/>
  <c r="CE13" i="9"/>
  <c r="CF13" i="9"/>
  <c r="CI13" i="9"/>
  <c r="CK13" i="9"/>
  <c r="CD13" i="9"/>
  <c r="CU6" i="9"/>
  <c r="CV6" i="9"/>
  <c r="CW6" i="9"/>
  <c r="CX6" i="9"/>
  <c r="CY6" i="9"/>
  <c r="CZ6" i="9"/>
  <c r="DA6" i="9"/>
  <c r="CU7" i="9"/>
  <c r="CV7" i="9"/>
  <c r="CW7" i="9"/>
  <c r="CX7" i="9"/>
  <c r="CY7" i="9"/>
  <c r="CZ7" i="9"/>
  <c r="DA7" i="9"/>
  <c r="CU8" i="9"/>
  <c r="CV8" i="9"/>
  <c r="CW8" i="9"/>
  <c r="CX8" i="9"/>
  <c r="CY8" i="9"/>
  <c r="CZ8" i="9"/>
  <c r="DA8" i="9"/>
  <c r="CU9" i="9"/>
  <c r="CV9" i="9"/>
  <c r="CW9" i="9"/>
  <c r="CX9" i="9"/>
  <c r="CY9" i="9"/>
  <c r="CZ9" i="9"/>
  <c r="DA9" i="9"/>
  <c r="CU10" i="9"/>
  <c r="CV10" i="9"/>
  <c r="CY10" i="9"/>
  <c r="DA10" i="9"/>
  <c r="CU11" i="9"/>
  <c r="CW11" i="9"/>
  <c r="CY11" i="9"/>
  <c r="CZ11" i="9"/>
  <c r="CT7" i="9"/>
  <c r="CT8" i="9"/>
  <c r="CT9" i="9"/>
  <c r="CT10" i="9"/>
  <c r="CT11" i="9"/>
  <c r="CT12" i="9"/>
  <c r="CE6" i="9"/>
  <c r="CF6" i="9"/>
  <c r="CG6" i="9"/>
  <c r="CH6" i="9"/>
  <c r="CI6" i="9"/>
  <c r="CJ6" i="9"/>
  <c r="CK6" i="9"/>
  <c r="CE7" i="9"/>
  <c r="CF7" i="9"/>
  <c r="CG7" i="9"/>
  <c r="CH7" i="9"/>
  <c r="CI7" i="9"/>
  <c r="CJ7" i="9"/>
  <c r="CK7" i="9"/>
  <c r="CE8" i="9"/>
  <c r="CF8" i="9"/>
  <c r="CG8" i="9"/>
  <c r="CH8" i="9"/>
  <c r="CI8" i="9"/>
  <c r="CJ8" i="9"/>
  <c r="CK8" i="9"/>
  <c r="CE9" i="9"/>
  <c r="CF9" i="9"/>
  <c r="CG9" i="9"/>
  <c r="CH9" i="9"/>
  <c r="CI9" i="9"/>
  <c r="CJ9" i="9"/>
  <c r="CK9" i="9"/>
  <c r="CE10" i="9"/>
  <c r="CF10" i="9"/>
  <c r="CI10" i="9"/>
  <c r="CK10" i="9"/>
  <c r="CD7" i="9"/>
  <c r="CD8" i="9"/>
  <c r="CD9" i="9"/>
  <c r="CD10" i="9"/>
  <c r="CD11" i="9"/>
  <c r="CD12" i="9"/>
  <c r="BO6" i="9"/>
  <c r="BP6" i="9"/>
  <c r="BQ6" i="9"/>
  <c r="BR6" i="9"/>
  <c r="BS6" i="9"/>
  <c r="BT6" i="9"/>
  <c r="BU6" i="9"/>
  <c r="BO7" i="9"/>
  <c r="BP7" i="9"/>
  <c r="BQ7" i="9"/>
  <c r="BR7" i="9"/>
  <c r="BS7" i="9"/>
  <c r="BT7" i="9"/>
  <c r="BU7" i="9"/>
  <c r="BO8" i="9"/>
  <c r="BP8" i="9"/>
  <c r="BQ8" i="9"/>
  <c r="BR8" i="9"/>
  <c r="BS8" i="9"/>
  <c r="BT8" i="9"/>
  <c r="BU8" i="9"/>
  <c r="BO9" i="9"/>
  <c r="BP9" i="9"/>
  <c r="BQ9" i="9"/>
  <c r="BR9" i="9"/>
  <c r="BS9" i="9"/>
  <c r="BT9" i="9"/>
  <c r="BU9" i="9"/>
  <c r="BO10" i="9"/>
  <c r="BP10" i="9"/>
  <c r="BS10" i="9"/>
  <c r="BU10" i="9"/>
  <c r="BO11" i="9"/>
  <c r="BP11" i="9"/>
  <c r="BQ11" i="9"/>
  <c r="BR11" i="9"/>
  <c r="BS11" i="9"/>
  <c r="BT11" i="9"/>
  <c r="BU11" i="9"/>
  <c r="BO12" i="9"/>
  <c r="BP12" i="9"/>
  <c r="BQ12" i="9"/>
  <c r="BR12" i="9"/>
  <c r="BS12" i="9"/>
  <c r="BT12" i="9"/>
  <c r="BU12" i="9"/>
  <c r="BO13" i="9"/>
  <c r="BP13" i="9"/>
  <c r="BS13" i="9"/>
  <c r="BT13" i="9"/>
  <c r="CJ13" i="9" s="1"/>
  <c r="CZ13" i="9" s="1"/>
  <c r="DP13" i="9" s="1"/>
  <c r="BU13" i="9"/>
  <c r="BN7" i="9"/>
  <c r="BN8" i="9"/>
  <c r="BN9" i="9"/>
  <c r="BN10" i="9"/>
  <c r="BN11" i="9"/>
  <c r="BN12" i="9"/>
  <c r="BN13" i="9"/>
  <c r="AY6" i="9"/>
  <c r="AZ6" i="9"/>
  <c r="BA6" i="9"/>
  <c r="BB6" i="9"/>
  <c r="BC6" i="9"/>
  <c r="BD6" i="9"/>
  <c r="BE6" i="9"/>
  <c r="AY7" i="9"/>
  <c r="AZ7" i="9"/>
  <c r="BA7" i="9"/>
  <c r="BB7" i="9"/>
  <c r="BC7" i="9"/>
  <c r="BD7" i="9"/>
  <c r="BE7" i="9"/>
  <c r="AY8" i="9"/>
  <c r="AZ8" i="9"/>
  <c r="BA8" i="9"/>
  <c r="BB8" i="9"/>
  <c r="BC8" i="9"/>
  <c r="BD8" i="9"/>
  <c r="BE8" i="9"/>
  <c r="AY9" i="9"/>
  <c r="AZ9" i="9"/>
  <c r="BA9" i="9"/>
  <c r="BB9" i="9"/>
  <c r="BC9" i="9"/>
  <c r="BD9" i="9"/>
  <c r="BE9" i="9"/>
  <c r="AY10" i="9"/>
  <c r="AZ10" i="9"/>
  <c r="BA10" i="9"/>
  <c r="BB10" i="9"/>
  <c r="BC10" i="9"/>
  <c r="BD10" i="9"/>
  <c r="BE10" i="9"/>
  <c r="AY11" i="9"/>
  <c r="AZ11" i="9"/>
  <c r="BA11" i="9"/>
  <c r="BB11" i="9"/>
  <c r="BC11" i="9"/>
  <c r="BD11" i="9"/>
  <c r="BE11" i="9"/>
  <c r="AY12" i="9"/>
  <c r="AZ12" i="9"/>
  <c r="BA12" i="9"/>
  <c r="BB12" i="9"/>
  <c r="BC12" i="9"/>
  <c r="BD12" i="9"/>
  <c r="BE12" i="9"/>
  <c r="AY13" i="9"/>
  <c r="AZ13" i="9"/>
  <c r="BA13" i="9"/>
  <c r="BB13" i="9"/>
  <c r="BC13" i="9"/>
  <c r="BD13" i="9"/>
  <c r="BE13" i="9"/>
  <c r="AX7" i="9"/>
  <c r="AX8" i="9"/>
  <c r="AX9" i="9"/>
  <c r="AX10" i="9"/>
  <c r="AX11" i="9"/>
  <c r="AX12" i="9"/>
  <c r="AX13" i="9"/>
  <c r="AI6" i="9"/>
  <c r="AJ6" i="9"/>
  <c r="AK6" i="9"/>
  <c r="AL6" i="9"/>
  <c r="AM6" i="9"/>
  <c r="AN6" i="9"/>
  <c r="AO6" i="9"/>
  <c r="AI7" i="9"/>
  <c r="AJ7" i="9"/>
  <c r="AK7" i="9"/>
  <c r="AL7" i="9"/>
  <c r="AM7" i="9"/>
  <c r="AN7" i="9"/>
  <c r="AO7" i="9"/>
  <c r="AI8" i="9"/>
  <c r="AJ8" i="9"/>
  <c r="AK8" i="9"/>
  <c r="AL8" i="9"/>
  <c r="AM8" i="9"/>
  <c r="AN8" i="9"/>
  <c r="AO8" i="9"/>
  <c r="AI9" i="9"/>
  <c r="AJ9" i="9"/>
  <c r="AK9" i="9"/>
  <c r="AL9" i="9"/>
  <c r="AM9" i="9"/>
  <c r="AN9" i="9"/>
  <c r="AO9" i="9"/>
  <c r="AI10" i="9"/>
  <c r="AJ10" i="9"/>
  <c r="AK10" i="9"/>
  <c r="AL10" i="9"/>
  <c r="AM10" i="9"/>
  <c r="AN10" i="9"/>
  <c r="AO10" i="9"/>
  <c r="AI11" i="9"/>
  <c r="AJ11" i="9"/>
  <c r="AK11" i="9"/>
  <c r="AL11" i="9"/>
  <c r="AM11" i="9"/>
  <c r="AN11" i="9"/>
  <c r="AO11" i="9"/>
  <c r="AI12" i="9"/>
  <c r="AJ12" i="9"/>
  <c r="AK12" i="9"/>
  <c r="AL12" i="9"/>
  <c r="AM12" i="9"/>
  <c r="AN12" i="9"/>
  <c r="AO12" i="9"/>
  <c r="AI13" i="9"/>
  <c r="AJ13" i="9"/>
  <c r="AK13" i="9"/>
  <c r="AL13" i="9"/>
  <c r="AM13" i="9"/>
  <c r="AN13" i="9"/>
  <c r="AO13" i="9"/>
  <c r="AH7" i="9"/>
  <c r="AH8" i="9"/>
  <c r="AH9" i="9"/>
  <c r="AH10" i="9"/>
  <c r="AH11" i="9"/>
  <c r="AH12" i="9"/>
  <c r="AH13" i="9"/>
  <c r="S6" i="9"/>
  <c r="T6" i="9"/>
  <c r="U6" i="9"/>
  <c r="V6" i="9"/>
  <c r="W6" i="9"/>
  <c r="X6" i="9"/>
  <c r="Y6" i="9"/>
  <c r="S7" i="9"/>
  <c r="T7" i="9"/>
  <c r="U7" i="9"/>
  <c r="V7" i="9"/>
  <c r="W7" i="9"/>
  <c r="X7" i="9"/>
  <c r="Y7" i="9"/>
  <c r="S8" i="9"/>
  <c r="T8" i="9"/>
  <c r="U8" i="9"/>
  <c r="V8" i="9"/>
  <c r="W8" i="9"/>
  <c r="X8" i="9"/>
  <c r="Y8" i="9"/>
  <c r="S9" i="9"/>
  <c r="T9" i="9"/>
  <c r="U9" i="9"/>
  <c r="V9" i="9"/>
  <c r="W9" i="9"/>
  <c r="X9" i="9"/>
  <c r="Y9" i="9"/>
  <c r="S10" i="9"/>
  <c r="T10" i="9"/>
  <c r="U10" i="9"/>
  <c r="V10" i="9"/>
  <c r="W10" i="9"/>
  <c r="X10" i="9"/>
  <c r="Y10" i="9"/>
  <c r="S11" i="9"/>
  <c r="T11" i="9"/>
  <c r="U11" i="9"/>
  <c r="V11" i="9"/>
  <c r="W11" i="9"/>
  <c r="X11" i="9"/>
  <c r="Y11" i="9"/>
  <c r="S12" i="9"/>
  <c r="T12" i="9"/>
  <c r="U12" i="9"/>
  <c r="V12" i="9"/>
  <c r="W12" i="9"/>
  <c r="X12" i="9"/>
  <c r="Y12" i="9"/>
  <c r="S13" i="9"/>
  <c r="T13" i="9"/>
  <c r="U13" i="9"/>
  <c r="V13" i="9"/>
  <c r="W13" i="9"/>
  <c r="X13" i="9"/>
  <c r="Y13" i="9"/>
  <c r="R7" i="9"/>
  <c r="R8" i="9"/>
  <c r="R9" i="9"/>
  <c r="R10" i="9"/>
  <c r="R11" i="9"/>
  <c r="R12" i="9"/>
  <c r="R13" i="9"/>
  <c r="C6" i="9"/>
  <c r="D6" i="9"/>
  <c r="E6" i="9"/>
  <c r="F6" i="9"/>
  <c r="G6" i="9"/>
  <c r="H6" i="9"/>
  <c r="I6" i="9"/>
  <c r="C7" i="9"/>
  <c r="D7" i="9"/>
  <c r="E7" i="9"/>
  <c r="F7" i="9"/>
  <c r="G7" i="9"/>
  <c r="H7" i="9"/>
  <c r="I7" i="9"/>
  <c r="C8" i="9"/>
  <c r="D8" i="9"/>
  <c r="E8" i="9"/>
  <c r="F8" i="9"/>
  <c r="G8" i="9"/>
  <c r="H8" i="9"/>
  <c r="I8" i="9"/>
  <c r="C9" i="9"/>
  <c r="D9" i="9"/>
  <c r="E9" i="9"/>
  <c r="F9" i="9"/>
  <c r="G9" i="9"/>
  <c r="H9" i="9"/>
  <c r="I9" i="9"/>
  <c r="C10" i="9"/>
  <c r="D10" i="9"/>
  <c r="E10" i="9"/>
  <c r="F10" i="9"/>
  <c r="G10" i="9"/>
  <c r="H10" i="9"/>
  <c r="I10" i="9"/>
  <c r="C11" i="9"/>
  <c r="D11" i="9"/>
  <c r="E11" i="9"/>
  <c r="F11" i="9"/>
  <c r="G11" i="9"/>
  <c r="H11" i="9"/>
  <c r="I11" i="9"/>
  <c r="C12" i="9"/>
  <c r="D12" i="9"/>
  <c r="E12" i="9"/>
  <c r="F12" i="9"/>
  <c r="G12" i="9"/>
  <c r="H12" i="9"/>
  <c r="I12" i="9"/>
  <c r="C13" i="9"/>
  <c r="D13" i="9"/>
  <c r="E13" i="9"/>
  <c r="F13" i="9"/>
  <c r="G13" i="9"/>
  <c r="H13" i="9"/>
  <c r="I13" i="9"/>
  <c r="B7" i="9"/>
  <c r="B8" i="9"/>
  <c r="B9" i="9"/>
  <c r="B10" i="9"/>
  <c r="B11" i="9"/>
  <c r="B12" i="9"/>
  <c r="B13" i="9"/>
  <c r="AY5" i="5"/>
  <c r="AZ5" i="5"/>
  <c r="BA5" i="5"/>
  <c r="BB5" i="5"/>
  <c r="BC5" i="5"/>
  <c r="BD5" i="5"/>
  <c r="BE5" i="5"/>
  <c r="AY6" i="5"/>
  <c r="AZ6" i="5"/>
  <c r="BA6" i="5"/>
  <c r="BB6" i="5"/>
  <c r="BC6" i="5"/>
  <c r="BD6" i="5"/>
  <c r="BE6" i="5"/>
  <c r="AY7" i="5"/>
  <c r="AZ7" i="5"/>
  <c r="BA7" i="5"/>
  <c r="BB7" i="5"/>
  <c r="BC7" i="5"/>
  <c r="BD7" i="5"/>
  <c r="BE7" i="5"/>
  <c r="AY8" i="5"/>
  <c r="AZ8" i="5"/>
  <c r="BA8" i="5"/>
  <c r="BB8" i="5"/>
  <c r="BC8" i="5"/>
  <c r="BD8" i="5"/>
  <c r="BE8" i="5"/>
  <c r="AY9" i="5"/>
  <c r="AZ9" i="5"/>
  <c r="BA9" i="5"/>
  <c r="BB9" i="5"/>
  <c r="BC9" i="5"/>
  <c r="BD9" i="5"/>
  <c r="BE9" i="5"/>
  <c r="AY10" i="5"/>
  <c r="AZ10" i="5"/>
  <c r="BA10" i="5"/>
  <c r="BB10" i="5"/>
  <c r="BC10" i="5"/>
  <c r="BD10" i="5"/>
  <c r="BE10" i="5"/>
  <c r="AY11" i="5"/>
  <c r="AZ11" i="5"/>
  <c r="BA11" i="5"/>
  <c r="BB11" i="5"/>
  <c r="BC11" i="5"/>
  <c r="BD11" i="5"/>
  <c r="BE11" i="5"/>
  <c r="AY12" i="5"/>
  <c r="AZ12" i="5"/>
  <c r="BA12" i="5"/>
  <c r="BB12" i="5"/>
  <c r="BC12" i="5"/>
  <c r="BD12" i="5"/>
  <c r="BE12" i="5"/>
  <c r="AX6" i="5"/>
  <c r="AX7" i="5"/>
  <c r="AX8" i="5"/>
  <c r="AX9" i="5"/>
  <c r="AX10" i="5"/>
  <c r="AX11" i="5"/>
  <c r="AX12" i="5"/>
  <c r="AI5" i="5"/>
  <c r="AJ5" i="5"/>
  <c r="AK5" i="5"/>
  <c r="AL5" i="5"/>
  <c r="AM5" i="5"/>
  <c r="AN5" i="5"/>
  <c r="AO5" i="5"/>
  <c r="AI6" i="5"/>
  <c r="AJ6" i="5"/>
  <c r="AK6" i="5"/>
  <c r="AL6" i="5"/>
  <c r="AM6" i="5"/>
  <c r="AN6" i="5"/>
  <c r="AO6" i="5"/>
  <c r="AI7" i="5"/>
  <c r="AJ7" i="5"/>
  <c r="AK7" i="5"/>
  <c r="AL7" i="5"/>
  <c r="AM7" i="5"/>
  <c r="AN7" i="5"/>
  <c r="AO7" i="5"/>
  <c r="AI8" i="5"/>
  <c r="AJ8" i="5"/>
  <c r="AK8" i="5"/>
  <c r="AL8" i="5"/>
  <c r="AM8" i="5"/>
  <c r="AN8" i="5"/>
  <c r="AO8" i="5"/>
  <c r="AI9" i="5"/>
  <c r="AJ9" i="5"/>
  <c r="AK9" i="5"/>
  <c r="EC10" i="9" s="1"/>
  <c r="ES10" i="9" s="1"/>
  <c r="FI10" i="9" s="1"/>
  <c r="FY10" i="9" s="1"/>
  <c r="AL9" i="5"/>
  <c r="ED10" i="9" s="1"/>
  <c r="ET10" i="9" s="1"/>
  <c r="FJ10" i="9" s="1"/>
  <c r="FZ10" i="9" s="1"/>
  <c r="AM9" i="5"/>
  <c r="AN9" i="5"/>
  <c r="AO9" i="5"/>
  <c r="AI10" i="5"/>
  <c r="AJ10" i="5"/>
  <c r="AK10" i="5"/>
  <c r="AL10" i="5"/>
  <c r="AM10" i="5"/>
  <c r="AN10" i="5"/>
  <c r="AO10" i="5"/>
  <c r="AI11" i="5"/>
  <c r="AJ11" i="5"/>
  <c r="AK11" i="5"/>
  <c r="AL11" i="5"/>
  <c r="AM11" i="5"/>
  <c r="AN11" i="5"/>
  <c r="AO11" i="5"/>
  <c r="AI12" i="5"/>
  <c r="AJ12" i="5"/>
  <c r="AK12" i="5"/>
  <c r="EC13" i="9" s="1"/>
  <c r="ES13" i="9" s="1"/>
  <c r="FI13" i="9" s="1"/>
  <c r="FY13" i="9" s="1"/>
  <c r="AL12" i="5"/>
  <c r="AM12" i="5"/>
  <c r="AN12" i="5"/>
  <c r="AO12" i="5"/>
  <c r="AH6" i="5"/>
  <c r="AH7" i="5"/>
  <c r="AH8" i="5"/>
  <c r="AH9" i="5"/>
  <c r="AH10" i="5"/>
  <c r="AH11" i="5"/>
  <c r="AH12" i="5"/>
  <c r="S5" i="5"/>
  <c r="T5" i="5"/>
  <c r="U5" i="5"/>
  <c r="V5" i="5"/>
  <c r="W5" i="5"/>
  <c r="X5" i="5"/>
  <c r="Y5" i="5"/>
  <c r="S6" i="5"/>
  <c r="T6" i="5"/>
  <c r="U6" i="5"/>
  <c r="V6" i="5"/>
  <c r="W6" i="5"/>
  <c r="X6" i="5"/>
  <c r="Y6" i="5"/>
  <c r="S7" i="5"/>
  <c r="T7" i="5"/>
  <c r="U7" i="5"/>
  <c r="V7" i="5"/>
  <c r="W7" i="5"/>
  <c r="X7" i="5"/>
  <c r="Y7" i="5"/>
  <c r="S8" i="5"/>
  <c r="T8" i="5"/>
  <c r="U8" i="5"/>
  <c r="V8" i="5"/>
  <c r="W8" i="5"/>
  <c r="X8" i="5"/>
  <c r="Y8" i="5"/>
  <c r="S9" i="5"/>
  <c r="T9" i="5"/>
  <c r="U9" i="5"/>
  <c r="BQ10" i="9" s="1"/>
  <c r="CG10" i="9" s="1"/>
  <c r="CW10" i="9" s="1"/>
  <c r="DM10" i="9" s="1"/>
  <c r="V9" i="5"/>
  <c r="BR10" i="9" s="1"/>
  <c r="CH10" i="9" s="1"/>
  <c r="CX10" i="9" s="1"/>
  <c r="DN10" i="9" s="1"/>
  <c r="W9" i="5"/>
  <c r="X9" i="5"/>
  <c r="BT10" i="9" s="1"/>
  <c r="CJ10" i="9" s="1"/>
  <c r="CZ10" i="9" s="1"/>
  <c r="DP10" i="9" s="1"/>
  <c r="Y9" i="5"/>
  <c r="S10" i="5"/>
  <c r="T10" i="5"/>
  <c r="U10" i="5"/>
  <c r="V10" i="5"/>
  <c r="W10" i="5"/>
  <c r="X10" i="5"/>
  <c r="Y10" i="5"/>
  <c r="S11" i="5"/>
  <c r="T11" i="5"/>
  <c r="U11" i="5"/>
  <c r="V11" i="5"/>
  <c r="W11" i="5"/>
  <c r="X11" i="5"/>
  <c r="Y11" i="5"/>
  <c r="S12" i="5"/>
  <c r="T12" i="5"/>
  <c r="U12" i="5"/>
  <c r="BQ13" i="9" s="1"/>
  <c r="CG13" i="9" s="1"/>
  <c r="CW13" i="9" s="1"/>
  <c r="DM13" i="9" s="1"/>
  <c r="V12" i="5"/>
  <c r="BR13" i="9" s="1"/>
  <c r="CH13" i="9" s="1"/>
  <c r="CX13" i="9" s="1"/>
  <c r="DN13" i="9" s="1"/>
  <c r="W12" i="5"/>
  <c r="X12" i="5"/>
  <c r="Y12" i="5"/>
  <c r="R6" i="5"/>
  <c r="R7" i="5"/>
  <c r="R8" i="5"/>
  <c r="R9" i="5"/>
  <c r="R10" i="5"/>
  <c r="R11" i="5"/>
  <c r="R12" i="5"/>
  <c r="R5" i="5"/>
  <c r="C5" i="5"/>
  <c r="D5" i="5"/>
  <c r="E5" i="5"/>
  <c r="F5" i="5"/>
  <c r="G5" i="5"/>
  <c r="H5" i="5"/>
  <c r="I5" i="5"/>
  <c r="C6" i="5"/>
  <c r="D6" i="5"/>
  <c r="E6" i="5"/>
  <c r="F6" i="5"/>
  <c r="G6" i="5"/>
  <c r="H6" i="5"/>
  <c r="I6" i="5"/>
  <c r="C7" i="5"/>
  <c r="D7" i="5"/>
  <c r="E7" i="5"/>
  <c r="F7" i="5"/>
  <c r="G7" i="5"/>
  <c r="H7" i="5"/>
  <c r="I7" i="5"/>
  <c r="C8" i="5"/>
  <c r="D8" i="5"/>
  <c r="E8" i="5"/>
  <c r="F8" i="5"/>
  <c r="G8" i="5"/>
  <c r="H8" i="5"/>
  <c r="I8" i="5"/>
  <c r="C9" i="5"/>
  <c r="D9" i="5"/>
  <c r="E9" i="5"/>
  <c r="F9" i="5"/>
  <c r="G9" i="5"/>
  <c r="H9" i="5"/>
  <c r="I9" i="5"/>
  <c r="C10" i="5"/>
  <c r="D10" i="5"/>
  <c r="E10" i="5"/>
  <c r="F10" i="5"/>
  <c r="G10" i="5"/>
  <c r="H10" i="5"/>
  <c r="I10" i="5"/>
  <c r="C11" i="5"/>
  <c r="D11" i="5"/>
  <c r="E11" i="5"/>
  <c r="F11" i="5"/>
  <c r="G11" i="5"/>
  <c r="H11" i="5"/>
  <c r="I11" i="5"/>
  <c r="C12" i="5"/>
  <c r="D12" i="5"/>
  <c r="E12" i="5"/>
  <c r="F12" i="5"/>
  <c r="G12" i="5"/>
  <c r="H12" i="5"/>
  <c r="I12" i="5"/>
  <c r="B6" i="5"/>
  <c r="B7" i="5"/>
  <c r="B8" i="5"/>
  <c r="B9" i="5"/>
  <c r="B10" i="5"/>
  <c r="B11" i="5"/>
  <c r="B12" i="5"/>
  <c r="C5" i="13"/>
  <c r="D5" i="13"/>
  <c r="E5" i="13"/>
  <c r="F5" i="13"/>
  <c r="G5" i="13"/>
  <c r="H5" i="13"/>
  <c r="I5" i="13"/>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C10" i="13"/>
  <c r="D10" i="13"/>
  <c r="E10" i="13"/>
  <c r="F10" i="13"/>
  <c r="G10" i="13"/>
  <c r="H10" i="13"/>
  <c r="I10" i="13"/>
  <c r="C11" i="13"/>
  <c r="D11" i="13"/>
  <c r="E11" i="13"/>
  <c r="F11" i="13"/>
  <c r="G11" i="13"/>
  <c r="H11" i="13"/>
  <c r="I11" i="13"/>
  <c r="C12" i="13"/>
  <c r="D12" i="13"/>
  <c r="E12" i="13"/>
  <c r="F12" i="13"/>
  <c r="G12" i="13"/>
  <c r="H12" i="13"/>
  <c r="I12" i="13"/>
  <c r="B6" i="13"/>
  <c r="B7" i="13"/>
  <c r="B8" i="13"/>
  <c r="B9" i="13"/>
  <c r="B10" i="13"/>
  <c r="B11" i="13"/>
  <c r="B12" i="13"/>
  <c r="J61" i="1"/>
  <c r="K61" i="1"/>
  <c r="O61" i="1" s="1" a="1"/>
  <c r="O61" i="1" s="1"/>
  <c r="L61" i="1"/>
  <c r="P61" i="1" s="1" a="1"/>
  <c r="P61" i="1" s="1"/>
  <c r="J56" i="1"/>
  <c r="K56" i="1"/>
  <c r="L56" i="1"/>
  <c r="P56" i="1" s="1" a="1"/>
  <c r="P56" i="1" s="1"/>
  <c r="J57" i="1"/>
  <c r="K57" i="1"/>
  <c r="L57" i="1"/>
  <c r="P57" i="1" s="1" a="1"/>
  <c r="P57" i="1" s="1"/>
  <c r="J58" i="1"/>
  <c r="K58" i="1"/>
  <c r="O58" i="1" s="1" a="1"/>
  <c r="O58" i="1" s="1"/>
  <c r="L58" i="1"/>
  <c r="P58" i="1" s="1" a="1"/>
  <c r="P58" i="1" s="1"/>
  <c r="J59" i="1"/>
  <c r="K59" i="1"/>
  <c r="L59" i="1"/>
  <c r="P59" i="1" s="1" a="1"/>
  <c r="P59" i="1" s="1"/>
  <c r="J60" i="1"/>
  <c r="K60" i="1"/>
  <c r="L60" i="1"/>
  <c r="P60" i="1" s="1" a="1"/>
  <c r="P60" i="1" s="1"/>
  <c r="K55" i="1"/>
  <c r="L55" i="1"/>
  <c r="P55" i="1" s="1" a="1"/>
  <c r="P55" i="1" s="1"/>
  <c r="J55" i="1"/>
  <c r="K53" i="1"/>
  <c r="O53" i="1" s="1" a="1"/>
  <c r="O53" i="1" s="1"/>
  <c r="L53" i="1"/>
  <c r="P53" i="1" s="1" a="1"/>
  <c r="P53" i="1" s="1"/>
  <c r="K54" i="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A15" i="3" a="1"/>
  <c r="A15" i="3" s="1"/>
  <c r="K2" i="16" s="1"/>
  <c r="K48" i="1"/>
  <c r="O48" i="1" s="1" a="1"/>
  <c r="O48" i="1" s="1"/>
  <c r="L48" i="1"/>
  <c r="P48" i="1" s="1" a="1"/>
  <c r="P48" i="1" s="1"/>
  <c r="K49" i="1"/>
  <c r="L49" i="1"/>
  <c r="P49" i="1" s="1" a="1"/>
  <c r="P49" i="1" s="1"/>
  <c r="L8" i="1"/>
  <c r="P8" i="1" s="1" a="1"/>
  <c r="P8" i="1" s="1"/>
  <c r="K8" i="1"/>
  <c r="J8" i="1"/>
  <c r="Q59" i="1" l="1"/>
  <c r="G15" i="3" a="1"/>
  <c r="G15" i="3" s="1"/>
  <c r="K8" i="16" s="1"/>
  <c r="Q49" i="1"/>
  <c r="Q55" i="1"/>
  <c r="Q62" i="1"/>
  <c r="H62" i="1" s="1"/>
  <c r="Q54" i="1"/>
  <c r="Q57" i="1"/>
  <c r="Q56" i="1"/>
  <c r="Q50" i="1"/>
  <c r="Q8" i="1"/>
  <c r="Q60" i="1"/>
  <c r="O57" i="1" a="1"/>
  <c r="O57" i="1" s="1"/>
  <c r="O54" i="1" a="1"/>
  <c r="O54" i="1" s="1"/>
  <c r="O60" i="1" a="1"/>
  <c r="O60" i="1" s="1"/>
  <c r="Q61" i="1"/>
  <c r="H61" i="1" s="1"/>
  <c r="Q53" i="1"/>
  <c r="H53" i="1" s="1"/>
  <c r="O50" i="1" a="1"/>
  <c r="O50" i="1" s="1"/>
  <c r="H50" i="1" s="1"/>
  <c r="Q52" i="1"/>
  <c r="H52" i="1" s="1"/>
  <c r="O59" i="1" a="1"/>
  <c r="O59" i="1" s="1"/>
  <c r="H59" i="1" s="1"/>
  <c r="O56" i="1" a="1"/>
  <c r="O56" i="1" s="1"/>
  <c r="O8" i="1" a="1"/>
  <c r="O8" i="1" s="1"/>
  <c r="Q51" i="1"/>
  <c r="H51" i="1" s="1"/>
  <c r="O49" i="1" a="1"/>
  <c r="O49" i="1" s="1"/>
  <c r="Q58" i="1"/>
  <c r="H58" i="1" s="1"/>
  <c r="O55" i="1" a="1"/>
  <c r="O55" i="1" s="1"/>
  <c r="Q48" i="1"/>
  <c r="H48" i="1" s="1"/>
  <c r="I64" i="2"/>
  <c r="C15" i="3" a="1"/>
  <c r="C15" i="3" s="1"/>
  <c r="K4" i="16" s="1"/>
  <c r="H15" i="3" a="1"/>
  <c r="H15" i="3" s="1"/>
  <c r="K9" i="16" s="1"/>
  <c r="D15" i="3" a="1"/>
  <c r="D15" i="3" s="1"/>
  <c r="K5" i="16" s="1"/>
  <c r="B15" i="3" a="1"/>
  <c r="B15" i="3" s="1"/>
  <c r="K3" i="16" s="1"/>
  <c r="F15" i="3" a="1"/>
  <c r="F15" i="3" s="1"/>
  <c r="K7" i="16" s="1"/>
  <c r="E15" i="3" a="1"/>
  <c r="E15" i="3" s="1"/>
  <c r="K6" i="16" s="1"/>
  <c r="D10" i="16"/>
  <c r="E10" i="16"/>
  <c r="F10" i="16"/>
  <c r="G10" i="16"/>
  <c r="H10" i="16"/>
  <c r="I10" i="16"/>
  <c r="B10" i="16"/>
  <c r="H49" i="1" l="1"/>
  <c r="H55" i="1"/>
  <c r="H54" i="1"/>
  <c r="H56" i="1"/>
  <c r="H57" i="1"/>
  <c r="H8" i="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L3" i="16" a="1"/>
  <c r="L3" i="16" s="1"/>
  <c r="L5" i="16" a="1"/>
  <c r="L5" i="16" s="1"/>
  <c r="L6" i="16" a="1"/>
  <c r="L6" i="16" s="1"/>
  <c r="L7" i="16" a="1"/>
  <c r="L7" i="16" s="1"/>
  <c r="L8" i="16" a="1"/>
  <c r="L8" i="16" s="1"/>
  <c r="L9" i="16" a="1"/>
  <c r="L9" i="16" s="1"/>
  <c r="L2" i="16" a="1"/>
  <c r="L2" i="16" s="1"/>
  <c r="L4" i="16" a="1"/>
  <c r="L4" i="16" s="1"/>
  <c r="L10" i="16" a="1"/>
  <c r="L10" i="16" s="1"/>
  <c r="BR5" i="9"/>
  <c r="CH5" i="9" s="1"/>
  <c r="CX5" i="9" s="1"/>
  <c r="DN5" i="9" s="1"/>
  <c r="AD5" i="9"/>
  <c r="AT5" i="9"/>
  <c r="BJ5" i="9"/>
  <c r="O20" i="1" a="1"/>
  <c r="O20" i="1" s="1"/>
  <c r="Q20" i="1"/>
  <c r="Q40" i="1"/>
  <c r="O40" i="1" a="1"/>
  <c r="O40" i="1" s="1"/>
  <c r="O19" i="1" a="1"/>
  <c r="O19" i="1" s="1"/>
  <c r="Q19" i="1"/>
  <c r="Q11" i="1"/>
  <c r="O11" i="1" a="1"/>
  <c r="O11" i="1" s="1"/>
  <c r="Q47" i="1"/>
  <c r="O47" i="1" a="1"/>
  <c r="O47" i="1" s="1"/>
  <c r="Q39" i="1"/>
  <c r="O39" i="1" a="1"/>
  <c r="O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H39" i="1" l="1"/>
  <c r="H6" i="1"/>
  <c r="H40" i="1"/>
  <c r="H11" i="1"/>
  <c r="GL5" i="9"/>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<sst xmlns="http://schemas.openxmlformats.org/spreadsheetml/2006/main" count="787" uniqueCount="345">
  <si>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</si>
  <si>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</si>
  <si>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</si>
  <si>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</si>
  <si>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</si>
  <si>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</si>
  <si>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</si>
  <si>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</si>
  <si>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</si>
  <si>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</si>
  <si>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</si>
  <si>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</si>
  <si>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</si>
  <si>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</si>
  <si>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</si>
  <si>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</si>
  <si>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</si>
  <si>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</si>
  <si>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</si>
  <si>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</si>
  <si>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</si>
  <si>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</si>
  <si>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</si>
  <si>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</si>
  <si>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</si>
  <si>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</si>
  <si>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</si>
  <si>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</si>
  <si>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</si>
  <si>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</si>
  <si>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</si>
  <si>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</si>
  <si>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</si>
  <si>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</si>
  <si>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</si>
  <si>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</si>
  <si>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</si>
  <si>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</si>
  <si>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</si>
  <si>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</si>
  <si>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</si>
  <si>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</si>
  <si>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</si>
  <si>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</si>
  <si>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</si>
  <si>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</si>
  <si>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</si>
  <si>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</si>
  <si>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</si>
  <si>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</si>
  <si>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</si>
  <si>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</si>
  <si>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</si>
  <si>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</si>
  <si>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</si>
  <si>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</si>
  <si>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</si>
  <si>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</si>
  <si>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</si>
  <si>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</si>
  <si>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</si>
  <si>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</si>
  <si>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</si>
  <si>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</si>
  <si>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</si>
  <si>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</si>
  <si>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</si>
  <si>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</si>
  <si>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</si>
  <si>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</si>
  <si>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</si>
  <si>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</si>
  <si>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</si>
  <si>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</si>
  <si>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</si>
  <si>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</si>
  <si>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</si>
  <si>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</si>
  <si>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</si>
  <si>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</si>
  <si>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</si>
  <si>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</si>
  <si>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</si>
  <si>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</si>
  <si>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</si>
  <si>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</si>
  <si>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</si>
  <si>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</si>
  <si>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</si>
  <si>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</si>
  <si>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</si>
  <si>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</si>
  <si>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</si>
  <si>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</si>
  <si>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</si>
  <si>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</si>
  <si>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</si>
  <si>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</si>
  <si>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</si>
  <si>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</si>
  <si>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</si>
  <si>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</si>
  <si>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</si>
  <si>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</si>
  <si>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</si>
  <si>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</si>
  <si>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</si>
  <si>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</si>
  <si>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</si>
  <si>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</si>
  <si>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</si>
  <si>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</si>
  <si>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</si>
  <si>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</si>
  <si>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</si>
  <si>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</si>
  <si>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</si>
  <si>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</si>
  <si>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</si>
  <si>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</si>
  <si>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</si>
  <si>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</si>
  <si>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</si>
  <si>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</si>
  <si>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</si>
  <si>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</si>
  <si>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</si>
  <si>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</si>
  <si>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</si>
  <si>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</si>
  <si>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</si>
  <si>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</si>
  <si>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</si>
  <si>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</si>
  <si>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</si>
  <si>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</si>
  <si>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</si>
  <si>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</si>
  <si>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</si>
  <si>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</si>
  <si>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</si>
  <si>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</si>
  <si>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</si>
  <si>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</si>
  <si>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</si>
  <si>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</si>
  <si>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</si>
  <si>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</si>
  <si>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</si>
  <si>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</si>
  <si>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</si>
  <si>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</si>
  <si>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</si>
  <si>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</si>
  <si>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</si>
  <si>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</si>
  <si>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</si>
  <si>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</si>
  <si>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</si>
  <si>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</si>
  <si>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</si>
  <si>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</si>
  <si>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</si>
  <si>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</si>
  <si>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</si>
  <si>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</si>
  <si>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</si>
  <si>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</si>
  <si>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</si>
  <si>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</si>
  <si>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</si>
  <si>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</si>
  <si>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</si>
  <si>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</si>
  <si>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</si>
  <si>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</si>
  <si>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</si>
  <si>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</si>
  <si>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</si>
  <si>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</si>
  <si>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</si>
  <si>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</si>
  <si>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</si>
  <si>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</si>
  <si>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</si>
  <si>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</si>
  <si>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</si>
  <si>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</si>
  <si>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</si>
  <si>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</si>
  <si>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</si>
  <si>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</si>
  <si>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</si>
  <si>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</si>
  <si>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</si>
  <si>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</si>
  <si>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</si>
  <si>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</si>
  <si>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</si>
  <si>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</si>
  <si>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</si>
  <si>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</si>
  <si>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</si>
  <si>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</si>
  <si>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</si>
  <si>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</si>
  <si>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</si>
  <si>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</si>
  <si>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</si>
  <si>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</si>
  <si>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</si>
  <si>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</si>
  <si>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</si>
  <si>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</si>
  <si>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</si>
  <si>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</si>
  <si>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</si>
  <si>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</si>
  <si>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</si>
  <si>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</si>
  <si>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</si>
  <si>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</si>
  <si>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</si>
  <si>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</si>
  <si>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</si>
  <si>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</si>
  <si>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</si>
  <si>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</si>
  <si>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</si>
  <si>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</si>
  <si>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</si>
  <si>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</si>
  <si>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</si>
  <si>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</si>
  <si>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</si>
  <si>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</si>
  <si>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</si>
  <si>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</si>
  <si>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</si>
  <si>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</si>
  <si>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</si>
  <si>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</si>
  <si>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</si>
  <si>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</si>
  <si>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</si>
  <si>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</si>
  <si>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</si>
  <si>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</si>
  <si>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</si>
  <si>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</si>
  <si>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</si>
  <si>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</si>
  <si>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</si>
  <si>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</si>
  <si>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</si>
  <si>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</si>
  <si>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</si>
  <si>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</si>
  <si>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</si>
  <si>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</si>
  <si>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</si>
  <si>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</si>
  <si>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</si>
  <si>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</si>
  <si>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</si>
  <si>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</si>
  <si>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</si>
  <si>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</si>
  <si>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</si>
  <si>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</si>
  <si>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</si>
  <si>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</si>
  <si>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</si>
  <si>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</si>
  <si>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</si>
  <si>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</si>
  <si>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</si>
  <si>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</si>
  <si>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</si>
  <si>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</si>
  <si>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</si>
  <si>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</si>
  <si>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</si>
  <si>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</si>
  <si>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</si>
  <si>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</si>
  <si>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</si>
  <si>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</si>
  <si>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</si>
  <si>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</si>
  <si>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</si>
  <si>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</si>
  <si>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</si>
  <si>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</si>
  <si>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</si>
  <si>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</si>
  <si>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</si>
  <si>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</si>
  <si>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</si>
  <si>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</si>
  <si>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</si>
  <si>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</si>
  <si>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</si>
  <si>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</si>
  <si>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</si>
  <si>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</si>
  <si>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</si>
  <si>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</si>
  <si>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</si>
  <si>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</si>
  <si>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</si>
  <si>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</si>
  <si>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</si>
  <si>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</si>
  <si>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</si>
  <si>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</si>
  <si>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</si>
  <si>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</si>
  <si>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</si>
  <si>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</si>
  <si>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</si>
  <si>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</si>
  <si>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</si>
  <si>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</si>
  <si>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</si>
  <si>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</si>
  <si>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</si>
  <si>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</si>
  <si>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</si>
  <si>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</si>
  <si>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</si>
  <si>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</si>
  <si>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</si>
  <si>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</si>
  <si>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</si>
  <si>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</si>
  <si>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</si>
  <si>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</si>
  <si>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</si>
  <si>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</si>
  <si>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</si>
  <si>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</si>
  <si>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</si>
  <si>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Increase storage costs stage 2</t>
  </si>
  <si>
    <t>Increase storage costs stage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</si>
</sst>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8">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19" fillId="0" borderId="0" xfId="0" applyFont="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topLeftCell="I1" zoomScale="108" zoomScaleNormal="108" workbookViewId="0">
      <selection activeCell="P6" sqref="P6"/>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6" t="s">
        <v>136</v>
      </c>
      <c r="H1" s="56"/>
      <c r="I1" s="56"/>
      <c r="J1" s="56"/>
      <c r="K1" s="56"/>
      <c r="L1" s="56"/>
      <c r="M1" s="56"/>
      <c r="N1" s="56"/>
      <c r="O1" s="56"/>
      <c r="P1" s="56"/>
      <c r="Q1" s="56"/>
      <c r="R1" s="56"/>
      <c r="S1" s="56"/>
      <c r="T1" s="56"/>
      <c r="U1" s="56"/>
      <c r="V1" s="57" t="s">
        <v>215</v>
      </c>
      <c r="W1" s="57"/>
      <c r="X1" s="57"/>
      <c r="Y1" s="57"/>
      <c r="Z1" s="57"/>
      <c r="AA1" s="57"/>
      <c r="AB1" s="57"/>
      <c r="AC1" s="57"/>
      <c r="AD1" s="57"/>
      <c r="AE1" s="57"/>
      <c r="AF1" s="57"/>
      <c r="AG1" s="57"/>
      <c r="AH1" s="57"/>
      <c r="AI1" s="57"/>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f>SUMIFS(ProductionCapacities!$F$2:$F$51,ProductionCapacities!$E$2:$E$51,Nodes!B3)</f>
        <v>23.970863013698629</v>
      </c>
      <c r="J3" s="2">
        <v>8889.5949999999993</v>
      </c>
      <c r="K3" s="11">
        <v>500</v>
      </c>
      <c r="L3" s="11">
        <v>500</v>
      </c>
      <c r="M3" s="2">
        <v>10</v>
      </c>
      <c r="N3" s="2">
        <v>100</v>
      </c>
      <c r="O3" s="2">
        <f>IF(C3="Market",0.749,10)</f>
        <v>10</v>
      </c>
      <c r="P3" s="2">
        <v>5</v>
      </c>
      <c r="Q3" s="2">
        <v>5</v>
      </c>
      <c r="R3" s="2">
        <v>5.2</v>
      </c>
      <c r="S3" s="2">
        <v>5.2</v>
      </c>
      <c r="T3" s="2">
        <v>5.4</v>
      </c>
      <c r="U3" s="2">
        <v>5.4</v>
      </c>
      <c r="V3" s="3">
        <v>5</v>
      </c>
      <c r="W3" s="3">
        <v>5</v>
      </c>
      <c r="X3" s="3">
        <v>100</v>
      </c>
      <c r="Y3" s="3">
        <v>0</v>
      </c>
      <c r="Z3" s="3">
        <v>0</v>
      </c>
      <c r="AA3" s="3">
        <f>M3</f>
        <v>10</v>
      </c>
      <c r="AB3" s="3">
        <v>0</v>
      </c>
      <c r="AC3" s="3">
        <f>O3</f>
        <v>10</v>
      </c>
      <c r="AD3" s="3">
        <f t="shared" ref="AD3:AI3" si="0">P3</f>
        <v>5</v>
      </c>
      <c r="AE3" s="3">
        <f t="shared" si="0"/>
        <v>5</v>
      </c>
      <c r="AF3" s="3">
        <f t="shared" si="0"/>
        <v>5.2</v>
      </c>
      <c r="AG3" s="3">
        <f t="shared" si="0"/>
        <v>5.2</v>
      </c>
      <c r="AH3" s="3">
        <f t="shared" si="0"/>
        <v>5.4</v>
      </c>
      <c r="AI3" s="3">
        <f t="shared" si="0"/>
        <v>5.4</v>
      </c>
    </row>
    <row r="4" spans="1:35" x14ac:dyDescent="0.2">
      <c r="A4" s="1">
        <v>2</v>
      </c>
      <c r="B4" s="1" t="s">
        <v>206</v>
      </c>
      <c r="C4" s="1"/>
      <c r="D4" s="16">
        <v>4.6885411271899056</v>
      </c>
      <c r="E4" s="16">
        <v>62.302728638549418</v>
      </c>
      <c r="F4" s="1"/>
      <c r="G4" s="2">
        <v>5</v>
      </c>
      <c r="H4" s="2">
        <v>5</v>
      </c>
      <c r="I4" s="2">
        <f>SUMIFS(ProductionCapacities!$F$2:$F$51,ProductionCapacities!$E$2:$E$51,Nodes!B4)</f>
        <v>0</v>
      </c>
      <c r="J4" s="2">
        <v>0</v>
      </c>
      <c r="K4" s="11">
        <v>500</v>
      </c>
      <c r="L4" s="11">
        <v>500</v>
      </c>
      <c r="M4" s="2">
        <v>10</v>
      </c>
      <c r="N4" s="2">
        <v>100</v>
      </c>
      <c r="O4" s="2">
        <f t="shared" ref="O4:O61" si="1">IF(C4="Market",0.749,10)</f>
        <v>10</v>
      </c>
      <c r="P4" s="2">
        <v>5</v>
      </c>
      <c r="Q4" s="2">
        <v>5</v>
      </c>
      <c r="R4" s="2">
        <v>5.2</v>
      </c>
      <c r="S4" s="2">
        <v>5.2</v>
      </c>
      <c r="T4" s="2">
        <v>5.4</v>
      </c>
      <c r="U4" s="2">
        <v>5.4</v>
      </c>
      <c r="V4" s="3">
        <v>5</v>
      </c>
      <c r="W4" s="3">
        <v>5</v>
      </c>
      <c r="X4" s="3">
        <v>100</v>
      </c>
      <c r="Y4" s="3">
        <v>0</v>
      </c>
      <c r="Z4" s="3">
        <v>0</v>
      </c>
      <c r="AA4" s="3">
        <f t="shared" ref="AA4:AA61" si="2">M4</f>
        <v>10</v>
      </c>
      <c r="AB4" s="3">
        <v>0</v>
      </c>
      <c r="AC4" s="3">
        <f t="shared" ref="AC4:AC61" si="3">O4</f>
        <v>10</v>
      </c>
      <c r="AD4" s="3">
        <f t="shared" ref="AD4:AD61" si="4">P4</f>
        <v>5</v>
      </c>
      <c r="AE4" s="3">
        <f t="shared" ref="AE4:AE61" si="5">Q4</f>
        <v>5</v>
      </c>
      <c r="AF4" s="3">
        <f t="shared" ref="AF4:AF61" si="6">R4</f>
        <v>5.2</v>
      </c>
      <c r="AG4" s="3">
        <f t="shared" ref="AG4:AG61" si="7">S4</f>
        <v>5.2</v>
      </c>
      <c r="AH4" s="3">
        <f t="shared" ref="AH4:AH61" si="8">T4</f>
        <v>5.4</v>
      </c>
      <c r="AI4" s="3">
        <f t="shared" ref="AI4:AI61" si="9">U4</f>
        <v>5.4</v>
      </c>
    </row>
    <row r="5" spans="1:35" x14ac:dyDescent="0.2">
      <c r="A5" s="1">
        <v>3</v>
      </c>
      <c r="B5" s="1" t="s">
        <v>205</v>
      </c>
      <c r="C5" s="1"/>
      <c r="D5" s="16">
        <v>6.8036598360000653</v>
      </c>
      <c r="E5" s="16">
        <v>65.094471500000054</v>
      </c>
      <c r="F5" s="1" t="s">
        <v>322</v>
      </c>
      <c r="G5" s="2">
        <v>5</v>
      </c>
      <c r="H5" s="2">
        <v>5</v>
      </c>
      <c r="I5" s="2">
        <f>SUMIFS(ProductionCapacities!$F$2:$F$51,ProductionCapacities!$E$2:$E$51,Nodes!B5)</f>
        <v>28.969463013698629</v>
      </c>
      <c r="J5" s="2">
        <v>0</v>
      </c>
      <c r="K5" s="11">
        <v>500</v>
      </c>
      <c r="L5" s="11">
        <v>500</v>
      </c>
      <c r="M5" s="2">
        <v>10</v>
      </c>
      <c r="N5" s="2">
        <v>100</v>
      </c>
      <c r="O5" s="2">
        <f t="shared" si="1"/>
        <v>10</v>
      </c>
      <c r="P5" s="2">
        <v>5</v>
      </c>
      <c r="Q5" s="2">
        <v>5</v>
      </c>
      <c r="R5" s="2">
        <v>5.2</v>
      </c>
      <c r="S5" s="2">
        <v>5.2</v>
      </c>
      <c r="T5" s="2">
        <v>5.4</v>
      </c>
      <c r="U5" s="2">
        <v>5.4</v>
      </c>
      <c r="V5" s="3">
        <v>5</v>
      </c>
      <c r="W5" s="3">
        <v>5</v>
      </c>
      <c r="X5" s="3">
        <v>100</v>
      </c>
      <c r="Y5" s="3">
        <v>0</v>
      </c>
      <c r="Z5" s="3">
        <v>0</v>
      </c>
      <c r="AA5" s="3">
        <f t="shared" si="2"/>
        <v>10</v>
      </c>
      <c r="AB5" s="3">
        <v>0</v>
      </c>
      <c r="AC5" s="3">
        <f t="shared" si="3"/>
        <v>10</v>
      </c>
      <c r="AD5" s="3">
        <f t="shared" si="4"/>
        <v>5</v>
      </c>
      <c r="AE5" s="3">
        <f t="shared" si="5"/>
        <v>5</v>
      </c>
      <c r="AF5" s="3">
        <f t="shared" si="6"/>
        <v>5.2</v>
      </c>
      <c r="AG5" s="3">
        <f t="shared" si="7"/>
        <v>5.2</v>
      </c>
      <c r="AH5" s="3">
        <f t="shared" si="8"/>
        <v>5.4</v>
      </c>
      <c r="AI5" s="3">
        <f t="shared" si="9"/>
        <v>5.4</v>
      </c>
    </row>
    <row r="6" spans="1:35" x14ac:dyDescent="0.2">
      <c r="A6" s="1">
        <v>4</v>
      </c>
      <c r="B6" s="1" t="s">
        <v>113</v>
      </c>
      <c r="C6" s="1"/>
      <c r="D6" s="22">
        <v>4.5569471181611378</v>
      </c>
      <c r="E6" s="22">
        <v>55.458982371638299</v>
      </c>
      <c r="F6" s="1"/>
      <c r="G6" s="2">
        <v>5</v>
      </c>
      <c r="H6" s="2">
        <v>5</v>
      </c>
      <c r="I6" s="2">
        <f>SUMIFS(ProductionCapacities!$F$2:$F$51,ProductionCapacities!$E$2:$E$51,Nodes!B6)</f>
        <v>0</v>
      </c>
      <c r="J6" s="2">
        <v>0</v>
      </c>
      <c r="K6" s="11">
        <v>500</v>
      </c>
      <c r="L6" s="11">
        <v>500</v>
      </c>
      <c r="M6" s="2">
        <v>10</v>
      </c>
      <c r="N6" s="2">
        <v>100</v>
      </c>
      <c r="O6" s="2">
        <f t="shared" si="1"/>
        <v>10</v>
      </c>
      <c r="P6" s="2">
        <v>5</v>
      </c>
      <c r="Q6" s="2">
        <v>5</v>
      </c>
      <c r="R6" s="2">
        <v>5.2</v>
      </c>
      <c r="S6" s="2">
        <v>5.2</v>
      </c>
      <c r="T6" s="2">
        <v>5.4</v>
      </c>
      <c r="U6" s="2">
        <v>5.4</v>
      </c>
      <c r="V6" s="3">
        <v>5</v>
      </c>
      <c r="W6" s="3">
        <v>5</v>
      </c>
      <c r="X6" s="3">
        <v>100</v>
      </c>
      <c r="Y6" s="3">
        <v>0</v>
      </c>
      <c r="Z6" s="3">
        <v>0</v>
      </c>
      <c r="AA6" s="3">
        <f t="shared" si="2"/>
        <v>10</v>
      </c>
      <c r="AB6" s="3">
        <v>0</v>
      </c>
      <c r="AC6" s="3">
        <f t="shared" si="3"/>
        <v>10</v>
      </c>
      <c r="AD6" s="3">
        <f t="shared" si="4"/>
        <v>5</v>
      </c>
      <c r="AE6" s="3">
        <f t="shared" si="5"/>
        <v>5</v>
      </c>
      <c r="AF6" s="3">
        <f t="shared" si="6"/>
        <v>5.2</v>
      </c>
      <c r="AG6" s="3">
        <f t="shared" si="7"/>
        <v>5.2</v>
      </c>
      <c r="AH6" s="3">
        <f t="shared" si="8"/>
        <v>5.4</v>
      </c>
      <c r="AI6" s="3">
        <f t="shared" si="9"/>
        <v>5.4</v>
      </c>
    </row>
    <row r="7" spans="1:35" x14ac:dyDescent="0.2">
      <c r="A7" s="1">
        <v>5</v>
      </c>
      <c r="B7" s="1" t="s">
        <v>112</v>
      </c>
      <c r="C7" s="1"/>
      <c r="D7" s="22">
        <v>6.5038</v>
      </c>
      <c r="E7" s="22">
        <v>55.71</v>
      </c>
      <c r="F7" s="1"/>
      <c r="G7" s="2">
        <v>5</v>
      </c>
      <c r="H7" s="2">
        <v>5</v>
      </c>
      <c r="I7" s="2">
        <f>SUMIFS(ProductionCapacities!$F$2:$F$51,ProductionCapacities!$E$2:$E$51,Nodes!B7)</f>
        <v>0</v>
      </c>
      <c r="J7" s="29">
        <v>0</v>
      </c>
      <c r="K7" s="11">
        <v>500</v>
      </c>
      <c r="L7" s="11">
        <v>500</v>
      </c>
      <c r="M7" s="2">
        <v>10</v>
      </c>
      <c r="N7" s="2">
        <v>100</v>
      </c>
      <c r="O7" s="2">
        <f t="shared" si="1"/>
        <v>10</v>
      </c>
      <c r="P7" s="2">
        <v>5</v>
      </c>
      <c r="Q7" s="2">
        <v>5</v>
      </c>
      <c r="R7" s="2">
        <v>5.2</v>
      </c>
      <c r="S7" s="2">
        <v>5.2</v>
      </c>
      <c r="T7" s="2">
        <v>5.4</v>
      </c>
      <c r="U7" s="2">
        <v>5.4</v>
      </c>
      <c r="V7" s="3">
        <v>5</v>
      </c>
      <c r="W7" s="3">
        <v>5</v>
      </c>
      <c r="X7" s="3">
        <v>100</v>
      </c>
      <c r="Y7" s="3">
        <v>0</v>
      </c>
      <c r="Z7" s="3">
        <v>0</v>
      </c>
      <c r="AA7" s="3">
        <f t="shared" si="2"/>
        <v>10</v>
      </c>
      <c r="AB7" s="3">
        <v>0</v>
      </c>
      <c r="AC7" s="3">
        <f t="shared" si="3"/>
        <v>10</v>
      </c>
      <c r="AD7" s="3">
        <f t="shared" si="4"/>
        <v>5</v>
      </c>
      <c r="AE7" s="3">
        <f t="shared" si="5"/>
        <v>5</v>
      </c>
      <c r="AF7" s="3">
        <f t="shared" si="6"/>
        <v>5.2</v>
      </c>
      <c r="AG7" s="3">
        <f t="shared" si="7"/>
        <v>5.2</v>
      </c>
      <c r="AH7" s="3">
        <f t="shared" si="8"/>
        <v>5.4</v>
      </c>
      <c r="AI7" s="3">
        <f t="shared" si="9"/>
        <v>5.4</v>
      </c>
    </row>
    <row r="8" spans="1:35" x14ac:dyDescent="0.2">
      <c r="A8" s="1">
        <v>6</v>
      </c>
      <c r="B8" s="1" t="s">
        <v>89</v>
      </c>
      <c r="C8" s="1"/>
      <c r="D8" s="16">
        <v>2.8980550000000558</v>
      </c>
      <c r="E8" s="16">
        <v>60.560633000000053</v>
      </c>
      <c r="F8" s="1" t="s">
        <v>322</v>
      </c>
      <c r="G8" s="2">
        <v>5</v>
      </c>
      <c r="H8" s="2">
        <v>5</v>
      </c>
      <c r="I8" s="2">
        <f>SUMIFS(ProductionCapacities!$F$2:$F$51,ProductionCapacities!$E$2:$E$51,Nodes!B8)</f>
        <v>0.35852054794520549</v>
      </c>
      <c r="J8" s="2">
        <v>0</v>
      </c>
      <c r="K8" s="11">
        <v>500</v>
      </c>
      <c r="L8" s="11">
        <v>500</v>
      </c>
      <c r="M8" s="2">
        <v>10</v>
      </c>
      <c r="N8" s="2">
        <v>100</v>
      </c>
      <c r="O8" s="2">
        <f t="shared" si="1"/>
        <v>10</v>
      </c>
      <c r="P8" s="2">
        <v>5</v>
      </c>
      <c r="Q8" s="2">
        <v>5</v>
      </c>
      <c r="R8" s="2">
        <v>5.2</v>
      </c>
      <c r="S8" s="2">
        <v>5.2</v>
      </c>
      <c r="T8" s="2">
        <v>5.4</v>
      </c>
      <c r="U8" s="2">
        <v>5.4</v>
      </c>
      <c r="V8" s="3">
        <v>5</v>
      </c>
      <c r="W8" s="3">
        <v>5</v>
      </c>
      <c r="X8" s="3">
        <v>100</v>
      </c>
      <c r="Y8" s="3">
        <v>0</v>
      </c>
      <c r="Z8" s="3">
        <v>0</v>
      </c>
      <c r="AA8" s="3">
        <f t="shared" si="2"/>
        <v>10</v>
      </c>
      <c r="AB8" s="3">
        <v>0</v>
      </c>
      <c r="AC8" s="3">
        <f t="shared" si="3"/>
        <v>10</v>
      </c>
      <c r="AD8" s="3">
        <f t="shared" si="4"/>
        <v>5</v>
      </c>
      <c r="AE8" s="3">
        <f t="shared" si="5"/>
        <v>5</v>
      </c>
      <c r="AF8" s="3">
        <f t="shared" si="6"/>
        <v>5.2</v>
      </c>
      <c r="AG8" s="3">
        <f t="shared" si="7"/>
        <v>5.2</v>
      </c>
      <c r="AH8" s="3">
        <f t="shared" si="8"/>
        <v>5.4</v>
      </c>
      <c r="AI8" s="3">
        <f t="shared" si="9"/>
        <v>5.4</v>
      </c>
    </row>
    <row r="9" spans="1:35" x14ac:dyDescent="0.2">
      <c r="A9" s="1">
        <v>7</v>
      </c>
      <c r="B9" s="1" t="s">
        <v>92</v>
      </c>
      <c r="C9" s="1"/>
      <c r="D9" s="16">
        <v>3.037825494927695</v>
      </c>
      <c r="E9" s="16">
        <v>60.543328997897447</v>
      </c>
      <c r="F9" s="1" t="s">
        <v>322</v>
      </c>
      <c r="G9" s="2">
        <v>5</v>
      </c>
      <c r="H9" s="2">
        <v>5</v>
      </c>
      <c r="I9" s="2">
        <f>SUMIFS(ProductionCapacities!$F$2:$F$51,ProductionCapacities!$E$2:$E$51,Nodes!B9)</f>
        <v>0</v>
      </c>
      <c r="J9" s="2">
        <v>48.064999999999998</v>
      </c>
      <c r="K9" s="11">
        <v>500</v>
      </c>
      <c r="L9" s="11">
        <v>500</v>
      </c>
      <c r="M9" s="2">
        <v>10</v>
      </c>
      <c r="N9" s="2">
        <v>100</v>
      </c>
      <c r="O9" s="2">
        <f t="shared" si="1"/>
        <v>10</v>
      </c>
      <c r="P9" s="2">
        <v>5</v>
      </c>
      <c r="Q9" s="2">
        <v>5</v>
      </c>
      <c r="R9" s="2">
        <v>5.2</v>
      </c>
      <c r="S9" s="2">
        <v>5.2</v>
      </c>
      <c r="T9" s="2">
        <v>5.4</v>
      </c>
      <c r="U9" s="2">
        <v>5.4</v>
      </c>
      <c r="V9" s="3">
        <v>5</v>
      </c>
      <c r="W9" s="3">
        <v>5</v>
      </c>
      <c r="X9" s="3">
        <v>100</v>
      </c>
      <c r="Y9" s="3">
        <v>0</v>
      </c>
      <c r="Z9" s="3">
        <v>0</v>
      </c>
      <c r="AA9" s="3">
        <f t="shared" si="2"/>
        <v>10</v>
      </c>
      <c r="AB9" s="3">
        <v>0</v>
      </c>
      <c r="AC9" s="3">
        <f t="shared" si="3"/>
        <v>10</v>
      </c>
      <c r="AD9" s="3">
        <f t="shared" si="4"/>
        <v>5</v>
      </c>
      <c r="AE9" s="3">
        <f t="shared" si="5"/>
        <v>5</v>
      </c>
      <c r="AF9" s="3">
        <f t="shared" si="6"/>
        <v>5.2</v>
      </c>
      <c r="AG9" s="3">
        <f t="shared" si="7"/>
        <v>5.2</v>
      </c>
      <c r="AH9" s="3">
        <f t="shared" si="8"/>
        <v>5.4</v>
      </c>
      <c r="AI9" s="3">
        <f t="shared" si="9"/>
        <v>5.4</v>
      </c>
    </row>
    <row r="10" spans="1:35" x14ac:dyDescent="0.2">
      <c r="A10" s="1">
        <v>8</v>
      </c>
      <c r="B10" s="1" t="s">
        <v>108</v>
      </c>
      <c r="C10" s="1"/>
      <c r="D10" s="22">
        <v>1.803328</v>
      </c>
      <c r="E10" s="22">
        <v>57.758068999999999</v>
      </c>
      <c r="F10" s="1"/>
      <c r="G10" s="2">
        <v>5</v>
      </c>
      <c r="H10" s="2">
        <v>5</v>
      </c>
      <c r="I10" s="29">
        <v>48</v>
      </c>
      <c r="J10" s="2">
        <v>1282.3420000000001</v>
      </c>
      <c r="K10" s="11">
        <v>500</v>
      </c>
      <c r="L10" s="11">
        <v>500</v>
      </c>
      <c r="M10" s="2">
        <v>10</v>
      </c>
      <c r="N10" s="2">
        <v>100</v>
      </c>
      <c r="O10" s="2">
        <f t="shared" si="1"/>
        <v>10</v>
      </c>
      <c r="P10" s="2">
        <v>5</v>
      </c>
      <c r="Q10" s="2">
        <v>5</v>
      </c>
      <c r="R10" s="2">
        <v>5.2</v>
      </c>
      <c r="S10" s="2">
        <v>5.2</v>
      </c>
      <c r="T10" s="2">
        <v>5.4</v>
      </c>
      <c r="U10" s="2">
        <v>5.4</v>
      </c>
      <c r="V10" s="3">
        <v>5</v>
      </c>
      <c r="W10" s="3">
        <v>5</v>
      </c>
      <c r="X10" s="3">
        <v>100</v>
      </c>
      <c r="Y10" s="3">
        <v>0</v>
      </c>
      <c r="Z10" s="3">
        <v>0</v>
      </c>
      <c r="AA10" s="3">
        <f t="shared" si="2"/>
        <v>10</v>
      </c>
      <c r="AB10" s="3">
        <v>0</v>
      </c>
      <c r="AC10" s="3">
        <f t="shared" si="3"/>
        <v>10</v>
      </c>
      <c r="AD10" s="3">
        <f t="shared" si="4"/>
        <v>5</v>
      </c>
      <c r="AE10" s="3">
        <f t="shared" si="5"/>
        <v>5</v>
      </c>
      <c r="AF10" s="3">
        <f t="shared" si="6"/>
        <v>5.2</v>
      </c>
      <c r="AG10" s="3">
        <f t="shared" si="7"/>
        <v>5.2</v>
      </c>
      <c r="AH10" s="3">
        <f t="shared" si="8"/>
        <v>5.4</v>
      </c>
      <c r="AI10" s="3">
        <f t="shared" si="9"/>
        <v>5.4</v>
      </c>
    </row>
    <row r="11" spans="1:35" x14ac:dyDescent="0.2">
      <c r="A11" s="1">
        <v>9</v>
      </c>
      <c r="B11" s="1" t="s">
        <v>123</v>
      </c>
      <c r="C11" s="1"/>
      <c r="D11" s="22">
        <v>8.4072999999999993</v>
      </c>
      <c r="E11" s="22">
        <v>55.744999999999997</v>
      </c>
      <c r="F11" s="1"/>
      <c r="G11" s="2">
        <v>5</v>
      </c>
      <c r="H11" s="2">
        <v>5</v>
      </c>
      <c r="I11" s="2">
        <f>SUMIFS(ProductionCapacities!$F$2:$F$51,ProductionCapacities!$E$2:$E$51,Nodes!B11)</f>
        <v>0</v>
      </c>
      <c r="J11" s="2">
        <v>0</v>
      </c>
      <c r="K11" s="11">
        <v>500</v>
      </c>
      <c r="L11" s="11">
        <v>500</v>
      </c>
      <c r="M11" s="2">
        <v>10</v>
      </c>
      <c r="N11" s="2">
        <v>100</v>
      </c>
      <c r="O11" s="2">
        <f t="shared" si="1"/>
        <v>10</v>
      </c>
      <c r="P11" s="2">
        <v>5</v>
      </c>
      <c r="Q11" s="2">
        <v>5</v>
      </c>
      <c r="R11" s="2">
        <v>5.2</v>
      </c>
      <c r="S11" s="2">
        <v>5.2</v>
      </c>
      <c r="T11" s="2">
        <v>5.4</v>
      </c>
      <c r="U11" s="2">
        <v>5.4</v>
      </c>
      <c r="V11" s="3">
        <v>5</v>
      </c>
      <c r="W11" s="3">
        <v>5</v>
      </c>
      <c r="X11" s="3">
        <v>100</v>
      </c>
      <c r="Y11" s="3">
        <v>0</v>
      </c>
      <c r="Z11" s="3">
        <v>0</v>
      </c>
      <c r="AA11" s="3">
        <f t="shared" si="2"/>
        <v>10</v>
      </c>
      <c r="AB11" s="3">
        <v>0</v>
      </c>
      <c r="AC11" s="3">
        <f t="shared" si="3"/>
        <v>10</v>
      </c>
      <c r="AD11" s="3">
        <f t="shared" si="4"/>
        <v>5</v>
      </c>
      <c r="AE11" s="3">
        <f t="shared" si="5"/>
        <v>5</v>
      </c>
      <c r="AF11" s="3">
        <f t="shared" si="6"/>
        <v>5.2</v>
      </c>
      <c r="AG11" s="3">
        <f t="shared" si="7"/>
        <v>5.2</v>
      </c>
      <c r="AH11" s="3">
        <f t="shared" si="8"/>
        <v>5.4</v>
      </c>
      <c r="AI11" s="3">
        <f t="shared" si="9"/>
        <v>5.4</v>
      </c>
    </row>
    <row r="12" spans="1:35" x14ac:dyDescent="0.2">
      <c r="A12" s="1">
        <v>10</v>
      </c>
      <c r="B12" s="1" t="s">
        <v>124</v>
      </c>
      <c r="C12" s="1"/>
      <c r="D12" s="22">
        <v>9.3108000000000004</v>
      </c>
      <c r="E12" s="22">
        <v>55.616999999999997</v>
      </c>
      <c r="F12" s="1"/>
      <c r="G12" s="2">
        <v>5</v>
      </c>
      <c r="H12" s="2">
        <v>5</v>
      </c>
      <c r="I12" s="2">
        <f>SUMIFS(ProductionCapacities!$F$2:$F$51,ProductionCapacities!$E$2:$E$51,Nodes!B12)</f>
        <v>0</v>
      </c>
      <c r="J12" s="2">
        <v>0</v>
      </c>
      <c r="K12" s="11">
        <v>500</v>
      </c>
      <c r="L12" s="11">
        <v>500</v>
      </c>
      <c r="M12" s="2">
        <v>10</v>
      </c>
      <c r="N12" s="2">
        <v>100</v>
      </c>
      <c r="O12" s="2">
        <f t="shared" si="1"/>
        <v>10</v>
      </c>
      <c r="P12" s="2">
        <v>5</v>
      </c>
      <c r="Q12" s="2">
        <v>5</v>
      </c>
      <c r="R12" s="2">
        <v>5.2</v>
      </c>
      <c r="S12" s="2">
        <v>5.2</v>
      </c>
      <c r="T12" s="2">
        <v>5.4</v>
      </c>
      <c r="U12" s="2">
        <v>5.4</v>
      </c>
      <c r="V12" s="3">
        <v>5</v>
      </c>
      <c r="W12" s="3">
        <v>5</v>
      </c>
      <c r="X12" s="3">
        <v>100</v>
      </c>
      <c r="Y12" s="3">
        <v>0</v>
      </c>
      <c r="Z12" s="3">
        <v>0</v>
      </c>
      <c r="AA12" s="3">
        <f t="shared" si="2"/>
        <v>10</v>
      </c>
      <c r="AB12" s="3">
        <v>0</v>
      </c>
      <c r="AC12" s="3">
        <f t="shared" si="3"/>
        <v>10</v>
      </c>
      <c r="AD12" s="3">
        <f t="shared" si="4"/>
        <v>5</v>
      </c>
      <c r="AE12" s="3">
        <f t="shared" si="5"/>
        <v>5</v>
      </c>
      <c r="AF12" s="3">
        <f t="shared" si="6"/>
        <v>5.2</v>
      </c>
      <c r="AG12" s="3">
        <f t="shared" si="7"/>
        <v>5.2</v>
      </c>
      <c r="AH12" s="3">
        <f t="shared" si="8"/>
        <v>5.4</v>
      </c>
      <c r="AI12" s="3">
        <f t="shared" si="9"/>
        <v>5.4</v>
      </c>
    </row>
    <row r="13" spans="1:35" x14ac:dyDescent="0.2">
      <c r="A13" s="1">
        <v>11</v>
      </c>
      <c r="B13" s="1" t="s">
        <v>125</v>
      </c>
      <c r="C13" s="1"/>
      <c r="D13" s="22">
        <v>10.7951</v>
      </c>
      <c r="E13" s="22">
        <v>55.286999999999999</v>
      </c>
      <c r="F13" s="1"/>
      <c r="G13" s="2">
        <v>5</v>
      </c>
      <c r="H13" s="2">
        <v>5</v>
      </c>
      <c r="I13" s="2">
        <f>SUMIFS(ProductionCapacities!$F$2:$F$51,ProductionCapacities!$E$2:$E$51,Nodes!B13)</f>
        <v>0</v>
      </c>
      <c r="J13" s="2">
        <v>0</v>
      </c>
      <c r="K13" s="11">
        <v>500</v>
      </c>
      <c r="L13" s="11">
        <v>500</v>
      </c>
      <c r="M13" s="2">
        <v>10</v>
      </c>
      <c r="N13" s="2">
        <v>100</v>
      </c>
      <c r="O13" s="2">
        <f t="shared" si="1"/>
        <v>10</v>
      </c>
      <c r="P13" s="2">
        <v>5</v>
      </c>
      <c r="Q13" s="2">
        <v>5</v>
      </c>
      <c r="R13" s="2">
        <v>5.2</v>
      </c>
      <c r="S13" s="2">
        <v>5.2</v>
      </c>
      <c r="T13" s="2">
        <v>5.4</v>
      </c>
      <c r="U13" s="2">
        <v>5.4</v>
      </c>
      <c r="V13" s="3">
        <v>5</v>
      </c>
      <c r="W13" s="3">
        <v>5</v>
      </c>
      <c r="X13" s="3">
        <v>100</v>
      </c>
      <c r="Y13" s="3">
        <v>0</v>
      </c>
      <c r="Z13" s="3">
        <v>0</v>
      </c>
      <c r="AA13" s="3">
        <f t="shared" si="2"/>
        <v>10</v>
      </c>
      <c r="AB13" s="3">
        <v>0</v>
      </c>
      <c r="AC13" s="3">
        <f t="shared" si="3"/>
        <v>10</v>
      </c>
      <c r="AD13" s="3">
        <f t="shared" si="4"/>
        <v>5</v>
      </c>
      <c r="AE13" s="3">
        <f t="shared" si="5"/>
        <v>5</v>
      </c>
      <c r="AF13" s="3">
        <f t="shared" si="6"/>
        <v>5.2</v>
      </c>
      <c r="AG13" s="3">
        <f t="shared" si="7"/>
        <v>5.2</v>
      </c>
      <c r="AH13" s="3">
        <f t="shared" si="8"/>
        <v>5.4</v>
      </c>
      <c r="AI13" s="3">
        <f t="shared" si="9"/>
        <v>5.4</v>
      </c>
    </row>
    <row r="14" spans="1:35" x14ac:dyDescent="0.2">
      <c r="A14" s="1">
        <v>12</v>
      </c>
      <c r="B14" s="1" t="s">
        <v>126</v>
      </c>
      <c r="C14" s="1"/>
      <c r="D14" s="22">
        <v>11.2102</v>
      </c>
      <c r="E14" s="22">
        <v>55.389000000000003</v>
      </c>
      <c r="F14" s="1"/>
      <c r="G14" s="2">
        <v>5</v>
      </c>
      <c r="H14" s="2">
        <v>5</v>
      </c>
      <c r="I14" s="2">
        <f>SUMIFS(ProductionCapacities!$F$2:$F$51,ProductionCapacities!$E$2:$E$51,Nodes!B14)</f>
        <v>0</v>
      </c>
      <c r="J14" s="2">
        <v>0</v>
      </c>
      <c r="K14" s="11">
        <v>500</v>
      </c>
      <c r="L14" s="11">
        <v>500</v>
      </c>
      <c r="M14" s="2">
        <v>10</v>
      </c>
      <c r="N14" s="2">
        <v>100</v>
      </c>
      <c r="O14" s="2">
        <f t="shared" si="1"/>
        <v>10</v>
      </c>
      <c r="P14" s="2">
        <v>5</v>
      </c>
      <c r="Q14" s="2">
        <v>5</v>
      </c>
      <c r="R14" s="2">
        <v>5.2</v>
      </c>
      <c r="S14" s="2">
        <v>5.2</v>
      </c>
      <c r="T14" s="2">
        <v>5.4</v>
      </c>
      <c r="U14" s="2">
        <v>5.4</v>
      </c>
      <c r="V14" s="3">
        <v>5</v>
      </c>
      <c r="W14" s="3">
        <v>5</v>
      </c>
      <c r="X14" s="3">
        <v>100</v>
      </c>
      <c r="Y14" s="3">
        <v>0</v>
      </c>
      <c r="Z14" s="3">
        <v>0</v>
      </c>
      <c r="AA14" s="3">
        <f t="shared" si="2"/>
        <v>10</v>
      </c>
      <c r="AB14" s="3">
        <v>0</v>
      </c>
      <c r="AC14" s="3">
        <f t="shared" si="3"/>
        <v>10</v>
      </c>
      <c r="AD14" s="3">
        <f t="shared" si="4"/>
        <v>5</v>
      </c>
      <c r="AE14" s="3">
        <f t="shared" si="5"/>
        <v>5</v>
      </c>
      <c r="AF14" s="3">
        <f t="shared" si="6"/>
        <v>5.2</v>
      </c>
      <c r="AG14" s="3">
        <f t="shared" si="7"/>
        <v>5.2</v>
      </c>
      <c r="AH14" s="3">
        <f t="shared" si="8"/>
        <v>5.4</v>
      </c>
      <c r="AI14" s="3">
        <f t="shared" si="9"/>
        <v>5.4</v>
      </c>
    </row>
    <row r="15" spans="1:35" x14ac:dyDescent="0.2">
      <c r="A15" s="1">
        <v>13</v>
      </c>
      <c r="B15" s="1" t="s">
        <v>80</v>
      </c>
      <c r="C15" s="1"/>
      <c r="D15" s="16">
        <v>6.4412580000000617</v>
      </c>
      <c r="E15" s="16">
        <v>64.233255000000042</v>
      </c>
      <c r="F15" s="1" t="s">
        <v>322</v>
      </c>
      <c r="G15" s="2">
        <v>5</v>
      </c>
      <c r="H15" s="2">
        <v>5</v>
      </c>
      <c r="I15" s="2">
        <f>SUMIFS(ProductionCapacities!$F$2:$F$51,ProductionCapacities!$E$2:$E$51,Nodes!B15)</f>
        <v>1.0191780821917809E-2</v>
      </c>
      <c r="J15" s="2">
        <v>48.064999999999998</v>
      </c>
      <c r="K15" s="11">
        <v>500</v>
      </c>
      <c r="L15" s="11">
        <v>500</v>
      </c>
      <c r="M15" s="2">
        <v>10</v>
      </c>
      <c r="N15" s="2">
        <v>100</v>
      </c>
      <c r="O15" s="2">
        <f t="shared" si="1"/>
        <v>10</v>
      </c>
      <c r="P15" s="2">
        <v>5</v>
      </c>
      <c r="Q15" s="2">
        <v>5</v>
      </c>
      <c r="R15" s="2">
        <v>5.2</v>
      </c>
      <c r="S15" s="2">
        <v>5.2</v>
      </c>
      <c r="T15" s="2">
        <v>5.4</v>
      </c>
      <c r="U15" s="2">
        <v>5.4</v>
      </c>
      <c r="V15" s="3">
        <v>5</v>
      </c>
      <c r="W15" s="3">
        <v>5</v>
      </c>
      <c r="X15" s="3">
        <v>100</v>
      </c>
      <c r="Y15" s="3">
        <v>0</v>
      </c>
      <c r="Z15" s="3">
        <v>0</v>
      </c>
      <c r="AA15" s="3">
        <f t="shared" si="2"/>
        <v>10</v>
      </c>
      <c r="AB15" s="3">
        <v>0</v>
      </c>
      <c r="AC15" s="3">
        <f t="shared" si="3"/>
        <v>10</v>
      </c>
      <c r="AD15" s="3">
        <f t="shared" si="4"/>
        <v>5</v>
      </c>
      <c r="AE15" s="3">
        <f t="shared" si="5"/>
        <v>5</v>
      </c>
      <c r="AF15" s="3">
        <f t="shared" si="6"/>
        <v>5.2</v>
      </c>
      <c r="AG15" s="3">
        <f t="shared" si="7"/>
        <v>5.2</v>
      </c>
      <c r="AH15" s="3">
        <f t="shared" si="8"/>
        <v>5.4</v>
      </c>
      <c r="AI15" s="3">
        <f t="shared" si="9"/>
        <v>5.4</v>
      </c>
    </row>
    <row r="16" spans="1:35" x14ac:dyDescent="0.2">
      <c r="A16" s="1">
        <v>14</v>
      </c>
      <c r="B16" s="1" t="s">
        <v>79</v>
      </c>
      <c r="C16" s="1"/>
      <c r="D16" s="16">
        <v>7.7910261052919596</v>
      </c>
      <c r="E16" s="16">
        <v>64.350567591210293</v>
      </c>
      <c r="F16" s="1"/>
      <c r="G16" s="2">
        <v>5</v>
      </c>
      <c r="H16" s="2">
        <v>5</v>
      </c>
      <c r="I16" s="2">
        <f>SUMIFS(ProductionCapacities!$F$2:$F$51,ProductionCapacities!$E$2:$E$51,Nodes!B16)</f>
        <v>0</v>
      </c>
      <c r="J16" s="2">
        <v>48.064999999999998</v>
      </c>
      <c r="K16" s="11">
        <v>500</v>
      </c>
      <c r="L16" s="11">
        <v>500</v>
      </c>
      <c r="M16" s="2">
        <v>10</v>
      </c>
      <c r="N16" s="2">
        <v>100</v>
      </c>
      <c r="O16" s="2">
        <f t="shared" si="1"/>
        <v>10</v>
      </c>
      <c r="P16" s="2">
        <v>5</v>
      </c>
      <c r="Q16" s="2">
        <v>5</v>
      </c>
      <c r="R16" s="2">
        <v>5.2</v>
      </c>
      <c r="S16" s="2">
        <v>5.2</v>
      </c>
      <c r="T16" s="2">
        <v>5.4</v>
      </c>
      <c r="U16" s="2">
        <v>5.4</v>
      </c>
      <c r="V16" s="3">
        <v>5</v>
      </c>
      <c r="W16" s="3">
        <v>5</v>
      </c>
      <c r="X16" s="3">
        <v>100</v>
      </c>
      <c r="Y16" s="3">
        <v>0</v>
      </c>
      <c r="Z16" s="3">
        <v>0</v>
      </c>
      <c r="AA16" s="3">
        <f t="shared" si="2"/>
        <v>10</v>
      </c>
      <c r="AB16" s="3">
        <v>0</v>
      </c>
      <c r="AC16" s="3">
        <f t="shared" si="3"/>
        <v>10</v>
      </c>
      <c r="AD16" s="3">
        <f t="shared" si="4"/>
        <v>5</v>
      </c>
      <c r="AE16" s="3">
        <f t="shared" si="5"/>
        <v>5</v>
      </c>
      <c r="AF16" s="3">
        <f t="shared" si="6"/>
        <v>5.2</v>
      </c>
      <c r="AG16" s="3">
        <f t="shared" si="7"/>
        <v>5.2</v>
      </c>
      <c r="AH16" s="3">
        <f t="shared" si="8"/>
        <v>5.4</v>
      </c>
      <c r="AI16" s="3">
        <f t="shared" si="9"/>
        <v>5.4</v>
      </c>
    </row>
    <row r="17" spans="1:35" x14ac:dyDescent="0.2">
      <c r="A17" s="1">
        <v>15</v>
      </c>
      <c r="B17" s="1" t="s">
        <v>106</v>
      </c>
      <c r="C17" s="1"/>
      <c r="D17" s="22">
        <v>2.4644041660536331</v>
      </c>
      <c r="E17" s="22">
        <v>58.188149017412513</v>
      </c>
      <c r="F17" s="1"/>
      <c r="G17" s="2">
        <v>5</v>
      </c>
      <c r="H17" s="2">
        <v>5</v>
      </c>
      <c r="I17" s="2">
        <f>SUMIFS(ProductionCapacities!$F$2:$F$51,ProductionCapacities!$E$2:$E$51,Nodes!B17)</f>
        <v>0</v>
      </c>
      <c r="J17" s="2">
        <v>0</v>
      </c>
      <c r="K17" s="11">
        <v>500</v>
      </c>
      <c r="L17" s="11">
        <v>500</v>
      </c>
      <c r="M17" s="2">
        <v>10</v>
      </c>
      <c r="N17" s="2">
        <v>100</v>
      </c>
      <c r="O17" s="2">
        <f t="shared" si="1"/>
        <v>10</v>
      </c>
      <c r="P17" s="2">
        <v>5</v>
      </c>
      <c r="Q17" s="2">
        <v>5</v>
      </c>
      <c r="R17" s="2">
        <v>5.2</v>
      </c>
      <c r="S17" s="2">
        <v>5.2</v>
      </c>
      <c r="T17" s="2">
        <v>5.4</v>
      </c>
      <c r="U17" s="2">
        <v>5.4</v>
      </c>
      <c r="V17" s="3">
        <v>5</v>
      </c>
      <c r="W17" s="3">
        <v>5</v>
      </c>
      <c r="X17" s="3">
        <v>100</v>
      </c>
      <c r="Y17" s="3">
        <v>0</v>
      </c>
      <c r="Z17" s="3">
        <v>0</v>
      </c>
      <c r="AA17" s="3">
        <f t="shared" si="2"/>
        <v>10</v>
      </c>
      <c r="AB17" s="3">
        <v>0</v>
      </c>
      <c r="AC17" s="3">
        <f t="shared" si="3"/>
        <v>10</v>
      </c>
      <c r="AD17" s="3">
        <f t="shared" si="4"/>
        <v>5</v>
      </c>
      <c r="AE17" s="3">
        <f t="shared" si="5"/>
        <v>5</v>
      </c>
      <c r="AF17" s="3">
        <f t="shared" si="6"/>
        <v>5.2</v>
      </c>
      <c r="AG17" s="3">
        <f t="shared" si="7"/>
        <v>5.2</v>
      </c>
      <c r="AH17" s="3">
        <f t="shared" si="8"/>
        <v>5.4</v>
      </c>
      <c r="AI17" s="3">
        <f t="shared" si="9"/>
        <v>5.4</v>
      </c>
    </row>
    <row r="18" spans="1:35" x14ac:dyDescent="0.2">
      <c r="A18" s="1">
        <v>16</v>
      </c>
      <c r="B18" s="1" t="s">
        <v>107</v>
      </c>
      <c r="C18" s="1"/>
      <c r="D18" s="22">
        <v>2.4737329746028802</v>
      </c>
      <c r="E18" s="22">
        <v>58.184409229014761</v>
      </c>
      <c r="F18" s="1"/>
      <c r="G18" s="2">
        <v>5</v>
      </c>
      <c r="H18" s="2">
        <v>5</v>
      </c>
      <c r="I18" s="2">
        <f>SUMIFS(ProductionCapacities!$F$2:$F$51,ProductionCapacities!$E$2:$E$51,Nodes!B18)</f>
        <v>0</v>
      </c>
      <c r="J18" s="2">
        <v>0</v>
      </c>
      <c r="K18" s="11">
        <v>500</v>
      </c>
      <c r="L18" s="11">
        <v>500</v>
      </c>
      <c r="M18" s="2">
        <v>10</v>
      </c>
      <c r="N18" s="2">
        <v>100</v>
      </c>
      <c r="O18" s="2">
        <f t="shared" si="1"/>
        <v>10</v>
      </c>
      <c r="P18" s="2">
        <v>5</v>
      </c>
      <c r="Q18" s="2">
        <v>5</v>
      </c>
      <c r="R18" s="2">
        <v>5.2</v>
      </c>
      <c r="S18" s="2">
        <v>5.2</v>
      </c>
      <c r="T18" s="2">
        <v>5.4</v>
      </c>
      <c r="U18" s="2">
        <v>5.4</v>
      </c>
      <c r="V18" s="3">
        <v>5</v>
      </c>
      <c r="W18" s="3">
        <v>5</v>
      </c>
      <c r="X18" s="3">
        <v>100</v>
      </c>
      <c r="Y18" s="3">
        <v>0</v>
      </c>
      <c r="Z18" s="3">
        <v>0</v>
      </c>
      <c r="AA18" s="3">
        <f t="shared" si="2"/>
        <v>10</v>
      </c>
      <c r="AB18" s="3">
        <v>0</v>
      </c>
      <c r="AC18" s="3">
        <f t="shared" si="3"/>
        <v>10</v>
      </c>
      <c r="AD18" s="3">
        <f t="shared" si="4"/>
        <v>5</v>
      </c>
      <c r="AE18" s="3">
        <f t="shared" si="5"/>
        <v>5</v>
      </c>
      <c r="AF18" s="3">
        <f t="shared" si="6"/>
        <v>5.2</v>
      </c>
      <c r="AG18" s="3">
        <f t="shared" si="7"/>
        <v>5.2</v>
      </c>
      <c r="AH18" s="3">
        <f t="shared" si="8"/>
        <v>5.4</v>
      </c>
      <c r="AI18" s="3">
        <f t="shared" si="9"/>
        <v>5.4</v>
      </c>
    </row>
    <row r="19" spans="1:35" x14ac:dyDescent="0.2">
      <c r="A19" s="1">
        <v>17</v>
      </c>
      <c r="B19" s="1" t="s">
        <v>122</v>
      </c>
      <c r="C19" s="1" t="s">
        <v>335</v>
      </c>
      <c r="D19" s="22">
        <v>2.252709000000038</v>
      </c>
      <c r="E19" s="22">
        <v>51.046406000000047</v>
      </c>
      <c r="F19" s="1"/>
      <c r="G19" s="2">
        <v>5</v>
      </c>
      <c r="H19" s="2">
        <v>5</v>
      </c>
      <c r="I19" s="2">
        <f>SUMIFS(ProductionCapacities!$F$2:$F$51,ProductionCapacities!$E$2:$E$51,Nodes!B19)</f>
        <v>0</v>
      </c>
      <c r="J19" s="29">
        <v>1214.5999999999999</v>
      </c>
      <c r="K19" s="11">
        <v>500</v>
      </c>
      <c r="L19" s="11">
        <v>500</v>
      </c>
      <c r="M19" s="2">
        <v>10</v>
      </c>
      <c r="N19" s="2">
        <v>100</v>
      </c>
      <c r="O19" s="2">
        <f t="shared" si="1"/>
        <v>0.749</v>
      </c>
      <c r="P19" s="2">
        <v>5</v>
      </c>
      <c r="Q19" s="2">
        <v>5</v>
      </c>
      <c r="R19" s="2">
        <v>5.2</v>
      </c>
      <c r="S19" s="2">
        <v>5.2</v>
      </c>
      <c r="T19" s="2">
        <v>5.4</v>
      </c>
      <c r="U19" s="2">
        <v>5.4</v>
      </c>
      <c r="V19" s="3">
        <v>5</v>
      </c>
      <c r="W19" s="3">
        <v>5</v>
      </c>
      <c r="X19" s="3">
        <v>100</v>
      </c>
      <c r="Y19" s="3">
        <v>0</v>
      </c>
      <c r="Z19" s="3">
        <v>0</v>
      </c>
      <c r="AA19" s="3">
        <f t="shared" si="2"/>
        <v>10</v>
      </c>
      <c r="AB19" s="3">
        <v>0</v>
      </c>
      <c r="AC19" s="3">
        <f t="shared" si="3"/>
        <v>0.749</v>
      </c>
      <c r="AD19" s="3">
        <f t="shared" si="4"/>
        <v>5</v>
      </c>
      <c r="AE19" s="3">
        <f t="shared" si="5"/>
        <v>5</v>
      </c>
      <c r="AF19" s="3">
        <f t="shared" si="6"/>
        <v>5.2</v>
      </c>
      <c r="AG19" s="3">
        <f t="shared" si="7"/>
        <v>5.2</v>
      </c>
      <c r="AH19" s="3">
        <f t="shared" si="8"/>
        <v>5.4</v>
      </c>
      <c r="AI19" s="3">
        <f t="shared" si="9"/>
        <v>5.4</v>
      </c>
    </row>
    <row r="20" spans="1:35" x14ac:dyDescent="0.2">
      <c r="A20" s="1">
        <v>18</v>
      </c>
      <c r="B20" s="1" t="s">
        <v>119</v>
      </c>
      <c r="C20" s="1" t="s">
        <v>335</v>
      </c>
      <c r="D20" s="22">
        <v>0.1160310000000209</v>
      </c>
      <c r="E20" s="22">
        <v>53.659231000000027</v>
      </c>
      <c r="F20" s="1"/>
      <c r="G20" s="2">
        <v>5</v>
      </c>
      <c r="H20" s="2">
        <v>5</v>
      </c>
      <c r="I20" s="2">
        <f>SUMIFS(ProductionCapacities!$F$2:$F$51,ProductionCapacities!$E$2:$E$51,Nodes!B20)</f>
        <v>0</v>
      </c>
      <c r="J20" s="2">
        <v>0</v>
      </c>
      <c r="K20" s="11">
        <v>500</v>
      </c>
      <c r="L20" s="11">
        <v>500</v>
      </c>
      <c r="M20" s="2">
        <v>10</v>
      </c>
      <c r="N20" s="2">
        <v>100</v>
      </c>
      <c r="O20" s="2">
        <f t="shared" si="1"/>
        <v>0.749</v>
      </c>
      <c r="P20" s="2">
        <v>5</v>
      </c>
      <c r="Q20" s="2">
        <v>5</v>
      </c>
      <c r="R20" s="2">
        <v>5.2</v>
      </c>
      <c r="S20" s="2">
        <v>5.2</v>
      </c>
      <c r="T20" s="2">
        <v>5.4</v>
      </c>
      <c r="U20" s="2">
        <v>5.4</v>
      </c>
      <c r="V20" s="3">
        <v>5</v>
      </c>
      <c r="W20" s="3">
        <v>5</v>
      </c>
      <c r="X20" s="3">
        <v>100</v>
      </c>
      <c r="Y20" s="3">
        <v>0</v>
      </c>
      <c r="Z20" s="3">
        <v>0</v>
      </c>
      <c r="AA20" s="3">
        <f t="shared" si="2"/>
        <v>10</v>
      </c>
      <c r="AB20" s="3">
        <v>0</v>
      </c>
      <c r="AC20" s="3">
        <f t="shared" si="3"/>
        <v>0.749</v>
      </c>
      <c r="AD20" s="3">
        <f t="shared" si="4"/>
        <v>5</v>
      </c>
      <c r="AE20" s="3">
        <f t="shared" si="5"/>
        <v>5</v>
      </c>
      <c r="AF20" s="3">
        <f t="shared" si="6"/>
        <v>5.2</v>
      </c>
      <c r="AG20" s="3">
        <f t="shared" si="7"/>
        <v>5.2</v>
      </c>
      <c r="AH20" s="3">
        <f t="shared" si="8"/>
        <v>5.4</v>
      </c>
      <c r="AI20" s="3">
        <f t="shared" si="9"/>
        <v>5.4</v>
      </c>
    </row>
    <row r="21" spans="1:35" x14ac:dyDescent="0.2">
      <c r="A21" s="1">
        <v>19</v>
      </c>
      <c r="B21" s="1" t="s">
        <v>98</v>
      </c>
      <c r="C21" s="1"/>
      <c r="D21" s="16">
        <v>1.3911370790000319</v>
      </c>
      <c r="E21" s="16">
        <v>59.47797846900005</v>
      </c>
      <c r="F21" s="1" t="s">
        <v>322</v>
      </c>
      <c r="G21" s="2">
        <v>5</v>
      </c>
      <c r="H21" s="2">
        <v>5</v>
      </c>
      <c r="I21" s="2">
        <f>SUMIFS(ProductionCapacities!$F$2:$F$51,ProductionCapacities!$E$2:$E$51,Nodes!B21)</f>
        <v>4.0645178082191773</v>
      </c>
      <c r="J21" s="2">
        <v>48.064999999999998</v>
      </c>
      <c r="K21" s="11">
        <v>500</v>
      </c>
      <c r="L21" s="11">
        <v>500</v>
      </c>
      <c r="M21" s="2">
        <v>10</v>
      </c>
      <c r="N21" s="2">
        <v>100</v>
      </c>
      <c r="O21" s="2">
        <f t="shared" si="1"/>
        <v>10</v>
      </c>
      <c r="P21" s="2">
        <v>5</v>
      </c>
      <c r="Q21" s="2">
        <v>5</v>
      </c>
      <c r="R21" s="2">
        <v>5.2</v>
      </c>
      <c r="S21" s="2">
        <v>5.2</v>
      </c>
      <c r="T21" s="2">
        <v>5.4</v>
      </c>
      <c r="U21" s="2">
        <v>5.4</v>
      </c>
      <c r="V21" s="3">
        <v>5</v>
      </c>
      <c r="W21" s="3">
        <v>5</v>
      </c>
      <c r="X21" s="3">
        <v>100</v>
      </c>
      <c r="Y21" s="3">
        <v>0</v>
      </c>
      <c r="Z21" s="3">
        <v>0</v>
      </c>
      <c r="AA21" s="3">
        <f t="shared" si="2"/>
        <v>10</v>
      </c>
      <c r="AB21" s="3">
        <v>0</v>
      </c>
      <c r="AC21" s="3">
        <f t="shared" si="3"/>
        <v>10</v>
      </c>
      <c r="AD21" s="3">
        <f t="shared" si="4"/>
        <v>5</v>
      </c>
      <c r="AE21" s="3">
        <f t="shared" si="5"/>
        <v>5</v>
      </c>
      <c r="AF21" s="3">
        <f t="shared" si="6"/>
        <v>5.2</v>
      </c>
      <c r="AG21" s="3">
        <f t="shared" si="7"/>
        <v>5.2</v>
      </c>
      <c r="AH21" s="3">
        <f t="shared" si="8"/>
        <v>5.4</v>
      </c>
      <c r="AI21" s="3">
        <f t="shared" si="9"/>
        <v>5.4</v>
      </c>
    </row>
    <row r="22" spans="1:35" x14ac:dyDescent="0.2">
      <c r="A22" s="1">
        <v>20</v>
      </c>
      <c r="B22" s="1" t="s">
        <v>110</v>
      </c>
      <c r="C22" s="1"/>
      <c r="D22" s="39">
        <v>3.23</v>
      </c>
      <c r="E22" s="39">
        <v>56.55</v>
      </c>
      <c r="F22" s="1"/>
      <c r="G22" s="2">
        <v>5</v>
      </c>
      <c r="H22" s="2">
        <v>5</v>
      </c>
      <c r="I22" s="2">
        <f>SUMIFS(ProductionCapacities!$F$2:$F$51,ProductionCapacities!$E$2:$E$51,Nodes!B22)</f>
        <v>3.8482712328767121</v>
      </c>
      <c r="J22" s="2">
        <v>578.78499999999997</v>
      </c>
      <c r="K22" s="11">
        <v>500</v>
      </c>
      <c r="L22" s="11">
        <v>500</v>
      </c>
      <c r="M22" s="2">
        <v>10</v>
      </c>
      <c r="N22" s="2">
        <v>100</v>
      </c>
      <c r="O22" s="2">
        <f t="shared" si="1"/>
        <v>10</v>
      </c>
      <c r="P22" s="2">
        <v>5</v>
      </c>
      <c r="Q22" s="2">
        <v>5</v>
      </c>
      <c r="R22" s="2">
        <v>5.2</v>
      </c>
      <c r="S22" s="2">
        <v>5.2</v>
      </c>
      <c r="T22" s="2">
        <v>5.4</v>
      </c>
      <c r="U22" s="2">
        <v>5.4</v>
      </c>
      <c r="V22" s="3">
        <v>5</v>
      </c>
      <c r="W22" s="3">
        <v>5</v>
      </c>
      <c r="X22" s="3">
        <v>100</v>
      </c>
      <c r="Y22" s="3">
        <v>0</v>
      </c>
      <c r="Z22" s="3">
        <v>0</v>
      </c>
      <c r="AA22" s="3">
        <f t="shared" si="2"/>
        <v>10</v>
      </c>
      <c r="AB22" s="3">
        <v>0</v>
      </c>
      <c r="AC22" s="3">
        <f t="shared" si="3"/>
        <v>10</v>
      </c>
      <c r="AD22" s="3">
        <f t="shared" si="4"/>
        <v>5</v>
      </c>
      <c r="AE22" s="3">
        <f t="shared" si="5"/>
        <v>5</v>
      </c>
      <c r="AF22" s="3">
        <f t="shared" si="6"/>
        <v>5.2</v>
      </c>
      <c r="AG22" s="3">
        <f t="shared" si="7"/>
        <v>5.2</v>
      </c>
      <c r="AH22" s="3">
        <f t="shared" si="8"/>
        <v>5.4</v>
      </c>
      <c r="AI22" s="3">
        <f t="shared" si="9"/>
        <v>5.4</v>
      </c>
    </row>
    <row r="23" spans="1:35" x14ac:dyDescent="0.2">
      <c r="A23" s="1">
        <v>21</v>
      </c>
      <c r="B23" s="1" t="s">
        <v>334</v>
      </c>
      <c r="C23" s="1" t="s">
        <v>335</v>
      </c>
      <c r="D23" s="22">
        <v>7.3264200000000406</v>
      </c>
      <c r="E23" s="22">
        <v>53.679700000000082</v>
      </c>
      <c r="F23" s="1"/>
      <c r="G23" s="2">
        <v>5</v>
      </c>
      <c r="H23" s="2">
        <v>5</v>
      </c>
      <c r="I23" s="2">
        <f>SUMIFS(ProductionCapacities!$F$2:$F$51,ProductionCapacities!$E$2:$E$51,Nodes!B23)</f>
        <v>0</v>
      </c>
      <c r="J23" s="2">
        <v>0</v>
      </c>
      <c r="K23" s="11">
        <v>500</v>
      </c>
      <c r="L23" s="11">
        <v>500</v>
      </c>
      <c r="M23" s="2">
        <v>10</v>
      </c>
      <c r="N23" s="2">
        <v>100</v>
      </c>
      <c r="O23" s="2">
        <f t="shared" si="1"/>
        <v>0.749</v>
      </c>
      <c r="P23" s="2">
        <v>5</v>
      </c>
      <c r="Q23" s="2">
        <v>5</v>
      </c>
      <c r="R23" s="2">
        <v>5.2</v>
      </c>
      <c r="S23" s="2">
        <v>5.2</v>
      </c>
      <c r="T23" s="2">
        <v>5.4</v>
      </c>
      <c r="U23" s="2">
        <v>5.4</v>
      </c>
      <c r="V23" s="3">
        <v>5</v>
      </c>
      <c r="W23" s="3">
        <v>5</v>
      </c>
      <c r="X23" s="3">
        <v>100</v>
      </c>
      <c r="Y23" s="3">
        <v>0</v>
      </c>
      <c r="Z23" s="3">
        <v>0</v>
      </c>
      <c r="AA23" s="3">
        <f t="shared" si="2"/>
        <v>10</v>
      </c>
      <c r="AB23" s="3">
        <v>0</v>
      </c>
      <c r="AC23" s="3">
        <f t="shared" si="3"/>
        <v>0.749</v>
      </c>
      <c r="AD23" s="3">
        <f t="shared" si="4"/>
        <v>5</v>
      </c>
      <c r="AE23" s="3">
        <f t="shared" si="5"/>
        <v>5</v>
      </c>
      <c r="AF23" s="3">
        <f t="shared" si="6"/>
        <v>5.2</v>
      </c>
      <c r="AG23" s="3">
        <f t="shared" si="7"/>
        <v>5.2</v>
      </c>
      <c r="AH23" s="3">
        <f t="shared" si="8"/>
        <v>5.4</v>
      </c>
      <c r="AI23" s="3">
        <f t="shared" si="9"/>
        <v>5.4</v>
      </c>
    </row>
    <row r="24" spans="1:35" x14ac:dyDescent="0.2">
      <c r="A24" s="1">
        <v>22</v>
      </c>
      <c r="B24" s="1" t="s">
        <v>120</v>
      </c>
      <c r="C24" s="1" t="s">
        <v>335</v>
      </c>
      <c r="D24" s="16">
        <v>7.1892900000000282</v>
      </c>
      <c r="E24" s="16">
        <v>53.346200000000067</v>
      </c>
      <c r="F24" s="1"/>
      <c r="G24" s="2">
        <v>5</v>
      </c>
      <c r="H24" s="2">
        <v>5</v>
      </c>
      <c r="I24" s="2">
        <f>SUMIFS(ProductionCapacities!$F$2:$F$51,ProductionCapacities!$E$2:$E$51,Nodes!B24)</f>
        <v>0</v>
      </c>
      <c r="J24" s="2">
        <v>0</v>
      </c>
      <c r="K24" s="11">
        <v>500</v>
      </c>
      <c r="L24" s="11">
        <v>500</v>
      </c>
      <c r="M24" s="2">
        <v>10</v>
      </c>
      <c r="N24" s="2">
        <v>100</v>
      </c>
      <c r="O24" s="2">
        <f t="shared" si="1"/>
        <v>0.749</v>
      </c>
      <c r="P24" s="2">
        <v>5</v>
      </c>
      <c r="Q24" s="2">
        <v>5</v>
      </c>
      <c r="R24" s="2">
        <v>5.2</v>
      </c>
      <c r="S24" s="2">
        <v>5.2</v>
      </c>
      <c r="T24" s="2">
        <v>5.4</v>
      </c>
      <c r="U24" s="2">
        <v>5.4</v>
      </c>
      <c r="V24" s="3">
        <v>5</v>
      </c>
      <c r="W24" s="3">
        <v>5</v>
      </c>
      <c r="X24" s="3">
        <v>100</v>
      </c>
      <c r="Y24" s="3">
        <v>0</v>
      </c>
      <c r="Z24" s="3">
        <v>0</v>
      </c>
      <c r="AA24" s="3">
        <f t="shared" si="2"/>
        <v>10</v>
      </c>
      <c r="AB24" s="3">
        <v>0</v>
      </c>
      <c r="AC24" s="3">
        <f t="shared" si="3"/>
        <v>0.749</v>
      </c>
      <c r="AD24" s="3">
        <f t="shared" si="4"/>
        <v>5</v>
      </c>
      <c r="AE24" s="3">
        <f t="shared" si="5"/>
        <v>5</v>
      </c>
      <c r="AF24" s="3">
        <f t="shared" si="6"/>
        <v>5.2</v>
      </c>
      <c r="AG24" s="3">
        <f t="shared" si="7"/>
        <v>5.2</v>
      </c>
      <c r="AH24" s="3">
        <f t="shared" si="8"/>
        <v>5.4</v>
      </c>
      <c r="AI24" s="3">
        <f t="shared" si="9"/>
        <v>5.4</v>
      </c>
    </row>
    <row r="25" spans="1:35" x14ac:dyDescent="0.2">
      <c r="A25" s="1">
        <v>23</v>
      </c>
      <c r="B25" s="1" t="s">
        <v>118</v>
      </c>
      <c r="C25" s="1"/>
      <c r="D25" s="23">
        <v>4.2226220000000581</v>
      </c>
      <c r="E25" s="23">
        <v>55.706969000000072</v>
      </c>
      <c r="F25" s="1"/>
      <c r="G25" s="2">
        <v>5</v>
      </c>
      <c r="H25" s="2">
        <v>5</v>
      </c>
      <c r="I25" s="2">
        <f>SUMIFS(ProductionCapacities!$F$2:$F$51,ProductionCapacities!$E$2:$E$51,Nodes!B25)</f>
        <v>0</v>
      </c>
      <c r="J25" s="2">
        <v>0</v>
      </c>
      <c r="K25" s="11">
        <v>500</v>
      </c>
      <c r="L25" s="11">
        <v>500</v>
      </c>
      <c r="M25" s="2">
        <v>10</v>
      </c>
      <c r="N25" s="2">
        <v>100</v>
      </c>
      <c r="O25" s="2">
        <f t="shared" si="1"/>
        <v>10</v>
      </c>
      <c r="P25" s="2">
        <v>5</v>
      </c>
      <c r="Q25" s="2">
        <v>5</v>
      </c>
      <c r="R25" s="2">
        <v>5.2</v>
      </c>
      <c r="S25" s="2">
        <v>5.2</v>
      </c>
      <c r="T25" s="2">
        <v>5.4</v>
      </c>
      <c r="U25" s="2">
        <v>5.4</v>
      </c>
      <c r="V25" s="3">
        <v>5</v>
      </c>
      <c r="W25" s="3">
        <v>5</v>
      </c>
      <c r="X25" s="3">
        <v>100</v>
      </c>
      <c r="Y25" s="3">
        <v>0</v>
      </c>
      <c r="Z25" s="3">
        <v>0</v>
      </c>
      <c r="AA25" s="3">
        <f t="shared" si="2"/>
        <v>10</v>
      </c>
      <c r="AB25" s="3">
        <v>0</v>
      </c>
      <c r="AC25" s="3">
        <f t="shared" si="3"/>
        <v>10</v>
      </c>
      <c r="AD25" s="3">
        <f t="shared" si="4"/>
        <v>5</v>
      </c>
      <c r="AE25" s="3">
        <f t="shared" si="5"/>
        <v>5</v>
      </c>
      <c r="AF25" s="3">
        <f t="shared" si="6"/>
        <v>5.2</v>
      </c>
      <c r="AG25" s="3">
        <f t="shared" si="7"/>
        <v>5.2</v>
      </c>
      <c r="AH25" s="3">
        <f t="shared" si="8"/>
        <v>5.4</v>
      </c>
      <c r="AI25" s="3">
        <f t="shared" si="9"/>
        <v>5.4</v>
      </c>
    </row>
    <row r="26" spans="1:35" x14ac:dyDescent="0.2">
      <c r="A26" s="1">
        <v>24</v>
      </c>
      <c r="B26" s="1" t="s">
        <v>88</v>
      </c>
      <c r="C26" s="1"/>
      <c r="D26" s="16">
        <v>1.700189114000068</v>
      </c>
      <c r="E26" s="16">
        <v>61.022018433000028</v>
      </c>
      <c r="F26" s="1"/>
      <c r="G26" s="2">
        <v>5</v>
      </c>
      <c r="H26" s="2">
        <v>5</v>
      </c>
      <c r="I26" s="2">
        <f>SUMIFS(ProductionCapacities!$F$2:$F$51,ProductionCapacities!$E$2:$E$51,Nodes!B26)</f>
        <v>0</v>
      </c>
      <c r="J26" s="2">
        <v>0</v>
      </c>
      <c r="K26" s="11">
        <v>500</v>
      </c>
      <c r="L26" s="11">
        <v>500</v>
      </c>
      <c r="M26" s="2">
        <v>10</v>
      </c>
      <c r="N26" s="2">
        <v>100</v>
      </c>
      <c r="O26" s="2">
        <f t="shared" si="1"/>
        <v>10</v>
      </c>
      <c r="P26" s="2">
        <v>5</v>
      </c>
      <c r="Q26" s="2">
        <v>5</v>
      </c>
      <c r="R26" s="2">
        <v>5.2</v>
      </c>
      <c r="S26" s="2">
        <v>5.2</v>
      </c>
      <c r="T26" s="2">
        <v>5.4</v>
      </c>
      <c r="U26" s="2">
        <v>5.4</v>
      </c>
      <c r="V26" s="3">
        <v>5</v>
      </c>
      <c r="W26" s="3">
        <v>5</v>
      </c>
      <c r="X26" s="3">
        <v>100</v>
      </c>
      <c r="Y26" s="3">
        <v>0</v>
      </c>
      <c r="Z26" s="3">
        <v>0</v>
      </c>
      <c r="AA26" s="3">
        <f t="shared" si="2"/>
        <v>10</v>
      </c>
      <c r="AB26" s="3">
        <v>0</v>
      </c>
      <c r="AC26" s="3">
        <f t="shared" si="3"/>
        <v>10</v>
      </c>
      <c r="AD26" s="3">
        <f t="shared" si="4"/>
        <v>5</v>
      </c>
      <c r="AE26" s="3">
        <f t="shared" si="5"/>
        <v>5</v>
      </c>
      <c r="AF26" s="3">
        <f t="shared" si="6"/>
        <v>5.2</v>
      </c>
      <c r="AG26" s="3">
        <f t="shared" si="7"/>
        <v>5.2</v>
      </c>
      <c r="AH26" s="3">
        <f t="shared" si="8"/>
        <v>5.4</v>
      </c>
      <c r="AI26" s="3">
        <f t="shared" si="9"/>
        <v>5.4</v>
      </c>
    </row>
    <row r="27" spans="1:35" x14ac:dyDescent="0.2">
      <c r="A27" s="1">
        <v>25</v>
      </c>
      <c r="B27" s="1" t="s">
        <v>93</v>
      </c>
      <c r="C27" s="1"/>
      <c r="D27" s="16">
        <v>2.011387666028313</v>
      </c>
      <c r="E27" s="16">
        <v>60.502035307044537</v>
      </c>
      <c r="F27" s="1" t="s">
        <v>322</v>
      </c>
      <c r="G27" s="2">
        <v>5</v>
      </c>
      <c r="H27" s="2">
        <v>5</v>
      </c>
      <c r="I27" s="2">
        <f>SUMIFS(ProductionCapacities!$F$2:$F$51,ProductionCapacities!$E$2:$E$51,Nodes!B27)</f>
        <v>0</v>
      </c>
      <c r="J27" s="2">
        <v>0</v>
      </c>
      <c r="K27" s="11">
        <v>500</v>
      </c>
      <c r="L27" s="11">
        <v>500</v>
      </c>
      <c r="M27" s="2">
        <v>10</v>
      </c>
      <c r="N27" s="2">
        <v>100</v>
      </c>
      <c r="O27" s="2">
        <f t="shared" si="1"/>
        <v>10</v>
      </c>
      <c r="P27" s="2">
        <v>5</v>
      </c>
      <c r="Q27" s="2">
        <v>5</v>
      </c>
      <c r="R27" s="2">
        <v>5.2</v>
      </c>
      <c r="S27" s="2">
        <v>5.2</v>
      </c>
      <c r="T27" s="2">
        <v>5.4</v>
      </c>
      <c r="U27" s="2">
        <v>5.4</v>
      </c>
      <c r="V27" s="3">
        <v>5</v>
      </c>
      <c r="W27" s="3">
        <v>5</v>
      </c>
      <c r="X27" s="3">
        <v>100</v>
      </c>
      <c r="Y27" s="3">
        <v>0</v>
      </c>
      <c r="Z27" s="3">
        <v>0</v>
      </c>
      <c r="AA27" s="3">
        <f t="shared" si="2"/>
        <v>10</v>
      </c>
      <c r="AB27" s="3">
        <v>0</v>
      </c>
      <c r="AC27" s="3">
        <f t="shared" si="3"/>
        <v>10</v>
      </c>
      <c r="AD27" s="3">
        <f t="shared" si="4"/>
        <v>5</v>
      </c>
      <c r="AE27" s="3">
        <f t="shared" si="5"/>
        <v>5</v>
      </c>
      <c r="AF27" s="3">
        <f t="shared" si="6"/>
        <v>5.2</v>
      </c>
      <c r="AG27" s="3">
        <f t="shared" si="7"/>
        <v>5.2</v>
      </c>
      <c r="AH27" s="3">
        <f t="shared" si="8"/>
        <v>5.4</v>
      </c>
      <c r="AI27" s="3">
        <f t="shared" si="9"/>
        <v>5.4</v>
      </c>
    </row>
    <row r="28" spans="1:35" x14ac:dyDescent="0.2">
      <c r="A28" s="1">
        <v>26</v>
      </c>
      <c r="B28" s="1" t="s">
        <v>188</v>
      </c>
      <c r="C28" s="1"/>
      <c r="D28" s="16">
        <v>1.6999852660000561</v>
      </c>
      <c r="E28" s="16">
        <v>61.020797730000027</v>
      </c>
      <c r="F28" s="1" t="s">
        <v>322</v>
      </c>
      <c r="G28" s="2">
        <v>5</v>
      </c>
      <c r="H28" s="2">
        <v>5</v>
      </c>
      <c r="I28" s="2">
        <f>SUMIFS(ProductionCapacities!$F$2:$F$51,ProductionCapacities!$E$2:$E$51,Nodes!B28)</f>
        <v>10.738131506849314</v>
      </c>
      <c r="J28" s="2">
        <v>2588.0810000000001</v>
      </c>
      <c r="K28" s="11">
        <v>500</v>
      </c>
      <c r="L28" s="11">
        <v>500</v>
      </c>
      <c r="M28" s="2">
        <v>10</v>
      </c>
      <c r="N28" s="2">
        <v>100</v>
      </c>
      <c r="O28" s="2">
        <f t="shared" si="1"/>
        <v>10</v>
      </c>
      <c r="P28" s="2">
        <v>5</v>
      </c>
      <c r="Q28" s="2">
        <v>5</v>
      </c>
      <c r="R28" s="2">
        <v>5.2</v>
      </c>
      <c r="S28" s="2">
        <v>5.2</v>
      </c>
      <c r="T28" s="2">
        <v>5.4</v>
      </c>
      <c r="U28" s="2">
        <v>5.4</v>
      </c>
      <c r="V28" s="3">
        <v>5</v>
      </c>
      <c r="W28" s="3">
        <v>5</v>
      </c>
      <c r="X28" s="3">
        <v>100</v>
      </c>
      <c r="Y28" s="3">
        <v>0</v>
      </c>
      <c r="Z28" s="3">
        <v>0</v>
      </c>
      <c r="AA28" s="3">
        <f t="shared" si="2"/>
        <v>10</v>
      </c>
      <c r="AB28" s="3">
        <v>0</v>
      </c>
      <c r="AC28" s="3">
        <f t="shared" si="3"/>
        <v>10</v>
      </c>
      <c r="AD28" s="3">
        <f t="shared" si="4"/>
        <v>5</v>
      </c>
      <c r="AE28" s="3">
        <f t="shared" si="5"/>
        <v>5</v>
      </c>
      <c r="AF28" s="3">
        <f t="shared" si="6"/>
        <v>5.2</v>
      </c>
      <c r="AG28" s="3">
        <f t="shared" si="7"/>
        <v>5.2</v>
      </c>
      <c r="AH28" s="3">
        <f t="shared" si="8"/>
        <v>5.4</v>
      </c>
      <c r="AI28" s="3">
        <f t="shared" si="9"/>
        <v>5.4</v>
      </c>
    </row>
    <row r="29" spans="1:35" x14ac:dyDescent="0.2">
      <c r="A29" s="1">
        <v>27</v>
      </c>
      <c r="B29" s="1" t="s">
        <v>189</v>
      </c>
      <c r="C29" s="1"/>
      <c r="D29" s="16">
        <v>3.9049897926673558</v>
      </c>
      <c r="E29" s="16">
        <v>61.330193776287437</v>
      </c>
      <c r="F29" s="1" t="s">
        <v>322</v>
      </c>
      <c r="G29" s="2">
        <v>5</v>
      </c>
      <c r="H29" s="2">
        <v>5</v>
      </c>
      <c r="I29" s="2">
        <f>SUMIFS(ProductionCapacities!$F$2:$F$51,ProductionCapacities!$E$2:$E$51,Nodes!B29)</f>
        <v>0</v>
      </c>
      <c r="J29" s="2">
        <v>2588.0810000000001</v>
      </c>
      <c r="K29" s="11">
        <v>500</v>
      </c>
      <c r="L29" s="11">
        <v>500</v>
      </c>
      <c r="M29" s="2">
        <v>10</v>
      </c>
      <c r="N29" s="2">
        <v>100</v>
      </c>
      <c r="O29" s="2">
        <f t="shared" si="1"/>
        <v>10</v>
      </c>
      <c r="P29" s="2">
        <v>5</v>
      </c>
      <c r="Q29" s="2">
        <v>5</v>
      </c>
      <c r="R29" s="2">
        <v>5.2</v>
      </c>
      <c r="S29" s="2">
        <v>5.2</v>
      </c>
      <c r="T29" s="2">
        <v>5.4</v>
      </c>
      <c r="U29" s="2">
        <v>5.4</v>
      </c>
      <c r="V29" s="3">
        <v>5</v>
      </c>
      <c r="W29" s="3">
        <v>5</v>
      </c>
      <c r="X29" s="3">
        <v>100</v>
      </c>
      <c r="Y29" s="3">
        <v>0</v>
      </c>
      <c r="Z29" s="3">
        <v>0</v>
      </c>
      <c r="AA29" s="3">
        <f t="shared" si="2"/>
        <v>10</v>
      </c>
      <c r="AB29" s="3">
        <v>0</v>
      </c>
      <c r="AC29" s="3">
        <f t="shared" si="3"/>
        <v>10</v>
      </c>
      <c r="AD29" s="3">
        <f t="shared" si="4"/>
        <v>5</v>
      </c>
      <c r="AE29" s="3">
        <f t="shared" si="5"/>
        <v>5</v>
      </c>
      <c r="AF29" s="3">
        <f t="shared" si="6"/>
        <v>5.2</v>
      </c>
      <c r="AG29" s="3">
        <f t="shared" si="7"/>
        <v>5.2</v>
      </c>
      <c r="AH29" s="3">
        <f t="shared" si="8"/>
        <v>5.4</v>
      </c>
      <c r="AI29" s="3">
        <f t="shared" si="9"/>
        <v>5.4</v>
      </c>
    </row>
    <row r="30" spans="1:35" x14ac:dyDescent="0.2">
      <c r="A30" s="1">
        <v>28</v>
      </c>
      <c r="B30" s="1" t="s">
        <v>100</v>
      </c>
      <c r="C30" s="1"/>
      <c r="D30" s="16">
        <v>2.487335300560932</v>
      </c>
      <c r="E30" s="16">
        <v>59.169726343631233</v>
      </c>
      <c r="F30" s="1"/>
      <c r="G30" s="2">
        <v>5</v>
      </c>
      <c r="H30" s="2">
        <v>5</v>
      </c>
      <c r="I30" s="2">
        <f>SUMIFS(ProductionCapacities!$F$2:$F$51,ProductionCapacities!$E$2:$E$51,Nodes!B30)</f>
        <v>0</v>
      </c>
      <c r="J30" s="2">
        <v>48.064999999999998</v>
      </c>
      <c r="K30" s="11">
        <v>500</v>
      </c>
      <c r="L30" s="11">
        <v>500</v>
      </c>
      <c r="M30" s="2">
        <v>10</v>
      </c>
      <c r="N30" s="2">
        <v>100</v>
      </c>
      <c r="O30" s="2">
        <f t="shared" si="1"/>
        <v>10</v>
      </c>
      <c r="P30" s="2">
        <v>5</v>
      </c>
      <c r="Q30" s="2">
        <v>5</v>
      </c>
      <c r="R30" s="2">
        <v>5.2</v>
      </c>
      <c r="S30" s="2">
        <v>5.2</v>
      </c>
      <c r="T30" s="2">
        <v>5.4</v>
      </c>
      <c r="U30" s="2">
        <v>5.4</v>
      </c>
      <c r="V30" s="3">
        <v>5</v>
      </c>
      <c r="W30" s="3">
        <v>5</v>
      </c>
      <c r="X30" s="3">
        <v>100</v>
      </c>
      <c r="Y30" s="3">
        <v>0</v>
      </c>
      <c r="Z30" s="3">
        <v>0</v>
      </c>
      <c r="AA30" s="3">
        <f t="shared" si="2"/>
        <v>10</v>
      </c>
      <c r="AB30" s="3">
        <v>0</v>
      </c>
      <c r="AC30" s="3">
        <f t="shared" si="3"/>
        <v>10</v>
      </c>
      <c r="AD30" s="3">
        <f t="shared" si="4"/>
        <v>5</v>
      </c>
      <c r="AE30" s="3">
        <f t="shared" si="5"/>
        <v>5</v>
      </c>
      <c r="AF30" s="3">
        <f t="shared" si="6"/>
        <v>5.2</v>
      </c>
      <c r="AG30" s="3">
        <f t="shared" si="7"/>
        <v>5.2</v>
      </c>
      <c r="AH30" s="3">
        <f t="shared" si="8"/>
        <v>5.4</v>
      </c>
      <c r="AI30" s="3">
        <f t="shared" si="9"/>
        <v>5.4</v>
      </c>
    </row>
    <row r="31" spans="1:35" x14ac:dyDescent="0.2">
      <c r="A31" s="1">
        <v>29</v>
      </c>
      <c r="B31" s="1" t="s">
        <v>101</v>
      </c>
      <c r="C31" s="1"/>
      <c r="D31" s="16">
        <v>1.750470074427396</v>
      </c>
      <c r="E31" s="16">
        <v>58.84241056287069</v>
      </c>
      <c r="F31" s="1"/>
      <c r="G31" s="2">
        <v>5</v>
      </c>
      <c r="H31" s="2">
        <v>5</v>
      </c>
      <c r="I31" s="2">
        <f>SUMIFS(ProductionCapacities!$F$2:$F$51,ProductionCapacities!$E$2:$E$51,Nodes!B31)</f>
        <v>0</v>
      </c>
      <c r="J31" s="2">
        <v>667.00199999999995</v>
      </c>
      <c r="K31" s="11">
        <v>500</v>
      </c>
      <c r="L31" s="11">
        <v>500</v>
      </c>
      <c r="M31" s="2">
        <v>10</v>
      </c>
      <c r="N31" s="2">
        <v>100</v>
      </c>
      <c r="O31" s="2">
        <f t="shared" si="1"/>
        <v>10</v>
      </c>
      <c r="P31" s="2">
        <v>5</v>
      </c>
      <c r="Q31" s="2">
        <v>5</v>
      </c>
      <c r="R31" s="2">
        <v>5.2</v>
      </c>
      <c r="S31" s="2">
        <v>5.2</v>
      </c>
      <c r="T31" s="2">
        <v>5.4</v>
      </c>
      <c r="U31" s="2">
        <v>5.4</v>
      </c>
      <c r="V31" s="3">
        <v>5</v>
      </c>
      <c r="W31" s="3">
        <v>5</v>
      </c>
      <c r="X31" s="3">
        <v>100</v>
      </c>
      <c r="Y31" s="3">
        <v>0</v>
      </c>
      <c r="Z31" s="3">
        <v>0</v>
      </c>
      <c r="AA31" s="3">
        <f t="shared" si="2"/>
        <v>10</v>
      </c>
      <c r="AB31" s="3">
        <v>0</v>
      </c>
      <c r="AC31" s="3">
        <f t="shared" si="3"/>
        <v>10</v>
      </c>
      <c r="AD31" s="3">
        <f t="shared" si="4"/>
        <v>5</v>
      </c>
      <c r="AE31" s="3">
        <f t="shared" si="5"/>
        <v>5</v>
      </c>
      <c r="AF31" s="3">
        <f t="shared" si="6"/>
        <v>5.2</v>
      </c>
      <c r="AG31" s="3">
        <f t="shared" si="7"/>
        <v>5.2</v>
      </c>
      <c r="AH31" s="3">
        <f t="shared" si="8"/>
        <v>5.4</v>
      </c>
      <c r="AI31" s="3">
        <f t="shared" si="9"/>
        <v>5.4</v>
      </c>
    </row>
    <row r="32" spans="1:35" x14ac:dyDescent="0.2">
      <c r="A32" s="1">
        <v>30</v>
      </c>
      <c r="B32" s="1" t="s">
        <v>116</v>
      </c>
      <c r="C32" s="1"/>
      <c r="D32" s="22">
        <v>6.0406335538870612</v>
      </c>
      <c r="E32" s="22">
        <v>54.505801334185612</v>
      </c>
      <c r="F32" s="1"/>
      <c r="G32" s="2">
        <v>5</v>
      </c>
      <c r="H32" s="2">
        <v>5</v>
      </c>
      <c r="I32" s="2">
        <f>SUMIFS(ProductionCapacities!$F$2:$F$51,ProductionCapacities!$E$2:$E$51,Nodes!B32)</f>
        <v>0</v>
      </c>
      <c r="J32" s="2">
        <v>0</v>
      </c>
      <c r="K32" s="11">
        <v>500</v>
      </c>
      <c r="L32" s="11">
        <v>500</v>
      </c>
      <c r="M32" s="2">
        <v>10</v>
      </c>
      <c r="N32" s="2">
        <v>100</v>
      </c>
      <c r="O32" s="2">
        <f t="shared" si="1"/>
        <v>10</v>
      </c>
      <c r="P32" s="2">
        <v>5</v>
      </c>
      <c r="Q32" s="2">
        <v>5</v>
      </c>
      <c r="R32" s="2">
        <v>5.2</v>
      </c>
      <c r="S32" s="2">
        <v>5.2</v>
      </c>
      <c r="T32" s="2">
        <v>5.4</v>
      </c>
      <c r="U32" s="2">
        <v>5.4</v>
      </c>
      <c r="V32" s="3">
        <v>5</v>
      </c>
      <c r="W32" s="3">
        <v>5</v>
      </c>
      <c r="X32" s="3">
        <v>100</v>
      </c>
      <c r="Y32" s="3">
        <v>0</v>
      </c>
      <c r="Z32" s="3">
        <v>0</v>
      </c>
      <c r="AA32" s="3">
        <f t="shared" si="2"/>
        <v>10</v>
      </c>
      <c r="AB32" s="3">
        <v>0</v>
      </c>
      <c r="AC32" s="3">
        <f t="shared" si="3"/>
        <v>10</v>
      </c>
      <c r="AD32" s="3">
        <f t="shared" si="4"/>
        <v>5</v>
      </c>
      <c r="AE32" s="3">
        <f t="shared" si="5"/>
        <v>5</v>
      </c>
      <c r="AF32" s="3">
        <f t="shared" si="6"/>
        <v>5.2</v>
      </c>
      <c r="AG32" s="3">
        <f t="shared" si="7"/>
        <v>5.2</v>
      </c>
      <c r="AH32" s="3">
        <f t="shared" si="8"/>
        <v>5.4</v>
      </c>
      <c r="AI32" s="3">
        <f t="shared" si="9"/>
        <v>5.4</v>
      </c>
    </row>
    <row r="33" spans="1:35" x14ac:dyDescent="0.2">
      <c r="A33" s="1">
        <v>31</v>
      </c>
      <c r="B33" s="1" t="s">
        <v>77</v>
      </c>
      <c r="C33" s="1"/>
      <c r="D33" s="16">
        <v>7.3202454238671333</v>
      </c>
      <c r="E33" s="16">
        <v>65.321499578632455</v>
      </c>
      <c r="F33" s="1" t="s">
        <v>322</v>
      </c>
      <c r="G33" s="2">
        <v>5</v>
      </c>
      <c r="H33" s="2">
        <v>5</v>
      </c>
      <c r="I33" s="2">
        <f>SUMIFS(ProductionCapacities!$F$2:$F$51,ProductionCapacities!$E$2:$E$51,Nodes!B33)</f>
        <v>4.2217397260273968</v>
      </c>
      <c r="J33" s="2">
        <v>1214.5999999999999</v>
      </c>
      <c r="K33" s="11">
        <v>500</v>
      </c>
      <c r="L33" s="11">
        <v>500</v>
      </c>
      <c r="M33" s="2">
        <v>10</v>
      </c>
      <c r="N33" s="2">
        <v>100</v>
      </c>
      <c r="O33" s="2">
        <f t="shared" si="1"/>
        <v>10</v>
      </c>
      <c r="P33" s="2">
        <v>5</v>
      </c>
      <c r="Q33" s="2">
        <v>5</v>
      </c>
      <c r="R33" s="2">
        <v>5.2</v>
      </c>
      <c r="S33" s="2">
        <v>5.2</v>
      </c>
      <c r="T33" s="2">
        <v>5.4</v>
      </c>
      <c r="U33" s="2">
        <v>5.4</v>
      </c>
      <c r="V33" s="3">
        <v>5</v>
      </c>
      <c r="W33" s="3">
        <v>5</v>
      </c>
      <c r="X33" s="3">
        <v>100</v>
      </c>
      <c r="Y33" s="3">
        <v>0</v>
      </c>
      <c r="Z33" s="3">
        <v>0</v>
      </c>
      <c r="AA33" s="3">
        <f t="shared" si="2"/>
        <v>10</v>
      </c>
      <c r="AB33" s="3">
        <v>0</v>
      </c>
      <c r="AC33" s="3">
        <f t="shared" si="3"/>
        <v>10</v>
      </c>
      <c r="AD33" s="3">
        <f t="shared" si="4"/>
        <v>5</v>
      </c>
      <c r="AE33" s="3">
        <f t="shared" si="5"/>
        <v>5</v>
      </c>
      <c r="AF33" s="3">
        <f t="shared" si="6"/>
        <v>5.2</v>
      </c>
      <c r="AG33" s="3">
        <f t="shared" si="7"/>
        <v>5.2</v>
      </c>
      <c r="AH33" s="3">
        <f t="shared" si="8"/>
        <v>5.4</v>
      </c>
      <c r="AI33" s="3">
        <f t="shared" si="9"/>
        <v>5.4</v>
      </c>
    </row>
    <row r="34" spans="1:35" x14ac:dyDescent="0.2">
      <c r="A34" s="1">
        <v>32</v>
      </c>
      <c r="B34" s="1" t="s">
        <v>97</v>
      </c>
      <c r="C34" s="1"/>
      <c r="D34" s="16">
        <v>2.2345225779689399</v>
      </c>
      <c r="E34" s="16">
        <v>59.570737872744949</v>
      </c>
      <c r="F34" s="1"/>
      <c r="G34" s="2">
        <v>5</v>
      </c>
      <c r="H34" s="2">
        <v>5</v>
      </c>
      <c r="I34" s="2">
        <f>SUMIFS(ProductionCapacities!$F$2:$F$51,ProductionCapacities!$E$2:$E$51,Nodes!B34)</f>
        <v>7.2424657534246567E-2</v>
      </c>
      <c r="J34" s="2">
        <v>1329.308</v>
      </c>
      <c r="K34" s="11">
        <v>500</v>
      </c>
      <c r="L34" s="11">
        <v>500</v>
      </c>
      <c r="M34" s="2">
        <v>10</v>
      </c>
      <c r="N34" s="2">
        <v>100</v>
      </c>
      <c r="O34" s="2">
        <f t="shared" si="1"/>
        <v>10</v>
      </c>
      <c r="P34" s="2">
        <v>5</v>
      </c>
      <c r="Q34" s="2">
        <v>5</v>
      </c>
      <c r="R34" s="2">
        <v>5.2</v>
      </c>
      <c r="S34" s="2">
        <v>5.2</v>
      </c>
      <c r="T34" s="2">
        <v>5.4</v>
      </c>
      <c r="U34" s="2">
        <v>5.4</v>
      </c>
      <c r="V34" s="3">
        <v>5</v>
      </c>
      <c r="W34" s="3">
        <v>5</v>
      </c>
      <c r="X34" s="3">
        <v>100</v>
      </c>
      <c r="Y34" s="3">
        <v>0</v>
      </c>
      <c r="Z34" s="3">
        <v>0</v>
      </c>
      <c r="AA34" s="3">
        <f t="shared" si="2"/>
        <v>10</v>
      </c>
      <c r="AB34" s="3">
        <v>0</v>
      </c>
      <c r="AC34" s="3">
        <f t="shared" si="3"/>
        <v>10</v>
      </c>
      <c r="AD34" s="3">
        <f t="shared" si="4"/>
        <v>5</v>
      </c>
      <c r="AE34" s="3">
        <f t="shared" si="5"/>
        <v>5</v>
      </c>
      <c r="AF34" s="3">
        <f t="shared" si="6"/>
        <v>5.2</v>
      </c>
      <c r="AG34" s="3">
        <f t="shared" si="7"/>
        <v>5.2</v>
      </c>
      <c r="AH34" s="3">
        <f t="shared" si="8"/>
        <v>5.4</v>
      </c>
      <c r="AI34" s="3">
        <f t="shared" si="9"/>
        <v>5.4</v>
      </c>
    </row>
    <row r="35" spans="1:35" x14ac:dyDescent="0.2">
      <c r="A35" s="1">
        <v>33</v>
      </c>
      <c r="B35" s="1" t="s">
        <v>96</v>
      </c>
      <c r="C35" s="1"/>
      <c r="D35" s="16">
        <v>2.2352254874930928</v>
      </c>
      <c r="E35" s="16">
        <v>59.571075351213203</v>
      </c>
      <c r="F35" s="1"/>
      <c r="G35" s="2">
        <v>5</v>
      </c>
      <c r="H35" s="2">
        <v>5</v>
      </c>
      <c r="I35" s="2">
        <f>SUMIFS(ProductionCapacities!$F$2:$F$51,ProductionCapacities!$E$2:$E$51,Nodes!B35)</f>
        <v>0</v>
      </c>
      <c r="J35" s="2">
        <v>1329.308</v>
      </c>
      <c r="K35" s="11">
        <v>500</v>
      </c>
      <c r="L35" s="11">
        <v>500</v>
      </c>
      <c r="M35" s="2">
        <v>10</v>
      </c>
      <c r="N35" s="2">
        <v>100</v>
      </c>
      <c r="O35" s="2">
        <f t="shared" si="1"/>
        <v>10</v>
      </c>
      <c r="P35" s="2">
        <v>5</v>
      </c>
      <c r="Q35" s="2">
        <v>5</v>
      </c>
      <c r="R35" s="2">
        <v>5.2</v>
      </c>
      <c r="S35" s="2">
        <v>5.2</v>
      </c>
      <c r="T35" s="2">
        <v>5.4</v>
      </c>
      <c r="U35" s="2">
        <v>5.4</v>
      </c>
      <c r="V35" s="3">
        <v>5</v>
      </c>
      <c r="W35" s="3">
        <v>5</v>
      </c>
      <c r="X35" s="3">
        <v>100</v>
      </c>
      <c r="Y35" s="3">
        <v>0</v>
      </c>
      <c r="Z35" s="3">
        <v>0</v>
      </c>
      <c r="AA35" s="3">
        <f t="shared" si="2"/>
        <v>10</v>
      </c>
      <c r="AB35" s="3">
        <v>0</v>
      </c>
      <c r="AC35" s="3">
        <f t="shared" si="3"/>
        <v>10</v>
      </c>
      <c r="AD35" s="3">
        <f t="shared" si="4"/>
        <v>5</v>
      </c>
      <c r="AE35" s="3">
        <f t="shared" si="5"/>
        <v>5</v>
      </c>
      <c r="AF35" s="3">
        <f t="shared" si="6"/>
        <v>5.2</v>
      </c>
      <c r="AG35" s="3">
        <f t="shared" si="7"/>
        <v>5.2</v>
      </c>
      <c r="AH35" s="3">
        <f t="shared" si="8"/>
        <v>5.4</v>
      </c>
      <c r="AI35" s="3">
        <f t="shared" si="9"/>
        <v>5.4</v>
      </c>
    </row>
    <row r="36" spans="1:35" x14ac:dyDescent="0.2">
      <c r="A36" s="1">
        <v>34</v>
      </c>
      <c r="B36" s="1" t="s">
        <v>99</v>
      </c>
      <c r="C36" s="1"/>
      <c r="D36" s="16">
        <v>5.0541760000000409</v>
      </c>
      <c r="E36" s="16">
        <v>59.326808000000028</v>
      </c>
      <c r="F36" s="1" t="s">
        <v>322</v>
      </c>
      <c r="G36" s="2">
        <v>5</v>
      </c>
      <c r="H36" s="2">
        <v>5</v>
      </c>
      <c r="I36" s="2">
        <f>SUMIFS(ProductionCapacities!$F$2:$F$51,ProductionCapacities!$E$2:$E$51,Nodes!B36)</f>
        <v>2.3047890410958907</v>
      </c>
      <c r="J36" s="2">
        <v>8889.5949999999993</v>
      </c>
      <c r="K36" s="11">
        <v>500</v>
      </c>
      <c r="L36" s="11">
        <v>500</v>
      </c>
      <c r="M36" s="2">
        <v>10</v>
      </c>
      <c r="N36" s="2">
        <v>100</v>
      </c>
      <c r="O36" s="2">
        <f t="shared" si="1"/>
        <v>10</v>
      </c>
      <c r="P36" s="2">
        <v>5</v>
      </c>
      <c r="Q36" s="2">
        <v>5</v>
      </c>
      <c r="R36" s="2">
        <v>5.2</v>
      </c>
      <c r="S36" s="2">
        <v>5.2</v>
      </c>
      <c r="T36" s="2">
        <v>5.4</v>
      </c>
      <c r="U36" s="2">
        <v>5.4</v>
      </c>
      <c r="V36" s="3">
        <v>5</v>
      </c>
      <c r="W36" s="3">
        <v>5</v>
      </c>
      <c r="X36" s="3">
        <v>100</v>
      </c>
      <c r="Y36" s="3">
        <v>0</v>
      </c>
      <c r="Z36" s="3">
        <v>0</v>
      </c>
      <c r="AA36" s="3">
        <f t="shared" si="2"/>
        <v>10</v>
      </c>
      <c r="AB36" s="3">
        <v>0</v>
      </c>
      <c r="AC36" s="3">
        <f t="shared" si="3"/>
        <v>10</v>
      </c>
      <c r="AD36" s="3">
        <f t="shared" si="4"/>
        <v>5</v>
      </c>
      <c r="AE36" s="3">
        <f t="shared" si="5"/>
        <v>5</v>
      </c>
      <c r="AF36" s="3">
        <f t="shared" si="6"/>
        <v>5.2</v>
      </c>
      <c r="AG36" s="3">
        <f t="shared" si="7"/>
        <v>5.2</v>
      </c>
      <c r="AH36" s="3">
        <f t="shared" si="8"/>
        <v>5.4</v>
      </c>
      <c r="AI36" s="3">
        <f t="shared" si="9"/>
        <v>5.4</v>
      </c>
    </row>
    <row r="37" spans="1:35" x14ac:dyDescent="0.2">
      <c r="A37" s="1">
        <v>35</v>
      </c>
      <c r="B37" s="1" t="s">
        <v>102</v>
      </c>
      <c r="C37" s="1"/>
      <c r="D37" s="16">
        <v>2.5577715130093028</v>
      </c>
      <c r="E37" s="16">
        <v>58.841931072335058</v>
      </c>
      <c r="F37" s="1" t="s">
        <v>322</v>
      </c>
      <c r="G37" s="2">
        <v>5</v>
      </c>
      <c r="H37" s="2">
        <v>5</v>
      </c>
      <c r="I37" s="2">
        <f>SUMIFS(ProductionCapacities!$F$2:$F$51,ProductionCapacities!$E$2:$E$51,Nodes!B37)</f>
        <v>0</v>
      </c>
      <c r="J37" s="2">
        <v>8889.5949999999993</v>
      </c>
      <c r="K37" s="11">
        <v>500</v>
      </c>
      <c r="L37" s="11">
        <v>500</v>
      </c>
      <c r="M37" s="2">
        <v>10</v>
      </c>
      <c r="N37" s="2">
        <v>100</v>
      </c>
      <c r="O37" s="2">
        <f t="shared" si="1"/>
        <v>10</v>
      </c>
      <c r="P37" s="2">
        <v>5</v>
      </c>
      <c r="Q37" s="2">
        <v>5</v>
      </c>
      <c r="R37" s="2">
        <v>5.2</v>
      </c>
      <c r="S37" s="2">
        <v>5.2</v>
      </c>
      <c r="T37" s="2">
        <v>5.4</v>
      </c>
      <c r="U37" s="2">
        <v>5.4</v>
      </c>
      <c r="V37" s="3">
        <v>5</v>
      </c>
      <c r="W37" s="3">
        <v>5</v>
      </c>
      <c r="X37" s="3">
        <v>100</v>
      </c>
      <c r="Y37" s="3">
        <v>0</v>
      </c>
      <c r="Z37" s="3">
        <v>0</v>
      </c>
      <c r="AA37" s="3">
        <f t="shared" si="2"/>
        <v>10</v>
      </c>
      <c r="AB37" s="3">
        <v>0</v>
      </c>
      <c r="AC37" s="3">
        <f t="shared" si="3"/>
        <v>10</v>
      </c>
      <c r="AD37" s="3">
        <f t="shared" si="4"/>
        <v>5</v>
      </c>
      <c r="AE37" s="3">
        <f t="shared" si="5"/>
        <v>5</v>
      </c>
      <c r="AF37" s="3">
        <f t="shared" si="6"/>
        <v>5.2</v>
      </c>
      <c r="AG37" s="3">
        <f t="shared" si="7"/>
        <v>5.2</v>
      </c>
      <c r="AH37" s="3">
        <f t="shared" si="8"/>
        <v>5.4</v>
      </c>
      <c r="AI37" s="3">
        <f t="shared" si="9"/>
        <v>5.4</v>
      </c>
    </row>
    <row r="38" spans="1:35" x14ac:dyDescent="0.2">
      <c r="A38" s="1">
        <v>36</v>
      </c>
      <c r="B38" s="1" t="s">
        <v>207</v>
      </c>
      <c r="C38" s="1"/>
      <c r="D38" s="16">
        <v>5.5129213334435638</v>
      </c>
      <c r="E38" s="16">
        <v>59.272115627836378</v>
      </c>
      <c r="F38" s="1"/>
      <c r="G38" s="2">
        <v>5</v>
      </c>
      <c r="H38" s="2">
        <v>5</v>
      </c>
      <c r="I38" s="2">
        <f>SUMIFS(ProductionCapacities!$F$2:$F$51,ProductionCapacities!$E$2:$E$51,Nodes!B38)</f>
        <v>0</v>
      </c>
      <c r="J38" s="2">
        <v>0</v>
      </c>
      <c r="K38" s="11">
        <v>500</v>
      </c>
      <c r="L38" s="11">
        <v>500</v>
      </c>
      <c r="M38" s="2">
        <v>10</v>
      </c>
      <c r="N38" s="2">
        <v>100</v>
      </c>
      <c r="O38" s="2">
        <f t="shared" si="1"/>
        <v>10</v>
      </c>
      <c r="P38" s="2">
        <v>5</v>
      </c>
      <c r="Q38" s="2">
        <v>5</v>
      </c>
      <c r="R38" s="2">
        <v>5.2</v>
      </c>
      <c r="S38" s="2">
        <v>5.2</v>
      </c>
      <c r="T38" s="2">
        <v>5.4</v>
      </c>
      <c r="U38" s="2">
        <v>5.4</v>
      </c>
      <c r="V38" s="3">
        <v>5</v>
      </c>
      <c r="W38" s="3">
        <v>5</v>
      </c>
      <c r="X38" s="3">
        <v>100</v>
      </c>
      <c r="Y38" s="3">
        <v>0</v>
      </c>
      <c r="Z38" s="3">
        <v>0</v>
      </c>
      <c r="AA38" s="3">
        <f t="shared" si="2"/>
        <v>10</v>
      </c>
      <c r="AB38" s="3">
        <v>0</v>
      </c>
      <c r="AC38" s="3">
        <f t="shared" si="3"/>
        <v>10</v>
      </c>
      <c r="AD38" s="3">
        <f t="shared" si="4"/>
        <v>5</v>
      </c>
      <c r="AE38" s="3">
        <f t="shared" si="5"/>
        <v>5</v>
      </c>
      <c r="AF38" s="3">
        <f t="shared" si="6"/>
        <v>5.2</v>
      </c>
      <c r="AG38" s="3">
        <f t="shared" si="7"/>
        <v>5.2</v>
      </c>
      <c r="AH38" s="3">
        <f t="shared" si="8"/>
        <v>5.4</v>
      </c>
      <c r="AI38" s="3">
        <f t="shared" si="9"/>
        <v>5.4</v>
      </c>
    </row>
    <row r="39" spans="1:35" x14ac:dyDescent="0.2">
      <c r="A39" s="1">
        <v>37</v>
      </c>
      <c r="B39" s="1" t="s">
        <v>91</v>
      </c>
      <c r="C39" s="1"/>
      <c r="D39" s="16">
        <v>4.8385970033810022</v>
      </c>
      <c r="E39" s="16">
        <v>60.545348486364603</v>
      </c>
      <c r="F39" s="1"/>
      <c r="G39" s="2">
        <v>5</v>
      </c>
      <c r="H39" s="2">
        <v>5</v>
      </c>
      <c r="I39" s="2">
        <f>SUMIFS(ProductionCapacities!$F$2:$F$51,ProductionCapacities!$E$2:$E$51,Nodes!B39)</f>
        <v>0</v>
      </c>
      <c r="J39" s="2">
        <v>0</v>
      </c>
      <c r="K39" s="11">
        <v>500</v>
      </c>
      <c r="L39" s="11">
        <v>500</v>
      </c>
      <c r="M39" s="2">
        <v>10</v>
      </c>
      <c r="N39" s="2">
        <v>100</v>
      </c>
      <c r="O39" s="2">
        <f t="shared" si="1"/>
        <v>10</v>
      </c>
      <c r="P39" s="2">
        <v>5</v>
      </c>
      <c r="Q39" s="2">
        <v>5</v>
      </c>
      <c r="R39" s="2">
        <v>5.2</v>
      </c>
      <c r="S39" s="2">
        <v>5.2</v>
      </c>
      <c r="T39" s="2">
        <v>5.4</v>
      </c>
      <c r="U39" s="2">
        <v>5.4</v>
      </c>
      <c r="V39" s="3">
        <v>5</v>
      </c>
      <c r="W39" s="3">
        <v>5</v>
      </c>
      <c r="X39" s="3">
        <v>100</v>
      </c>
      <c r="Y39" s="3">
        <v>0</v>
      </c>
      <c r="Z39" s="3">
        <v>0</v>
      </c>
      <c r="AA39" s="3">
        <f t="shared" si="2"/>
        <v>10</v>
      </c>
      <c r="AB39" s="3">
        <v>0</v>
      </c>
      <c r="AC39" s="3">
        <f t="shared" si="3"/>
        <v>10</v>
      </c>
      <c r="AD39" s="3">
        <f t="shared" si="4"/>
        <v>5</v>
      </c>
      <c r="AE39" s="3">
        <f t="shared" si="5"/>
        <v>5</v>
      </c>
      <c r="AF39" s="3">
        <f t="shared" si="6"/>
        <v>5.2</v>
      </c>
      <c r="AG39" s="3">
        <f t="shared" si="7"/>
        <v>5.2</v>
      </c>
      <c r="AH39" s="3">
        <f t="shared" si="8"/>
        <v>5.4</v>
      </c>
      <c r="AI39" s="3">
        <f t="shared" si="9"/>
        <v>5.4</v>
      </c>
    </row>
    <row r="40" spans="1:35" x14ac:dyDescent="0.2">
      <c r="A40" s="1">
        <v>38</v>
      </c>
      <c r="B40" s="1" t="s">
        <v>186</v>
      </c>
      <c r="C40" s="1"/>
      <c r="D40" s="16">
        <v>2.5070780834093052</v>
      </c>
      <c r="E40" s="16">
        <v>61.077581935633752</v>
      </c>
      <c r="F40" s="1"/>
      <c r="G40" s="2">
        <v>5</v>
      </c>
      <c r="H40" s="2">
        <v>5</v>
      </c>
      <c r="I40" s="2">
        <f>SUMIFS(ProductionCapacities!$F$2:$F$51,ProductionCapacities!$E$2:$E$51,Nodes!B40)</f>
        <v>26.03253698630137</v>
      </c>
      <c r="J40" s="2">
        <v>508.40300000000002</v>
      </c>
      <c r="K40" s="11">
        <v>500</v>
      </c>
      <c r="L40" s="11">
        <v>500</v>
      </c>
      <c r="M40" s="2">
        <v>10</v>
      </c>
      <c r="N40" s="2">
        <v>100</v>
      </c>
      <c r="O40" s="2">
        <f t="shared" si="1"/>
        <v>10</v>
      </c>
      <c r="P40" s="2">
        <v>5</v>
      </c>
      <c r="Q40" s="2">
        <v>5</v>
      </c>
      <c r="R40" s="2">
        <v>5.2</v>
      </c>
      <c r="S40" s="2">
        <v>5.2</v>
      </c>
      <c r="T40" s="2">
        <v>5.4</v>
      </c>
      <c r="U40" s="2">
        <v>5.4</v>
      </c>
      <c r="V40" s="3">
        <v>5</v>
      </c>
      <c r="W40" s="3">
        <v>5</v>
      </c>
      <c r="X40" s="3">
        <v>100</v>
      </c>
      <c r="Y40" s="3">
        <v>0</v>
      </c>
      <c r="Z40" s="3">
        <v>0</v>
      </c>
      <c r="AA40" s="3">
        <f t="shared" si="2"/>
        <v>10</v>
      </c>
      <c r="AB40" s="3">
        <v>0</v>
      </c>
      <c r="AC40" s="3">
        <f t="shared" si="3"/>
        <v>10</v>
      </c>
      <c r="AD40" s="3">
        <f t="shared" si="4"/>
        <v>5</v>
      </c>
      <c r="AE40" s="3">
        <f t="shared" si="5"/>
        <v>5</v>
      </c>
      <c r="AF40" s="3">
        <f t="shared" si="6"/>
        <v>5.2</v>
      </c>
      <c r="AG40" s="3">
        <f t="shared" si="7"/>
        <v>5.2</v>
      </c>
      <c r="AH40" s="3">
        <f t="shared" si="8"/>
        <v>5.4</v>
      </c>
      <c r="AI40" s="3">
        <f t="shared" si="9"/>
        <v>5.4</v>
      </c>
    </row>
    <row r="41" spans="1:35" x14ac:dyDescent="0.2">
      <c r="A41" s="1">
        <v>39</v>
      </c>
      <c r="B41" s="1" t="s">
        <v>95</v>
      </c>
      <c r="C41" s="1"/>
      <c r="D41" s="16">
        <v>2.0175154810000322</v>
      </c>
      <c r="E41" s="16">
        <v>59.894961973000079</v>
      </c>
      <c r="F41" s="1" t="s">
        <v>322</v>
      </c>
      <c r="G41" s="2">
        <v>5</v>
      </c>
      <c r="H41" s="2">
        <v>5</v>
      </c>
      <c r="I41" s="2">
        <f>SUMIFS(ProductionCapacities!$F$2:$F$51,ProductionCapacities!$E$2:$E$51,Nodes!B41)</f>
        <v>0</v>
      </c>
      <c r="J41" s="2">
        <v>48.064999999999998</v>
      </c>
      <c r="K41" s="11">
        <v>500</v>
      </c>
      <c r="L41" s="11">
        <v>500</v>
      </c>
      <c r="M41" s="2">
        <v>10</v>
      </c>
      <c r="N41" s="2">
        <v>100</v>
      </c>
      <c r="O41" s="2">
        <f t="shared" si="1"/>
        <v>10</v>
      </c>
      <c r="P41" s="2">
        <v>5</v>
      </c>
      <c r="Q41" s="2">
        <v>5</v>
      </c>
      <c r="R41" s="2">
        <v>5.2</v>
      </c>
      <c r="S41" s="2">
        <v>5.2</v>
      </c>
      <c r="T41" s="2">
        <v>5.4</v>
      </c>
      <c r="U41" s="2">
        <v>5.4</v>
      </c>
      <c r="V41" s="3">
        <v>5</v>
      </c>
      <c r="W41" s="3">
        <v>5</v>
      </c>
      <c r="X41" s="3">
        <v>100</v>
      </c>
      <c r="Y41" s="3">
        <v>0</v>
      </c>
      <c r="Z41" s="3">
        <v>0</v>
      </c>
      <c r="AA41" s="3">
        <f t="shared" si="2"/>
        <v>10</v>
      </c>
      <c r="AB41" s="3">
        <v>0</v>
      </c>
      <c r="AC41" s="3">
        <f t="shared" si="3"/>
        <v>10</v>
      </c>
      <c r="AD41" s="3">
        <f t="shared" si="4"/>
        <v>5</v>
      </c>
      <c r="AE41" s="3">
        <f t="shared" si="5"/>
        <v>5</v>
      </c>
      <c r="AF41" s="3">
        <f t="shared" si="6"/>
        <v>5.2</v>
      </c>
      <c r="AG41" s="3">
        <f t="shared" si="7"/>
        <v>5.2</v>
      </c>
      <c r="AH41" s="3">
        <f t="shared" si="8"/>
        <v>5.4</v>
      </c>
      <c r="AI41" s="3">
        <f t="shared" si="9"/>
        <v>5.4</v>
      </c>
    </row>
    <row r="42" spans="1:35" x14ac:dyDescent="0.2">
      <c r="A42" s="1">
        <v>40</v>
      </c>
      <c r="B42" s="1" t="s">
        <v>87</v>
      </c>
      <c r="C42" s="1"/>
      <c r="D42" s="16">
        <v>1.7050129999999999</v>
      </c>
      <c r="E42" s="16">
        <v>61.034477000000003</v>
      </c>
      <c r="F42" s="1"/>
      <c r="G42" s="2">
        <v>5</v>
      </c>
      <c r="H42" s="2">
        <v>5</v>
      </c>
      <c r="I42" s="2">
        <f>SUMIFS(ProductionCapacities!$F$2:$F$51,ProductionCapacities!$E$2:$E$51,Nodes!B42)</f>
        <v>0</v>
      </c>
      <c r="J42" s="2">
        <v>68.573999999999998</v>
      </c>
      <c r="K42" s="11">
        <v>500</v>
      </c>
      <c r="L42" s="11">
        <v>500</v>
      </c>
      <c r="M42" s="2">
        <v>10</v>
      </c>
      <c r="N42" s="2">
        <v>100</v>
      </c>
      <c r="O42" s="2">
        <f t="shared" si="1"/>
        <v>10</v>
      </c>
      <c r="P42" s="2">
        <v>5</v>
      </c>
      <c r="Q42" s="2">
        <v>5</v>
      </c>
      <c r="R42" s="2">
        <v>5.2</v>
      </c>
      <c r="S42" s="2">
        <v>5.2</v>
      </c>
      <c r="T42" s="2">
        <v>5.4</v>
      </c>
      <c r="U42" s="2">
        <v>5.4</v>
      </c>
      <c r="V42" s="3">
        <v>5</v>
      </c>
      <c r="W42" s="3">
        <v>5</v>
      </c>
      <c r="X42" s="3">
        <v>100</v>
      </c>
      <c r="Y42" s="3">
        <v>0</v>
      </c>
      <c r="Z42" s="3">
        <v>0</v>
      </c>
      <c r="AA42" s="3">
        <f t="shared" si="2"/>
        <v>10</v>
      </c>
      <c r="AB42" s="3">
        <v>0</v>
      </c>
      <c r="AC42" s="3">
        <f t="shared" si="3"/>
        <v>10</v>
      </c>
      <c r="AD42" s="3">
        <f t="shared" si="4"/>
        <v>5</v>
      </c>
      <c r="AE42" s="3">
        <f t="shared" si="5"/>
        <v>5</v>
      </c>
      <c r="AF42" s="3">
        <f t="shared" si="6"/>
        <v>5.2</v>
      </c>
      <c r="AG42" s="3">
        <f t="shared" si="7"/>
        <v>5.2</v>
      </c>
      <c r="AH42" s="3">
        <f t="shared" si="8"/>
        <v>5.4</v>
      </c>
      <c r="AI42" s="3">
        <f t="shared" si="9"/>
        <v>5.4</v>
      </c>
    </row>
    <row r="43" spans="1:35" x14ac:dyDescent="0.2">
      <c r="A43" s="1">
        <v>41</v>
      </c>
      <c r="B43" s="1" t="s">
        <v>75</v>
      </c>
      <c r="C43" s="1"/>
      <c r="D43" s="16">
        <v>8.0785441179034034</v>
      </c>
      <c r="E43" s="16">
        <v>66.029330899408933</v>
      </c>
      <c r="F43" s="1" t="s">
        <v>322</v>
      </c>
      <c r="G43" s="2">
        <v>5</v>
      </c>
      <c r="H43" s="2">
        <v>5</v>
      </c>
      <c r="I43" s="2">
        <f>SUMIFS(ProductionCapacities!$F$2:$F$51,ProductionCapacities!$E$2:$E$51,Nodes!B43)</f>
        <v>1.5822602739726026</v>
      </c>
      <c r="J43" s="2">
        <v>1041.0509999999999</v>
      </c>
      <c r="K43" s="11">
        <v>500</v>
      </c>
      <c r="L43" s="11">
        <v>500</v>
      </c>
      <c r="M43" s="2">
        <v>10</v>
      </c>
      <c r="N43" s="2">
        <v>100</v>
      </c>
      <c r="O43" s="2">
        <f t="shared" si="1"/>
        <v>10</v>
      </c>
      <c r="P43" s="2">
        <v>5</v>
      </c>
      <c r="Q43" s="2">
        <v>5</v>
      </c>
      <c r="R43" s="2">
        <v>5.2</v>
      </c>
      <c r="S43" s="2">
        <v>5.2</v>
      </c>
      <c r="T43" s="2">
        <v>5.4</v>
      </c>
      <c r="U43" s="2">
        <v>5.4</v>
      </c>
      <c r="V43" s="3">
        <v>5</v>
      </c>
      <c r="W43" s="3">
        <v>5</v>
      </c>
      <c r="X43" s="3">
        <v>100</v>
      </c>
      <c r="Y43" s="3">
        <v>0</v>
      </c>
      <c r="Z43" s="3">
        <v>0</v>
      </c>
      <c r="AA43" s="3">
        <f t="shared" si="2"/>
        <v>10</v>
      </c>
      <c r="AB43" s="3">
        <v>0</v>
      </c>
      <c r="AC43" s="3">
        <f t="shared" si="3"/>
        <v>10</v>
      </c>
      <c r="AD43" s="3">
        <f t="shared" si="4"/>
        <v>5</v>
      </c>
      <c r="AE43" s="3">
        <f t="shared" si="5"/>
        <v>5</v>
      </c>
      <c r="AF43" s="3">
        <f t="shared" si="6"/>
        <v>5.2</v>
      </c>
      <c r="AG43" s="3">
        <f t="shared" si="7"/>
        <v>5.2</v>
      </c>
      <c r="AH43" s="3">
        <f t="shared" si="8"/>
        <v>5.4</v>
      </c>
      <c r="AI43" s="3">
        <f t="shared" si="9"/>
        <v>5.4</v>
      </c>
    </row>
    <row r="44" spans="1:35" x14ac:dyDescent="0.2">
      <c r="A44" s="1">
        <v>42</v>
      </c>
      <c r="B44" s="1" t="s">
        <v>78</v>
      </c>
      <c r="C44" s="1"/>
      <c r="D44" s="16">
        <v>6.8014610000000744</v>
      </c>
      <c r="E44" s="16">
        <v>65.084516000000065</v>
      </c>
      <c r="F44" s="1" t="s">
        <v>322</v>
      </c>
      <c r="G44" s="2">
        <v>5</v>
      </c>
      <c r="H44" s="2">
        <v>5</v>
      </c>
      <c r="I44" s="2">
        <f>SUMIFS(ProductionCapacities!$F$2:$F$51,ProductionCapacities!$E$2:$E$51,Nodes!B44)</f>
        <v>0</v>
      </c>
      <c r="J44" s="2">
        <v>1214.5999999999999</v>
      </c>
      <c r="K44" s="11">
        <v>500</v>
      </c>
      <c r="L44" s="11">
        <v>500</v>
      </c>
      <c r="M44" s="2">
        <v>10</v>
      </c>
      <c r="N44" s="2">
        <v>100</v>
      </c>
      <c r="O44" s="2">
        <f t="shared" si="1"/>
        <v>10</v>
      </c>
      <c r="P44" s="2">
        <v>5</v>
      </c>
      <c r="Q44" s="2">
        <v>5</v>
      </c>
      <c r="R44" s="2">
        <v>5.2</v>
      </c>
      <c r="S44" s="2">
        <v>5.2</v>
      </c>
      <c r="T44" s="2">
        <v>5.4</v>
      </c>
      <c r="U44" s="2">
        <v>5.4</v>
      </c>
      <c r="V44" s="3">
        <v>5</v>
      </c>
      <c r="W44" s="3">
        <v>5</v>
      </c>
      <c r="X44" s="3">
        <v>100</v>
      </c>
      <c r="Y44" s="3">
        <v>0</v>
      </c>
      <c r="Z44" s="3">
        <v>0</v>
      </c>
      <c r="AA44" s="3">
        <f t="shared" si="2"/>
        <v>10</v>
      </c>
      <c r="AB44" s="3">
        <v>0</v>
      </c>
      <c r="AC44" s="3">
        <f t="shared" si="3"/>
        <v>10</v>
      </c>
      <c r="AD44" s="3">
        <f t="shared" si="4"/>
        <v>5</v>
      </c>
      <c r="AE44" s="3">
        <f t="shared" si="5"/>
        <v>5</v>
      </c>
      <c r="AF44" s="3">
        <f t="shared" si="6"/>
        <v>5.2</v>
      </c>
      <c r="AG44" s="3">
        <f t="shared" si="7"/>
        <v>5.2</v>
      </c>
      <c r="AH44" s="3">
        <f t="shared" si="8"/>
        <v>5.4</v>
      </c>
      <c r="AI44" s="3">
        <f t="shared" si="9"/>
        <v>5.4</v>
      </c>
    </row>
    <row r="45" spans="1:35" x14ac:dyDescent="0.2">
      <c r="A45" s="1">
        <v>43</v>
      </c>
      <c r="B45" s="1" t="s">
        <v>111</v>
      </c>
      <c r="C45" s="1"/>
      <c r="D45" s="22">
        <v>3.330503000000022</v>
      </c>
      <c r="E45" s="22">
        <v>56.490369000000037</v>
      </c>
      <c r="F45" s="1"/>
      <c r="G45" s="2">
        <v>5</v>
      </c>
      <c r="H45" s="2">
        <v>5</v>
      </c>
      <c r="I45" s="2">
        <f>SUMIFS(ProductionCapacities!$F$2:$F$51,ProductionCapacities!$E$2:$E$51,Nodes!B45)</f>
        <v>0</v>
      </c>
      <c r="J45" s="2">
        <v>933.85500000000002</v>
      </c>
      <c r="K45" s="11">
        <v>500</v>
      </c>
      <c r="L45" s="11">
        <v>500</v>
      </c>
      <c r="M45" s="2">
        <v>10</v>
      </c>
      <c r="N45" s="2">
        <v>100</v>
      </c>
      <c r="O45" s="2">
        <f t="shared" si="1"/>
        <v>10</v>
      </c>
      <c r="P45" s="2">
        <v>5</v>
      </c>
      <c r="Q45" s="2">
        <v>5</v>
      </c>
      <c r="R45" s="2">
        <v>5.2</v>
      </c>
      <c r="S45" s="2">
        <v>5.2</v>
      </c>
      <c r="T45" s="2">
        <v>5.4</v>
      </c>
      <c r="U45" s="2">
        <v>5.4</v>
      </c>
      <c r="V45" s="3">
        <v>5</v>
      </c>
      <c r="W45" s="3">
        <v>5</v>
      </c>
      <c r="X45" s="3">
        <v>100</v>
      </c>
      <c r="Y45" s="3">
        <v>0</v>
      </c>
      <c r="Z45" s="3">
        <v>0</v>
      </c>
      <c r="AA45" s="3">
        <f t="shared" si="2"/>
        <v>10</v>
      </c>
      <c r="AB45" s="3">
        <v>0</v>
      </c>
      <c r="AC45" s="3">
        <f t="shared" si="3"/>
        <v>10</v>
      </c>
      <c r="AD45" s="3">
        <f t="shared" si="4"/>
        <v>5</v>
      </c>
      <c r="AE45" s="3">
        <f t="shared" si="5"/>
        <v>5</v>
      </c>
      <c r="AF45" s="3">
        <f t="shared" si="6"/>
        <v>5.2</v>
      </c>
      <c r="AG45" s="3">
        <f t="shared" si="7"/>
        <v>5.2</v>
      </c>
      <c r="AH45" s="3">
        <f t="shared" si="8"/>
        <v>5.4</v>
      </c>
      <c r="AI45" s="3">
        <f t="shared" si="9"/>
        <v>5.4</v>
      </c>
    </row>
    <row r="46" spans="1:35" x14ac:dyDescent="0.2">
      <c r="A46" s="1">
        <v>44</v>
      </c>
      <c r="B46" s="1" t="s">
        <v>84</v>
      </c>
      <c r="C46" s="1"/>
      <c r="D46" s="49">
        <v>6.9457712170000718</v>
      </c>
      <c r="E46" s="49">
        <v>62.851558685000043</v>
      </c>
      <c r="F46" s="1"/>
      <c r="G46" s="2">
        <v>5</v>
      </c>
      <c r="H46" s="2">
        <v>5</v>
      </c>
      <c r="I46" s="2">
        <f>SUMIFS(ProductionCapacities!$F$2:$F$51,ProductionCapacities!$E$2:$E$51,Nodes!B46)</f>
        <v>0</v>
      </c>
      <c r="J46" s="2">
        <v>3093.8470000000002</v>
      </c>
      <c r="K46" s="11">
        <v>500</v>
      </c>
      <c r="L46" s="11">
        <v>500</v>
      </c>
      <c r="M46" s="2">
        <v>10</v>
      </c>
      <c r="N46" s="2">
        <v>100</v>
      </c>
      <c r="O46" s="2">
        <f t="shared" si="1"/>
        <v>10</v>
      </c>
      <c r="P46" s="2">
        <v>5</v>
      </c>
      <c r="Q46" s="2">
        <v>5</v>
      </c>
      <c r="R46" s="2">
        <v>5.2</v>
      </c>
      <c r="S46" s="2">
        <v>5.2</v>
      </c>
      <c r="T46" s="2">
        <v>5.4</v>
      </c>
      <c r="U46" s="2">
        <v>5.4</v>
      </c>
      <c r="V46" s="3">
        <v>5</v>
      </c>
      <c r="W46" s="3">
        <v>5</v>
      </c>
      <c r="X46" s="3">
        <v>100</v>
      </c>
      <c r="Y46" s="3">
        <v>0</v>
      </c>
      <c r="Z46" s="3">
        <v>0</v>
      </c>
      <c r="AA46" s="3">
        <f t="shared" si="2"/>
        <v>10</v>
      </c>
      <c r="AB46" s="3">
        <v>0</v>
      </c>
      <c r="AC46" s="3">
        <f t="shared" si="3"/>
        <v>10</v>
      </c>
      <c r="AD46" s="3">
        <f t="shared" si="4"/>
        <v>5</v>
      </c>
      <c r="AE46" s="3">
        <f t="shared" si="5"/>
        <v>5</v>
      </c>
      <c r="AF46" s="3">
        <f t="shared" si="6"/>
        <v>5.2</v>
      </c>
      <c r="AG46" s="3">
        <f t="shared" si="7"/>
        <v>5.2</v>
      </c>
      <c r="AH46" s="3">
        <f t="shared" si="8"/>
        <v>5.4</v>
      </c>
      <c r="AI46" s="3">
        <f t="shared" si="9"/>
        <v>5.4</v>
      </c>
    </row>
    <row r="47" spans="1:35" x14ac:dyDescent="0.2">
      <c r="A47" s="1">
        <v>45</v>
      </c>
      <c r="B47" s="1" t="s">
        <v>81</v>
      </c>
      <c r="C47" s="1"/>
      <c r="D47" s="16">
        <v>5.3867635720000644</v>
      </c>
      <c r="E47" s="16">
        <v>63.528081670000063</v>
      </c>
      <c r="F47" s="1"/>
      <c r="G47" s="2">
        <v>5</v>
      </c>
      <c r="H47" s="2">
        <v>5</v>
      </c>
      <c r="I47" s="2">
        <f>SUMIFS(ProductionCapacities!$F$2:$F$51,ProductionCapacities!$E$2:$E$51,Nodes!B47)</f>
        <v>32.633767123287676</v>
      </c>
      <c r="J47" s="2">
        <v>48.064999999999998</v>
      </c>
      <c r="K47" s="11">
        <v>500</v>
      </c>
      <c r="L47" s="11">
        <v>500</v>
      </c>
      <c r="M47" s="2">
        <v>10</v>
      </c>
      <c r="N47" s="2">
        <v>100</v>
      </c>
      <c r="O47" s="2">
        <f t="shared" si="1"/>
        <v>10</v>
      </c>
      <c r="P47" s="2">
        <v>5</v>
      </c>
      <c r="Q47" s="2">
        <v>5</v>
      </c>
      <c r="R47" s="2">
        <v>5.2</v>
      </c>
      <c r="S47" s="2">
        <v>5.2</v>
      </c>
      <c r="T47" s="2">
        <v>5.4</v>
      </c>
      <c r="U47" s="2">
        <v>5.4</v>
      </c>
      <c r="V47" s="3">
        <v>5</v>
      </c>
      <c r="W47" s="3">
        <v>5</v>
      </c>
      <c r="X47" s="3">
        <v>100</v>
      </c>
      <c r="Y47" s="3">
        <v>0</v>
      </c>
      <c r="Z47" s="3">
        <v>0</v>
      </c>
      <c r="AA47" s="3">
        <f t="shared" si="2"/>
        <v>10</v>
      </c>
      <c r="AB47" s="3">
        <v>0</v>
      </c>
      <c r="AC47" s="3">
        <f t="shared" si="3"/>
        <v>10</v>
      </c>
      <c r="AD47" s="3">
        <f t="shared" si="4"/>
        <v>5</v>
      </c>
      <c r="AE47" s="3">
        <f t="shared" si="5"/>
        <v>5</v>
      </c>
      <c r="AF47" s="3">
        <f t="shared" si="6"/>
        <v>5.2</v>
      </c>
      <c r="AG47" s="3">
        <f t="shared" si="7"/>
        <v>5.2</v>
      </c>
      <c r="AH47" s="3">
        <f t="shared" si="8"/>
        <v>5.4</v>
      </c>
      <c r="AI47" s="3">
        <f t="shared" si="9"/>
        <v>5.4</v>
      </c>
    </row>
    <row r="48" spans="1:35" x14ac:dyDescent="0.2">
      <c r="A48" s="1">
        <v>46</v>
      </c>
      <c r="B48" s="1" t="s">
        <v>94</v>
      </c>
      <c r="C48" s="1"/>
      <c r="D48" s="16">
        <v>2.8240461869792348</v>
      </c>
      <c r="E48" s="16">
        <v>60.486900453608072</v>
      </c>
      <c r="F48" s="1"/>
      <c r="G48" s="2">
        <v>5</v>
      </c>
      <c r="H48" s="2">
        <v>5</v>
      </c>
      <c r="I48" s="2">
        <f>SUMIFS(ProductionCapacities!$F$2:$F$51,ProductionCapacities!$E$2:$E$51,Nodes!B48)</f>
        <v>11.774098630136987</v>
      </c>
      <c r="J48" s="2">
        <v>48.064999999999998</v>
      </c>
      <c r="K48" s="11">
        <v>500</v>
      </c>
      <c r="L48" s="11">
        <v>500</v>
      </c>
      <c r="M48" s="2">
        <v>10</v>
      </c>
      <c r="N48" s="2">
        <v>100</v>
      </c>
      <c r="O48" s="2">
        <f t="shared" si="1"/>
        <v>10</v>
      </c>
      <c r="P48" s="2">
        <v>5</v>
      </c>
      <c r="Q48" s="2">
        <v>5</v>
      </c>
      <c r="R48" s="2">
        <v>5.2</v>
      </c>
      <c r="S48" s="2">
        <v>5.2</v>
      </c>
      <c r="T48" s="2">
        <v>5.4</v>
      </c>
      <c r="U48" s="2">
        <v>5.4</v>
      </c>
      <c r="V48" s="3">
        <v>5</v>
      </c>
      <c r="W48" s="3">
        <v>5</v>
      </c>
      <c r="X48" s="3">
        <v>100</v>
      </c>
      <c r="Y48" s="3">
        <v>0</v>
      </c>
      <c r="Z48" s="3">
        <v>0</v>
      </c>
      <c r="AA48" s="3">
        <f t="shared" si="2"/>
        <v>10</v>
      </c>
      <c r="AB48" s="3">
        <v>0</v>
      </c>
      <c r="AC48" s="3">
        <f t="shared" si="3"/>
        <v>10</v>
      </c>
      <c r="AD48" s="3">
        <f t="shared" si="4"/>
        <v>5</v>
      </c>
      <c r="AE48" s="3">
        <f t="shared" si="5"/>
        <v>5</v>
      </c>
      <c r="AF48" s="3">
        <f t="shared" si="6"/>
        <v>5.2</v>
      </c>
      <c r="AG48" s="3">
        <f t="shared" si="7"/>
        <v>5.2</v>
      </c>
      <c r="AH48" s="3">
        <f t="shared" si="8"/>
        <v>5.4</v>
      </c>
      <c r="AI48" s="3">
        <f t="shared" si="9"/>
        <v>5.4</v>
      </c>
    </row>
    <row r="49" spans="1:35" x14ac:dyDescent="0.2">
      <c r="A49" s="1">
        <v>47</v>
      </c>
      <c r="B49" s="1" t="s">
        <v>117</v>
      </c>
      <c r="C49" s="1" t="s">
        <v>335</v>
      </c>
      <c r="D49" s="22">
        <v>15.2599</v>
      </c>
      <c r="E49" s="22">
        <v>53.8</v>
      </c>
      <c r="F49" s="1"/>
      <c r="G49" s="2">
        <v>5</v>
      </c>
      <c r="H49" s="2">
        <v>5</v>
      </c>
      <c r="I49" s="2">
        <f>SUMIFS(ProductionCapacities!$F$2:$F$51,ProductionCapacities!$E$2:$E$51,Nodes!B49)</f>
        <v>0</v>
      </c>
      <c r="J49" s="29">
        <v>1041.0509999999999</v>
      </c>
      <c r="K49" s="11">
        <v>500</v>
      </c>
      <c r="L49" s="11">
        <v>500</v>
      </c>
      <c r="M49" s="2">
        <v>10</v>
      </c>
      <c r="N49" s="2">
        <v>100</v>
      </c>
      <c r="O49" s="2">
        <f t="shared" si="1"/>
        <v>0.749</v>
      </c>
      <c r="P49" s="2">
        <v>5</v>
      </c>
      <c r="Q49" s="2">
        <v>5</v>
      </c>
      <c r="R49" s="2">
        <v>5.2</v>
      </c>
      <c r="S49" s="2">
        <v>5.2</v>
      </c>
      <c r="T49" s="2">
        <v>5.4</v>
      </c>
      <c r="U49" s="2">
        <v>5.4</v>
      </c>
      <c r="V49" s="3">
        <v>5</v>
      </c>
      <c r="W49" s="3">
        <v>5</v>
      </c>
      <c r="X49" s="3">
        <v>100</v>
      </c>
      <c r="Y49" s="3">
        <v>0</v>
      </c>
      <c r="Z49" s="3">
        <v>0</v>
      </c>
      <c r="AA49" s="3">
        <f t="shared" si="2"/>
        <v>10</v>
      </c>
      <c r="AB49" s="3">
        <v>0</v>
      </c>
      <c r="AC49" s="3">
        <f t="shared" si="3"/>
        <v>0.749</v>
      </c>
      <c r="AD49" s="3">
        <f t="shared" si="4"/>
        <v>5</v>
      </c>
      <c r="AE49" s="3">
        <f t="shared" si="5"/>
        <v>5</v>
      </c>
      <c r="AF49" s="3">
        <f t="shared" si="6"/>
        <v>5.2</v>
      </c>
      <c r="AG49" s="3">
        <f t="shared" si="7"/>
        <v>5.2</v>
      </c>
      <c r="AH49" s="3">
        <f t="shared" si="8"/>
        <v>5.4</v>
      </c>
      <c r="AI49" s="3">
        <f t="shared" si="9"/>
        <v>5.4</v>
      </c>
    </row>
    <row r="50" spans="1:35" x14ac:dyDescent="0.2">
      <c r="A50" s="1">
        <v>48</v>
      </c>
      <c r="B50" s="1" t="s">
        <v>103</v>
      </c>
      <c r="C50" s="1"/>
      <c r="D50" s="16">
        <v>2.254149831737414</v>
      </c>
      <c r="E50" s="16">
        <v>58.839405675350093</v>
      </c>
      <c r="F50" s="1" t="s">
        <v>322</v>
      </c>
      <c r="G50" s="2">
        <v>5</v>
      </c>
      <c r="H50" s="2">
        <v>5</v>
      </c>
      <c r="I50" s="2">
        <f>SUMIFS(ProductionCapacities!$F$2:$F$51,ProductionCapacities!$E$2:$E$51,Nodes!B50)</f>
        <v>0</v>
      </c>
      <c r="J50" s="2">
        <v>0</v>
      </c>
      <c r="K50" s="11">
        <v>500</v>
      </c>
      <c r="L50" s="11">
        <v>500</v>
      </c>
      <c r="M50" s="2">
        <v>10</v>
      </c>
      <c r="N50" s="2">
        <v>100</v>
      </c>
      <c r="O50" s="2">
        <f t="shared" si="1"/>
        <v>10</v>
      </c>
      <c r="P50" s="2">
        <v>5</v>
      </c>
      <c r="Q50" s="2">
        <v>5</v>
      </c>
      <c r="R50" s="2">
        <v>5.2</v>
      </c>
      <c r="S50" s="2">
        <v>5.2</v>
      </c>
      <c r="T50" s="2">
        <v>5.4</v>
      </c>
      <c r="U50" s="2">
        <v>5.4</v>
      </c>
      <c r="V50" s="3">
        <v>5</v>
      </c>
      <c r="W50" s="3">
        <v>5</v>
      </c>
      <c r="X50" s="3">
        <v>100</v>
      </c>
      <c r="Y50" s="3">
        <v>0</v>
      </c>
      <c r="Z50" s="3">
        <v>0</v>
      </c>
      <c r="AA50" s="3">
        <f t="shared" si="2"/>
        <v>10</v>
      </c>
      <c r="AB50" s="3">
        <v>0</v>
      </c>
      <c r="AC50" s="3">
        <f t="shared" si="3"/>
        <v>10</v>
      </c>
      <c r="AD50" s="3">
        <f t="shared" si="4"/>
        <v>5</v>
      </c>
      <c r="AE50" s="3">
        <f t="shared" si="5"/>
        <v>5</v>
      </c>
      <c r="AF50" s="3">
        <f t="shared" si="6"/>
        <v>5.2</v>
      </c>
      <c r="AG50" s="3">
        <f t="shared" si="7"/>
        <v>5.2</v>
      </c>
      <c r="AH50" s="3">
        <f t="shared" si="8"/>
        <v>5.4</v>
      </c>
      <c r="AI50" s="3">
        <f t="shared" si="9"/>
        <v>5.4</v>
      </c>
    </row>
    <row r="51" spans="1:35" x14ac:dyDescent="0.2">
      <c r="A51" s="1">
        <v>49</v>
      </c>
      <c r="B51" s="1" t="s">
        <v>76</v>
      </c>
      <c r="C51" s="1"/>
      <c r="D51" s="16">
        <v>7.6558328198016818</v>
      </c>
      <c r="E51" s="16">
        <v>65.693743899121472</v>
      </c>
      <c r="F51" s="1" t="s">
        <v>322</v>
      </c>
      <c r="G51" s="2">
        <v>5</v>
      </c>
      <c r="H51" s="2">
        <v>5</v>
      </c>
      <c r="I51" s="2">
        <f>SUMIFS(ProductionCapacities!$F$2:$F$51,ProductionCapacities!$E$2:$E$51,Nodes!B51)</f>
        <v>8.8860904109589036</v>
      </c>
      <c r="J51" s="2">
        <v>48.064999999999998</v>
      </c>
      <c r="K51" s="11">
        <v>500</v>
      </c>
      <c r="L51" s="11">
        <v>500</v>
      </c>
      <c r="M51" s="2">
        <v>10</v>
      </c>
      <c r="N51" s="2">
        <v>100</v>
      </c>
      <c r="O51" s="2">
        <f t="shared" si="1"/>
        <v>10</v>
      </c>
      <c r="P51" s="2">
        <v>5</v>
      </c>
      <c r="Q51" s="2">
        <v>5</v>
      </c>
      <c r="R51" s="2">
        <v>5.2</v>
      </c>
      <c r="S51" s="2">
        <v>5.2</v>
      </c>
      <c r="T51" s="2">
        <v>5.4</v>
      </c>
      <c r="U51" s="2">
        <v>5.4</v>
      </c>
      <c r="V51" s="3">
        <v>5</v>
      </c>
      <c r="W51" s="3">
        <v>5</v>
      </c>
      <c r="X51" s="3">
        <v>100</v>
      </c>
      <c r="Y51" s="3">
        <v>0</v>
      </c>
      <c r="Z51" s="3">
        <v>0</v>
      </c>
      <c r="AA51" s="3">
        <f t="shared" si="2"/>
        <v>10</v>
      </c>
      <c r="AB51" s="3">
        <v>0</v>
      </c>
      <c r="AC51" s="3">
        <f t="shared" si="3"/>
        <v>10</v>
      </c>
      <c r="AD51" s="3">
        <f t="shared" si="4"/>
        <v>5</v>
      </c>
      <c r="AE51" s="3">
        <f t="shared" si="5"/>
        <v>5</v>
      </c>
      <c r="AF51" s="3">
        <f t="shared" si="6"/>
        <v>5.2</v>
      </c>
      <c r="AG51" s="3">
        <f t="shared" si="7"/>
        <v>5.2</v>
      </c>
      <c r="AH51" s="3">
        <f t="shared" si="8"/>
        <v>5.4</v>
      </c>
      <c r="AI51" s="3">
        <f t="shared" si="9"/>
        <v>5.4</v>
      </c>
    </row>
    <row r="52" spans="1:35" x14ac:dyDescent="0.2">
      <c r="A52" s="1">
        <v>50</v>
      </c>
      <c r="B52" s="1" t="s">
        <v>104</v>
      </c>
      <c r="C52" s="1"/>
      <c r="D52" s="22">
        <v>1.898765933579508</v>
      </c>
      <c r="E52" s="22">
        <v>58.370533807717997</v>
      </c>
      <c r="F52" s="1"/>
      <c r="G52" s="2">
        <v>5</v>
      </c>
      <c r="H52" s="2">
        <v>5</v>
      </c>
      <c r="I52" s="2">
        <f>SUMIFS(ProductionCapacities!$F$2:$F$51,ProductionCapacities!$E$2:$E$51,Nodes!B52)</f>
        <v>10.928873972602741</v>
      </c>
      <c r="J52" s="2">
        <v>291.70999999999998</v>
      </c>
      <c r="K52" s="11">
        <v>500</v>
      </c>
      <c r="L52" s="11">
        <v>500</v>
      </c>
      <c r="M52" s="2">
        <v>10</v>
      </c>
      <c r="N52" s="2">
        <v>100</v>
      </c>
      <c r="O52" s="2">
        <f t="shared" si="1"/>
        <v>10</v>
      </c>
      <c r="P52" s="2">
        <v>5</v>
      </c>
      <c r="Q52" s="2">
        <v>5</v>
      </c>
      <c r="R52" s="2">
        <v>5.2</v>
      </c>
      <c r="S52" s="2">
        <v>5.2</v>
      </c>
      <c r="T52" s="2">
        <v>5.4</v>
      </c>
      <c r="U52" s="2">
        <v>5.4</v>
      </c>
      <c r="V52" s="3">
        <v>5</v>
      </c>
      <c r="W52" s="3">
        <v>5</v>
      </c>
      <c r="X52" s="3">
        <v>100</v>
      </c>
      <c r="Y52" s="3">
        <v>0</v>
      </c>
      <c r="Z52" s="3">
        <v>0</v>
      </c>
      <c r="AA52" s="3">
        <f t="shared" si="2"/>
        <v>10</v>
      </c>
      <c r="AB52" s="3">
        <v>0</v>
      </c>
      <c r="AC52" s="3">
        <f t="shared" si="3"/>
        <v>10</v>
      </c>
      <c r="AD52" s="3">
        <f t="shared" si="4"/>
        <v>5</v>
      </c>
      <c r="AE52" s="3">
        <f t="shared" si="5"/>
        <v>5</v>
      </c>
      <c r="AF52" s="3">
        <f t="shared" si="6"/>
        <v>5.2</v>
      </c>
      <c r="AG52" s="3">
        <f t="shared" si="7"/>
        <v>5.2</v>
      </c>
      <c r="AH52" s="3">
        <f t="shared" si="8"/>
        <v>5.4</v>
      </c>
      <c r="AI52" s="3">
        <f t="shared" si="9"/>
        <v>5.4</v>
      </c>
    </row>
    <row r="53" spans="1:35" x14ac:dyDescent="0.2">
      <c r="A53" s="1">
        <v>51</v>
      </c>
      <c r="B53" s="1" t="s">
        <v>105</v>
      </c>
      <c r="C53" s="1"/>
      <c r="D53" s="22">
        <v>1.915866396996226</v>
      </c>
      <c r="E53" s="22">
        <v>58.364944173837479</v>
      </c>
      <c r="F53" s="1"/>
      <c r="G53" s="2">
        <v>5</v>
      </c>
      <c r="H53" s="2">
        <v>5</v>
      </c>
      <c r="I53" s="2">
        <f>SUMIFS(ProductionCapacities!$F$2:$F$51,ProductionCapacities!$E$2:$E$51,Nodes!B53)</f>
        <v>0</v>
      </c>
      <c r="J53" s="2">
        <v>1.974</v>
      </c>
      <c r="K53" s="11">
        <v>500</v>
      </c>
      <c r="L53" s="11">
        <v>500</v>
      </c>
      <c r="M53" s="2">
        <v>10</v>
      </c>
      <c r="N53" s="2">
        <v>100</v>
      </c>
      <c r="O53" s="2">
        <f t="shared" si="1"/>
        <v>10</v>
      </c>
      <c r="P53" s="2">
        <v>5</v>
      </c>
      <c r="Q53" s="2">
        <v>5</v>
      </c>
      <c r="R53" s="2">
        <v>5.2</v>
      </c>
      <c r="S53" s="2">
        <v>5.2</v>
      </c>
      <c r="T53" s="2">
        <v>5.4</v>
      </c>
      <c r="U53" s="2">
        <v>5.4</v>
      </c>
      <c r="V53" s="3">
        <v>5</v>
      </c>
      <c r="W53" s="3">
        <v>5</v>
      </c>
      <c r="X53" s="3">
        <v>100</v>
      </c>
      <c r="Y53" s="3">
        <v>0</v>
      </c>
      <c r="Z53" s="3">
        <v>0</v>
      </c>
      <c r="AA53" s="3">
        <f t="shared" si="2"/>
        <v>10</v>
      </c>
      <c r="AB53" s="3">
        <v>0</v>
      </c>
      <c r="AC53" s="3">
        <f t="shared" si="3"/>
        <v>10</v>
      </c>
      <c r="AD53" s="3">
        <f t="shared" si="4"/>
        <v>5</v>
      </c>
      <c r="AE53" s="3">
        <f t="shared" si="5"/>
        <v>5</v>
      </c>
      <c r="AF53" s="3">
        <f t="shared" si="6"/>
        <v>5.2</v>
      </c>
      <c r="AG53" s="3">
        <f t="shared" si="7"/>
        <v>5.2</v>
      </c>
      <c r="AH53" s="3">
        <f t="shared" si="8"/>
        <v>5.4</v>
      </c>
      <c r="AI53" s="3">
        <f t="shared" si="9"/>
        <v>5.4</v>
      </c>
    </row>
    <row r="54" spans="1:35" x14ac:dyDescent="0.2">
      <c r="A54" s="1">
        <v>52</v>
      </c>
      <c r="B54" s="1" t="s">
        <v>109</v>
      </c>
      <c r="C54" s="1" t="s">
        <v>335</v>
      </c>
      <c r="D54" s="22">
        <v>-1.8256509999999999</v>
      </c>
      <c r="E54" s="22">
        <v>57.579971</v>
      </c>
      <c r="F54" s="1"/>
      <c r="G54" s="2">
        <v>5</v>
      </c>
      <c r="H54" s="2">
        <v>5</v>
      </c>
      <c r="I54" s="2">
        <f>SUMIFS(ProductionCapacities!$F$2:$F$51,ProductionCapacities!$E$2:$E$51,Nodes!B54)</f>
        <v>0</v>
      </c>
      <c r="J54" s="2">
        <v>0</v>
      </c>
      <c r="K54" s="11">
        <v>500</v>
      </c>
      <c r="L54" s="11">
        <v>500</v>
      </c>
      <c r="M54" s="2">
        <v>10</v>
      </c>
      <c r="N54" s="2">
        <v>100</v>
      </c>
      <c r="O54" s="2">
        <f t="shared" si="1"/>
        <v>0.749</v>
      </c>
      <c r="P54" s="2">
        <v>5</v>
      </c>
      <c r="Q54" s="2">
        <v>5</v>
      </c>
      <c r="R54" s="2">
        <v>5.2</v>
      </c>
      <c r="S54" s="2">
        <v>5.2</v>
      </c>
      <c r="T54" s="2">
        <v>5.4</v>
      </c>
      <c r="U54" s="2">
        <v>5.4</v>
      </c>
      <c r="V54" s="3">
        <v>5</v>
      </c>
      <c r="W54" s="3">
        <v>5</v>
      </c>
      <c r="X54" s="3">
        <v>100</v>
      </c>
      <c r="Y54" s="3">
        <v>0</v>
      </c>
      <c r="Z54" s="3">
        <v>0</v>
      </c>
      <c r="AA54" s="3">
        <f t="shared" si="2"/>
        <v>10</v>
      </c>
      <c r="AB54" s="3">
        <v>0</v>
      </c>
      <c r="AC54" s="3">
        <f t="shared" si="3"/>
        <v>0.749</v>
      </c>
      <c r="AD54" s="3">
        <f t="shared" si="4"/>
        <v>5</v>
      </c>
      <c r="AE54" s="3">
        <f t="shared" si="5"/>
        <v>5</v>
      </c>
      <c r="AF54" s="3">
        <f t="shared" si="6"/>
        <v>5.2</v>
      </c>
      <c r="AG54" s="3">
        <f t="shared" si="7"/>
        <v>5.2</v>
      </c>
      <c r="AH54" s="3">
        <f t="shared" si="8"/>
        <v>5.4</v>
      </c>
      <c r="AI54" s="3">
        <f t="shared" si="9"/>
        <v>5.4</v>
      </c>
    </row>
    <row r="55" spans="1:35" x14ac:dyDescent="0.2">
      <c r="A55" s="1">
        <v>53</v>
      </c>
      <c r="B55" s="1" t="s">
        <v>86</v>
      </c>
      <c r="C55" s="1"/>
      <c r="D55" s="16">
        <v>1.845936000000052</v>
      </c>
      <c r="E55" s="16">
        <v>61.185830000000067</v>
      </c>
      <c r="F55" s="1"/>
      <c r="G55" s="2">
        <v>5</v>
      </c>
      <c r="H55" s="2">
        <v>5</v>
      </c>
      <c r="I55" s="2">
        <f>SUMIFS(ProductionCapacities!$F$2:$F$51,ProductionCapacities!$E$2:$E$51,Nodes!B55)</f>
        <v>0</v>
      </c>
      <c r="J55" s="2">
        <v>0</v>
      </c>
      <c r="K55" s="11">
        <v>500</v>
      </c>
      <c r="L55" s="11">
        <v>500</v>
      </c>
      <c r="M55" s="2">
        <v>10</v>
      </c>
      <c r="N55" s="2">
        <v>100</v>
      </c>
      <c r="O55" s="2">
        <f t="shared" si="1"/>
        <v>10</v>
      </c>
      <c r="P55" s="2">
        <v>5</v>
      </c>
      <c r="Q55" s="2">
        <v>5</v>
      </c>
      <c r="R55" s="2">
        <v>5.2</v>
      </c>
      <c r="S55" s="2">
        <v>5.2</v>
      </c>
      <c r="T55" s="2">
        <v>5.4</v>
      </c>
      <c r="U55" s="2">
        <v>5.4</v>
      </c>
      <c r="V55" s="3">
        <v>5</v>
      </c>
      <c r="W55" s="3">
        <v>5</v>
      </c>
      <c r="X55" s="3">
        <v>100</v>
      </c>
      <c r="Y55" s="3">
        <v>0</v>
      </c>
      <c r="Z55" s="3">
        <v>0</v>
      </c>
      <c r="AA55" s="3">
        <f t="shared" si="2"/>
        <v>10</v>
      </c>
      <c r="AB55" s="3">
        <v>0</v>
      </c>
      <c r="AC55" s="3">
        <f t="shared" si="3"/>
        <v>10</v>
      </c>
      <c r="AD55" s="3">
        <f t="shared" si="4"/>
        <v>5</v>
      </c>
      <c r="AE55" s="3">
        <f t="shared" si="5"/>
        <v>5</v>
      </c>
      <c r="AF55" s="3">
        <f t="shared" si="6"/>
        <v>5.2</v>
      </c>
      <c r="AG55" s="3">
        <f t="shared" si="7"/>
        <v>5.2</v>
      </c>
      <c r="AH55" s="3">
        <f t="shared" si="8"/>
        <v>5.4</v>
      </c>
      <c r="AI55" s="3">
        <f t="shared" si="9"/>
        <v>5.4</v>
      </c>
    </row>
    <row r="56" spans="1:35" x14ac:dyDescent="0.2">
      <c r="A56" s="1">
        <v>54</v>
      </c>
      <c r="B56" s="1" t="s">
        <v>85</v>
      </c>
      <c r="C56" s="1"/>
      <c r="D56" s="16">
        <v>1.8315257775840801</v>
      </c>
      <c r="E56" s="16">
        <v>61.20244504760155</v>
      </c>
      <c r="F56" s="1"/>
      <c r="G56" s="2">
        <v>5</v>
      </c>
      <c r="H56" s="2">
        <v>5</v>
      </c>
      <c r="I56" s="2">
        <f>SUMIFS(ProductionCapacities!$F$2:$F$51,ProductionCapacities!$E$2:$E$51,Nodes!B56)</f>
        <v>16.026747945205479</v>
      </c>
      <c r="J56" s="2">
        <v>0</v>
      </c>
      <c r="K56" s="11">
        <v>500</v>
      </c>
      <c r="L56" s="11">
        <v>500</v>
      </c>
      <c r="M56" s="2">
        <v>10</v>
      </c>
      <c r="N56" s="2">
        <v>100</v>
      </c>
      <c r="O56" s="2">
        <f t="shared" si="1"/>
        <v>10</v>
      </c>
      <c r="P56" s="2">
        <v>5</v>
      </c>
      <c r="Q56" s="2">
        <v>5</v>
      </c>
      <c r="R56" s="2">
        <v>5.2</v>
      </c>
      <c r="S56" s="2">
        <v>5.2</v>
      </c>
      <c r="T56" s="2">
        <v>5.4</v>
      </c>
      <c r="U56" s="2">
        <v>5.4</v>
      </c>
      <c r="V56" s="3">
        <v>5</v>
      </c>
      <c r="W56" s="3">
        <v>5</v>
      </c>
      <c r="X56" s="3">
        <v>100</v>
      </c>
      <c r="Y56" s="3">
        <v>0</v>
      </c>
      <c r="Z56" s="3">
        <v>0</v>
      </c>
      <c r="AA56" s="3">
        <f t="shared" si="2"/>
        <v>10</v>
      </c>
      <c r="AB56" s="3">
        <v>0</v>
      </c>
      <c r="AC56" s="3">
        <f t="shared" si="3"/>
        <v>10</v>
      </c>
      <c r="AD56" s="3">
        <f t="shared" si="4"/>
        <v>5</v>
      </c>
      <c r="AE56" s="3">
        <f t="shared" si="5"/>
        <v>5</v>
      </c>
      <c r="AF56" s="3">
        <f t="shared" si="6"/>
        <v>5.2</v>
      </c>
      <c r="AG56" s="3">
        <f t="shared" si="7"/>
        <v>5.2</v>
      </c>
      <c r="AH56" s="3">
        <f t="shared" si="8"/>
        <v>5.4</v>
      </c>
      <c r="AI56" s="3">
        <f t="shared" si="9"/>
        <v>5.4</v>
      </c>
    </row>
    <row r="57" spans="1:35" x14ac:dyDescent="0.2">
      <c r="A57" s="1">
        <v>55</v>
      </c>
      <c r="B57" s="1" t="s">
        <v>115</v>
      </c>
      <c r="C57" s="1" t="s">
        <v>335</v>
      </c>
      <c r="D57" s="22">
        <v>-1.104584</v>
      </c>
      <c r="E57" s="22">
        <v>54.624600000000001</v>
      </c>
      <c r="F57" s="1"/>
      <c r="G57" s="2">
        <v>5</v>
      </c>
      <c r="H57" s="2">
        <v>5</v>
      </c>
      <c r="I57" s="2">
        <f>SUMIFS(ProductionCapacities!$F$2:$F$51,ProductionCapacities!$E$2:$E$51,Nodes!B57)</f>
        <v>0</v>
      </c>
      <c r="J57" s="2">
        <v>222.233</v>
      </c>
      <c r="K57" s="11">
        <v>500</v>
      </c>
      <c r="L57" s="11">
        <v>500</v>
      </c>
      <c r="M57" s="2">
        <v>10</v>
      </c>
      <c r="N57" s="2">
        <v>100</v>
      </c>
      <c r="O57" s="2">
        <f t="shared" si="1"/>
        <v>0.749</v>
      </c>
      <c r="P57" s="2">
        <v>5</v>
      </c>
      <c r="Q57" s="2">
        <v>5</v>
      </c>
      <c r="R57" s="2">
        <v>5.2</v>
      </c>
      <c r="S57" s="2">
        <v>5.2</v>
      </c>
      <c r="T57" s="2">
        <v>5.4</v>
      </c>
      <c r="U57" s="2">
        <v>5.4</v>
      </c>
      <c r="V57" s="3">
        <v>5</v>
      </c>
      <c r="W57" s="3">
        <v>5</v>
      </c>
      <c r="X57" s="3">
        <v>100</v>
      </c>
      <c r="Y57" s="3">
        <v>0</v>
      </c>
      <c r="Z57" s="3">
        <v>0</v>
      </c>
      <c r="AA57" s="3">
        <f t="shared" si="2"/>
        <v>10</v>
      </c>
      <c r="AB57" s="3">
        <v>0</v>
      </c>
      <c r="AC57" s="3">
        <f t="shared" si="3"/>
        <v>0.749</v>
      </c>
      <c r="AD57" s="3">
        <f t="shared" si="4"/>
        <v>5</v>
      </c>
      <c r="AE57" s="3">
        <f t="shared" si="5"/>
        <v>5</v>
      </c>
      <c r="AF57" s="3">
        <f t="shared" si="6"/>
        <v>5.2</v>
      </c>
      <c r="AG57" s="3">
        <f t="shared" si="7"/>
        <v>5.2</v>
      </c>
      <c r="AH57" s="3">
        <f t="shared" si="8"/>
        <v>5.4</v>
      </c>
      <c r="AI57" s="3">
        <f t="shared" si="9"/>
        <v>5.4</v>
      </c>
    </row>
    <row r="58" spans="1:35" x14ac:dyDescent="0.2">
      <c r="A58" s="1">
        <v>56</v>
      </c>
      <c r="B58" s="1" t="s">
        <v>83</v>
      </c>
      <c r="C58" s="1"/>
      <c r="D58" s="16">
        <v>8.6582155394689266</v>
      </c>
      <c r="E58" s="16">
        <v>63.398890962560763</v>
      </c>
      <c r="F58" s="1" t="s">
        <v>322</v>
      </c>
      <c r="G58" s="2">
        <v>5</v>
      </c>
      <c r="H58" s="2">
        <v>5</v>
      </c>
      <c r="I58" s="2">
        <f>SUMIFS(ProductionCapacities!$F$2:$F$51,ProductionCapacities!$E$2:$E$51,Nodes!B58)</f>
        <v>0</v>
      </c>
      <c r="J58" s="2">
        <v>0</v>
      </c>
      <c r="K58" s="11">
        <v>500</v>
      </c>
      <c r="L58" s="11">
        <v>500</v>
      </c>
      <c r="M58" s="2">
        <v>10</v>
      </c>
      <c r="N58" s="2">
        <v>100</v>
      </c>
      <c r="O58" s="2">
        <f t="shared" si="1"/>
        <v>10</v>
      </c>
      <c r="P58" s="2">
        <v>5</v>
      </c>
      <c r="Q58" s="2">
        <v>5</v>
      </c>
      <c r="R58" s="2">
        <v>5.2</v>
      </c>
      <c r="S58" s="2">
        <v>5.2</v>
      </c>
      <c r="T58" s="2">
        <v>5.4</v>
      </c>
      <c r="U58" s="2">
        <v>5.4</v>
      </c>
      <c r="V58" s="3">
        <v>5</v>
      </c>
      <c r="W58" s="3">
        <v>5</v>
      </c>
      <c r="X58" s="3">
        <v>100</v>
      </c>
      <c r="Y58" s="3">
        <v>0</v>
      </c>
      <c r="Z58" s="3">
        <v>0</v>
      </c>
      <c r="AA58" s="3">
        <f t="shared" si="2"/>
        <v>10</v>
      </c>
      <c r="AB58" s="3">
        <v>0</v>
      </c>
      <c r="AC58" s="3">
        <f t="shared" si="3"/>
        <v>10</v>
      </c>
      <c r="AD58" s="3">
        <f t="shared" si="4"/>
        <v>5</v>
      </c>
      <c r="AE58" s="3">
        <f t="shared" si="5"/>
        <v>5</v>
      </c>
      <c r="AF58" s="3">
        <f t="shared" si="6"/>
        <v>5.2</v>
      </c>
      <c r="AG58" s="3">
        <f t="shared" si="7"/>
        <v>5.2</v>
      </c>
      <c r="AH58" s="3">
        <f t="shared" si="8"/>
        <v>5.4</v>
      </c>
      <c r="AI58" s="3">
        <f t="shared" si="9"/>
        <v>5.4</v>
      </c>
    </row>
    <row r="59" spans="1:35" x14ac:dyDescent="0.2">
      <c r="A59" s="1">
        <v>57</v>
      </c>
      <c r="B59" s="1" t="s">
        <v>90</v>
      </c>
      <c r="C59" s="1"/>
      <c r="D59" s="16">
        <v>4.835830000000044</v>
      </c>
      <c r="E59" s="16">
        <v>60.550175000000081</v>
      </c>
      <c r="F59" s="1"/>
      <c r="G59" s="2">
        <v>5</v>
      </c>
      <c r="H59" s="2">
        <v>5</v>
      </c>
      <c r="I59" s="2">
        <f>SUMIFS(ProductionCapacities!$F$2:$F$51,ProductionCapacities!$E$2:$E$51,Nodes!B59)</f>
        <v>99.237736986301371</v>
      </c>
      <c r="J59" s="2">
        <v>2628.125</v>
      </c>
      <c r="K59" s="11">
        <v>500</v>
      </c>
      <c r="L59" s="11">
        <v>500</v>
      </c>
      <c r="M59" s="2">
        <v>10</v>
      </c>
      <c r="N59" s="2">
        <v>100</v>
      </c>
      <c r="O59" s="2">
        <f t="shared" si="1"/>
        <v>10</v>
      </c>
      <c r="P59" s="2">
        <v>5</v>
      </c>
      <c r="Q59" s="2">
        <v>5</v>
      </c>
      <c r="R59" s="2">
        <v>5.2</v>
      </c>
      <c r="S59" s="2">
        <v>5.2</v>
      </c>
      <c r="T59" s="2">
        <v>5.4</v>
      </c>
      <c r="U59" s="2">
        <v>5.4</v>
      </c>
      <c r="V59" s="3">
        <v>5</v>
      </c>
      <c r="W59" s="3">
        <v>5</v>
      </c>
      <c r="X59" s="3">
        <v>100</v>
      </c>
      <c r="Y59" s="3">
        <v>0</v>
      </c>
      <c r="Z59" s="3">
        <v>0</v>
      </c>
      <c r="AA59" s="3">
        <f t="shared" si="2"/>
        <v>10</v>
      </c>
      <c r="AB59" s="3">
        <v>0</v>
      </c>
      <c r="AC59" s="3">
        <f t="shared" si="3"/>
        <v>10</v>
      </c>
      <c r="AD59" s="3">
        <f t="shared" si="4"/>
        <v>5</v>
      </c>
      <c r="AE59" s="3">
        <f t="shared" si="5"/>
        <v>5</v>
      </c>
      <c r="AF59" s="3">
        <f t="shared" si="6"/>
        <v>5.2</v>
      </c>
      <c r="AG59" s="3">
        <f t="shared" si="7"/>
        <v>5.2</v>
      </c>
      <c r="AH59" s="3">
        <f t="shared" si="8"/>
        <v>5.4</v>
      </c>
      <c r="AI59" s="3">
        <f t="shared" si="9"/>
        <v>5.4</v>
      </c>
    </row>
    <row r="60" spans="1:35" x14ac:dyDescent="0.2">
      <c r="A60" s="1">
        <v>58</v>
      </c>
      <c r="B60" s="1" t="s">
        <v>121</v>
      </c>
      <c r="C60" s="1" t="s">
        <v>335</v>
      </c>
      <c r="D60" s="22">
        <v>3.229797000000076</v>
      </c>
      <c r="E60" s="22">
        <v>51.350508000000048</v>
      </c>
      <c r="F60" s="1"/>
      <c r="G60" s="2">
        <v>5</v>
      </c>
      <c r="H60" s="2">
        <v>5</v>
      </c>
      <c r="I60" s="2">
        <f>SUMIFS(ProductionCapacities!$F$2:$F$51,ProductionCapacities!$E$2:$E$51,Nodes!B60)</f>
        <v>0</v>
      </c>
      <c r="J60" s="2">
        <v>48.064999999999998</v>
      </c>
      <c r="K60" s="11">
        <v>500</v>
      </c>
      <c r="L60" s="11">
        <v>500</v>
      </c>
      <c r="M60" s="2">
        <v>10</v>
      </c>
      <c r="N60" s="2">
        <v>100</v>
      </c>
      <c r="O60" s="2">
        <f t="shared" si="1"/>
        <v>0.749</v>
      </c>
      <c r="P60" s="2">
        <v>5</v>
      </c>
      <c r="Q60" s="2">
        <v>5</v>
      </c>
      <c r="R60" s="2">
        <v>5.2</v>
      </c>
      <c r="S60" s="2">
        <v>5.2</v>
      </c>
      <c r="T60" s="2">
        <v>5.4</v>
      </c>
      <c r="U60" s="2">
        <v>5.4</v>
      </c>
      <c r="V60" s="3">
        <v>5</v>
      </c>
      <c r="W60" s="3">
        <v>5</v>
      </c>
      <c r="X60" s="3">
        <v>100</v>
      </c>
      <c r="Y60" s="3">
        <v>0</v>
      </c>
      <c r="Z60" s="3">
        <v>0</v>
      </c>
      <c r="AA60" s="3">
        <f t="shared" si="2"/>
        <v>10</v>
      </c>
      <c r="AB60" s="3">
        <v>0</v>
      </c>
      <c r="AC60" s="3">
        <f t="shared" si="3"/>
        <v>0.749</v>
      </c>
      <c r="AD60" s="3">
        <f t="shared" si="4"/>
        <v>5</v>
      </c>
      <c r="AE60" s="3">
        <f t="shared" si="5"/>
        <v>5</v>
      </c>
      <c r="AF60" s="3">
        <f t="shared" si="6"/>
        <v>5.2</v>
      </c>
      <c r="AG60" s="3">
        <f t="shared" si="7"/>
        <v>5.2</v>
      </c>
      <c r="AH60" s="3">
        <f t="shared" si="8"/>
        <v>5.4</v>
      </c>
      <c r="AI60" s="3">
        <f t="shared" si="9"/>
        <v>5.4</v>
      </c>
    </row>
    <row r="61" spans="1:35" x14ac:dyDescent="0.2">
      <c r="A61" s="1">
        <v>59</v>
      </c>
      <c r="B61" s="1" t="s">
        <v>114</v>
      </c>
      <c r="C61" s="1"/>
      <c r="D61" s="22">
        <v>3.2998160000000212</v>
      </c>
      <c r="E61" s="22">
        <v>54.789494000000047</v>
      </c>
      <c r="F61" s="1"/>
      <c r="G61" s="2">
        <v>5</v>
      </c>
      <c r="H61" s="2">
        <v>5</v>
      </c>
      <c r="I61" s="2">
        <f>SUMIFS(ProductionCapacities!$F$2:$F$51,ProductionCapacities!$E$2:$E$51,Nodes!B61)</f>
        <v>0</v>
      </c>
      <c r="J61" s="2">
        <v>0</v>
      </c>
      <c r="K61" s="11">
        <v>500</v>
      </c>
      <c r="L61" s="11">
        <v>500</v>
      </c>
      <c r="M61" s="2">
        <v>10</v>
      </c>
      <c r="N61" s="2">
        <v>100</v>
      </c>
      <c r="O61" s="2">
        <f t="shared" si="1"/>
        <v>10</v>
      </c>
      <c r="P61" s="2">
        <v>5</v>
      </c>
      <c r="Q61" s="2">
        <v>5</v>
      </c>
      <c r="R61" s="2">
        <v>5.2</v>
      </c>
      <c r="S61" s="2">
        <v>5.2</v>
      </c>
      <c r="T61" s="2">
        <v>5.4</v>
      </c>
      <c r="U61" s="2">
        <v>5.4</v>
      </c>
      <c r="V61" s="3">
        <v>5</v>
      </c>
      <c r="W61" s="3">
        <v>5</v>
      </c>
      <c r="X61" s="3">
        <v>100</v>
      </c>
      <c r="Y61" s="3">
        <v>0</v>
      </c>
      <c r="Z61" s="3">
        <v>0</v>
      </c>
      <c r="AA61" s="3">
        <f t="shared" si="2"/>
        <v>10</v>
      </c>
      <c r="AB61" s="3">
        <v>0</v>
      </c>
      <c r="AC61" s="3">
        <f t="shared" si="3"/>
        <v>10</v>
      </c>
      <c r="AD61" s="3">
        <f t="shared" si="4"/>
        <v>5</v>
      </c>
      <c r="AE61" s="3">
        <f t="shared" si="5"/>
        <v>5</v>
      </c>
      <c r="AF61" s="3">
        <f t="shared" si="6"/>
        <v>5.2</v>
      </c>
      <c r="AG61" s="3">
        <f t="shared" si="7"/>
        <v>5.2</v>
      </c>
      <c r="AH61" s="3">
        <f t="shared" si="8"/>
        <v>5.4</v>
      </c>
      <c r="AI61" s="3">
        <f t="shared" si="9"/>
        <v>5.4</v>
      </c>
    </row>
    <row r="64" spans="1:35" x14ac:dyDescent="0.2">
      <c r="H64" t="s">
        <v>323</v>
      </c>
      <c r="I64">
        <f>SUM(I3:I61)-SUMIF(F3:F61,"Los",I3:I61)</f>
        <v>272.52532054794517</v>
      </c>
      <c r="J64" t="s">
        <v>216</v>
      </c>
    </row>
  </sheetData>
  <autoFilter ref="A2:AI61"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E9" sqref="E9"/>
    </sheetView>
  </sheetViews>
  <sheetFormatPr baseColWidth="10" defaultRowHeight="16" x14ac:dyDescent="0.2"/>
  <cols>
    <col min="8" max="8" width="12.1640625" bestFit="1" customWidth="1"/>
  </cols>
  <sheetData>
    <row r="1" spans="1:17" x14ac:dyDescent="0.2">
      <c r="A1" s="4" t="s">
        <v>32</v>
      </c>
      <c r="B1" s="58">
        <v>1</v>
      </c>
      <c r="C1" s="58"/>
      <c r="D1" s="58"/>
      <c r="E1" s="58"/>
      <c r="F1" s="58"/>
      <c r="G1" s="58"/>
      <c r="H1" s="58"/>
      <c r="I1" s="58"/>
      <c r="J1" s="58"/>
      <c r="K1" s="58"/>
      <c r="L1" s="58"/>
      <c r="M1" s="58"/>
      <c r="N1" s="58"/>
      <c r="O1" s="58"/>
      <c r="P1" s="58"/>
      <c r="Q1" s="58"/>
    </row>
    <row r="2" spans="1:17" x14ac:dyDescent="0.2">
      <c r="A2" s="4" t="s">
        <v>26</v>
      </c>
      <c r="B2" s="58">
        <v>1</v>
      </c>
      <c r="C2" s="58"/>
      <c r="D2" s="58"/>
      <c r="E2" s="58"/>
      <c r="F2" s="58"/>
      <c r="G2" s="58"/>
      <c r="H2" s="58"/>
      <c r="I2" s="58"/>
      <c r="J2" s="58"/>
      <c r="K2" s="58"/>
      <c r="L2" s="58"/>
      <c r="M2" s="58"/>
      <c r="N2" s="58"/>
      <c r="O2" s="58"/>
      <c r="P2" s="58"/>
      <c r="Q2" s="58"/>
    </row>
    <row r="3" spans="1:17" x14ac:dyDescent="0.2">
      <c r="A3" s="4"/>
      <c r="B3" s="59" t="s">
        <v>27</v>
      </c>
      <c r="C3" s="59"/>
      <c r="D3" s="59"/>
      <c r="E3" s="59"/>
      <c r="F3" s="59"/>
      <c r="G3" s="59"/>
      <c r="H3" s="59"/>
      <c r="I3" s="59"/>
      <c r="J3" s="60" t="s">
        <v>28</v>
      </c>
      <c r="K3" s="60"/>
      <c r="L3" s="60"/>
      <c r="M3" s="60"/>
      <c r="N3" s="60"/>
      <c r="O3" s="60"/>
      <c r="P3" s="60"/>
      <c r="Q3" s="60"/>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40</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f>'Demand Stage 2'!G44</f>
        <v>40</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40</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f>'Demand Stage 2'!G46</f>
        <v>40</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f>'Demand Stage 2'!G47</f>
        <v>40</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f>'Demand Stage 2'!G48</f>
        <v>40</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f>'Demand Stage 2'!G49</f>
        <v>40</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f>'Demand Stage 2'!G50</f>
        <v>40</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topLeftCell="A2" zoomScale="125" zoomScaleNormal="200" workbookViewId="0">
      <selection activeCell="BE38" sqref="BE38"/>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8">
        <v>9</v>
      </c>
      <c r="C1" s="58"/>
      <c r="D1" s="58"/>
      <c r="E1" s="58"/>
      <c r="F1" s="58"/>
      <c r="G1" s="58"/>
      <c r="H1" s="58"/>
      <c r="I1" s="58"/>
      <c r="J1" s="58"/>
      <c r="K1" s="58"/>
      <c r="L1" s="58"/>
      <c r="M1" s="58"/>
      <c r="N1" s="58"/>
      <c r="O1" s="58"/>
      <c r="P1" s="58"/>
      <c r="Q1" s="58"/>
      <c r="R1" s="58">
        <f>B1+Parameters!$B$7</f>
        <v>17</v>
      </c>
      <c r="S1" s="58"/>
      <c r="T1" s="58"/>
      <c r="U1" s="58"/>
      <c r="V1" s="58"/>
      <c r="W1" s="58"/>
      <c r="X1" s="58"/>
      <c r="Y1" s="58"/>
      <c r="Z1" s="58"/>
      <c r="AA1" s="58"/>
      <c r="AB1" s="58"/>
      <c r="AC1" s="58"/>
      <c r="AD1" s="58"/>
      <c r="AE1" s="58"/>
      <c r="AF1" s="58"/>
      <c r="AG1" s="58"/>
      <c r="AH1" s="58">
        <f>R1+Parameters!$B$7</f>
        <v>25</v>
      </c>
      <c r="AI1" s="58"/>
      <c r="AJ1" s="58"/>
      <c r="AK1" s="58"/>
      <c r="AL1" s="58"/>
      <c r="AM1" s="58"/>
      <c r="AN1" s="58"/>
      <c r="AO1" s="58"/>
      <c r="AP1" s="58"/>
      <c r="AQ1" s="58"/>
      <c r="AR1" s="58"/>
      <c r="AS1" s="58"/>
      <c r="AT1" s="58"/>
      <c r="AU1" s="58"/>
      <c r="AV1" s="58"/>
      <c r="AW1" s="58"/>
      <c r="AX1" s="58">
        <f>AH1+Parameters!$B$7</f>
        <v>33</v>
      </c>
      <c r="AY1" s="58"/>
      <c r="AZ1" s="58"/>
      <c r="BA1" s="58"/>
      <c r="BB1" s="58"/>
      <c r="BC1" s="58"/>
      <c r="BD1" s="58"/>
      <c r="BE1" s="58"/>
      <c r="BF1" s="58"/>
      <c r="BG1" s="58"/>
      <c r="BH1" s="58"/>
      <c r="BI1" s="58"/>
      <c r="BJ1" s="58"/>
      <c r="BK1" s="58"/>
      <c r="BL1" s="58"/>
      <c r="BM1" s="58"/>
    </row>
    <row r="2" spans="1:65" x14ac:dyDescent="0.2">
      <c r="A2" s="4" t="s">
        <v>26</v>
      </c>
      <c r="B2" s="58">
        <v>0.25</v>
      </c>
      <c r="C2" s="58"/>
      <c r="D2" s="58"/>
      <c r="E2" s="58"/>
      <c r="F2" s="58"/>
      <c r="G2" s="58"/>
      <c r="H2" s="58"/>
      <c r="I2" s="58"/>
      <c r="J2" s="58"/>
      <c r="K2" s="58"/>
      <c r="L2" s="58"/>
      <c r="M2" s="58"/>
      <c r="N2" s="58"/>
      <c r="O2" s="58"/>
      <c r="P2" s="58"/>
      <c r="Q2" s="58"/>
      <c r="R2" s="58">
        <f>B2</f>
        <v>0.25</v>
      </c>
      <c r="S2" s="58"/>
      <c r="T2" s="58"/>
      <c r="U2" s="58"/>
      <c r="V2" s="58"/>
      <c r="W2" s="58"/>
      <c r="X2" s="58"/>
      <c r="Y2" s="58"/>
      <c r="Z2" s="58"/>
      <c r="AA2" s="58"/>
      <c r="AB2" s="58"/>
      <c r="AC2" s="58"/>
      <c r="AD2" s="58"/>
      <c r="AE2" s="58"/>
      <c r="AF2" s="58"/>
      <c r="AG2" s="58"/>
      <c r="AH2" s="58">
        <f>B2</f>
        <v>0.25</v>
      </c>
      <c r="AI2" s="58"/>
      <c r="AJ2" s="58"/>
      <c r="AK2" s="58"/>
      <c r="AL2" s="58"/>
      <c r="AM2" s="58"/>
      <c r="AN2" s="58"/>
      <c r="AO2" s="58"/>
      <c r="AP2" s="58"/>
      <c r="AQ2" s="58"/>
      <c r="AR2" s="58"/>
      <c r="AS2" s="58"/>
      <c r="AT2" s="58"/>
      <c r="AU2" s="58"/>
      <c r="AV2" s="58"/>
      <c r="AW2" s="58"/>
      <c r="AX2" s="58">
        <f>B2</f>
        <v>0.25</v>
      </c>
      <c r="AY2" s="58"/>
      <c r="AZ2" s="58"/>
      <c r="BA2" s="58"/>
      <c r="BB2" s="58"/>
      <c r="BC2" s="58"/>
      <c r="BD2" s="58"/>
      <c r="BE2" s="58"/>
      <c r="BF2" s="58"/>
      <c r="BG2" s="58"/>
      <c r="BH2" s="58"/>
      <c r="BI2" s="58"/>
      <c r="BJ2" s="58"/>
      <c r="BK2" s="58"/>
      <c r="BL2" s="58"/>
      <c r="BM2" s="58"/>
    </row>
    <row r="3" spans="1:65" x14ac:dyDescent="0.2">
      <c r="A3" s="4"/>
      <c r="B3" s="59" t="s">
        <v>27</v>
      </c>
      <c r="C3" s="59"/>
      <c r="D3" s="59"/>
      <c r="E3" s="59"/>
      <c r="F3" s="59"/>
      <c r="G3" s="59"/>
      <c r="H3" s="59"/>
      <c r="I3" s="59"/>
      <c r="J3" s="60" t="s">
        <v>28</v>
      </c>
      <c r="K3" s="60"/>
      <c r="L3" s="60"/>
      <c r="M3" s="60"/>
      <c r="N3" s="60"/>
      <c r="O3" s="60"/>
      <c r="P3" s="60"/>
      <c r="Q3" s="60"/>
      <c r="R3" s="59" t="s">
        <v>27</v>
      </c>
      <c r="S3" s="59"/>
      <c r="T3" s="59"/>
      <c r="U3" s="59"/>
      <c r="V3" s="59"/>
      <c r="W3" s="59"/>
      <c r="X3" s="59"/>
      <c r="Y3" s="59"/>
      <c r="Z3" s="60" t="s">
        <v>28</v>
      </c>
      <c r="AA3" s="60"/>
      <c r="AB3" s="60"/>
      <c r="AC3" s="60"/>
      <c r="AD3" s="60"/>
      <c r="AE3" s="60"/>
      <c r="AF3" s="60"/>
      <c r="AG3" s="60"/>
      <c r="AH3" s="59" t="s">
        <v>27</v>
      </c>
      <c r="AI3" s="59"/>
      <c r="AJ3" s="59"/>
      <c r="AK3" s="59"/>
      <c r="AL3" s="59"/>
      <c r="AM3" s="59"/>
      <c r="AN3" s="59"/>
      <c r="AO3" s="59"/>
      <c r="AP3" s="60" t="s">
        <v>28</v>
      </c>
      <c r="AQ3" s="60"/>
      <c r="AR3" s="60"/>
      <c r="AS3" s="60"/>
      <c r="AT3" s="60"/>
      <c r="AU3" s="60"/>
      <c r="AV3" s="60"/>
      <c r="AW3" s="60"/>
      <c r="AX3" s="59" t="s">
        <v>27</v>
      </c>
      <c r="AY3" s="59"/>
      <c r="AZ3" s="59"/>
      <c r="BA3" s="59"/>
      <c r="BB3" s="59"/>
      <c r="BC3" s="59"/>
      <c r="BD3" s="59"/>
      <c r="BE3" s="59"/>
      <c r="BF3" s="60" t="s">
        <v>28</v>
      </c>
      <c r="BG3" s="60"/>
      <c r="BH3" s="60"/>
      <c r="BI3" s="60"/>
      <c r="BJ3" s="60"/>
      <c r="BK3" s="60"/>
      <c r="BL3" s="60"/>
      <c r="BM3" s="60"/>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40</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40</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40</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40</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40</v>
      </c>
      <c r="BE8" s="2">
        <f t="shared" si="10"/>
        <v>20</v>
      </c>
      <c r="BF8" s="3">
        <v>0</v>
      </c>
      <c r="BG8" s="3">
        <v>0</v>
      </c>
      <c r="BH8" s="3">
        <v>0</v>
      </c>
      <c r="BI8" s="3">
        <v>0</v>
      </c>
      <c r="BJ8" s="3">
        <v>0</v>
      </c>
      <c r="BK8" s="3">
        <v>0</v>
      </c>
      <c r="BL8" s="3">
        <v>0</v>
      </c>
      <c r="BM8" s="3">
        <v>0</v>
      </c>
    </row>
    <row r="9" spans="1:65" x14ac:dyDescent="0.2">
      <c r="A9" s="1">
        <v>4</v>
      </c>
      <c r="B9" s="2">
        <f t="shared" si="11"/>
        <v>10</v>
      </c>
      <c r="C9" s="2">
        <f t="shared" si="11"/>
        <v>10</v>
      </c>
      <c r="D9" s="2">
        <f t="shared" si="11"/>
        <v>10</v>
      </c>
      <c r="E9" s="2">
        <f t="shared" si="11"/>
        <v>50</v>
      </c>
      <c r="F9" s="2">
        <f t="shared" si="11"/>
        <v>50</v>
      </c>
      <c r="G9" s="2">
        <f t="shared" si="11"/>
        <v>40</v>
      </c>
      <c r="H9" s="2">
        <f t="shared" si="11"/>
        <v>50</v>
      </c>
      <c r="I9" s="2">
        <f t="shared" si="11"/>
        <v>20</v>
      </c>
      <c r="J9" s="3"/>
      <c r="K9" s="3"/>
      <c r="L9" s="3"/>
      <c r="M9" s="3"/>
      <c r="N9" s="3"/>
      <c r="O9" s="3"/>
      <c r="P9" s="3"/>
      <c r="Q9" s="3"/>
      <c r="R9" s="2">
        <f t="shared" si="12"/>
        <v>10</v>
      </c>
      <c r="S9" s="2">
        <f t="shared" si="8"/>
        <v>10</v>
      </c>
      <c r="T9" s="2">
        <f t="shared" si="8"/>
        <v>10</v>
      </c>
      <c r="U9" s="2">
        <f t="shared" si="8"/>
        <v>50</v>
      </c>
      <c r="V9" s="2">
        <f t="shared" si="8"/>
        <v>50</v>
      </c>
      <c r="W9" s="2">
        <f t="shared" si="8"/>
        <v>40</v>
      </c>
      <c r="X9" s="2">
        <f t="shared" si="8"/>
        <v>40</v>
      </c>
      <c r="Y9" s="2">
        <f t="shared" si="8"/>
        <v>20</v>
      </c>
      <c r="Z9" s="3"/>
      <c r="AA9" s="3"/>
      <c r="AB9" s="3"/>
      <c r="AC9" s="3"/>
      <c r="AD9" s="3"/>
      <c r="AE9" s="3"/>
      <c r="AF9" s="3"/>
      <c r="AG9" s="3"/>
      <c r="AH9" s="2">
        <f t="shared" si="13"/>
        <v>10</v>
      </c>
      <c r="AI9" s="2">
        <f t="shared" si="9"/>
        <v>10</v>
      </c>
      <c r="AJ9" s="2">
        <f t="shared" si="9"/>
        <v>10</v>
      </c>
      <c r="AK9" s="2">
        <f t="shared" si="9"/>
        <v>40</v>
      </c>
      <c r="AL9" s="2">
        <f t="shared" si="9"/>
        <v>40</v>
      </c>
      <c r="AM9" s="2">
        <f t="shared" si="9"/>
        <v>40</v>
      </c>
      <c r="AN9" s="2">
        <f t="shared" si="9"/>
        <v>50</v>
      </c>
      <c r="AO9" s="2">
        <f t="shared" si="9"/>
        <v>20</v>
      </c>
      <c r="AP9" s="3"/>
      <c r="AQ9" s="3"/>
      <c r="AR9" s="3"/>
      <c r="AS9" s="3"/>
      <c r="AT9" s="3"/>
      <c r="AU9" s="3"/>
      <c r="AV9" s="3"/>
      <c r="AW9" s="3"/>
      <c r="AX9" s="2">
        <f t="shared" si="16"/>
        <v>10</v>
      </c>
      <c r="AY9" s="2">
        <f t="shared" si="10"/>
        <v>10</v>
      </c>
      <c r="AZ9" s="2">
        <f t="shared" si="10"/>
        <v>10</v>
      </c>
      <c r="BA9" s="2">
        <f t="shared" si="10"/>
        <v>40</v>
      </c>
      <c r="BB9" s="2">
        <f t="shared" si="10"/>
        <v>40</v>
      </c>
      <c r="BC9" s="2">
        <f t="shared" si="10"/>
        <v>40</v>
      </c>
      <c r="BD9" s="2">
        <f t="shared" si="10"/>
        <v>40</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40</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40</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40</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40</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40</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40</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40</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40</v>
      </c>
      <c r="BD11" s="2">
        <f t="shared" si="10"/>
        <v>35</v>
      </c>
      <c r="BE11" s="2">
        <f t="shared" si="10"/>
        <v>20</v>
      </c>
      <c r="BF11" s="3"/>
      <c r="BG11" s="3"/>
      <c r="BH11" s="3"/>
      <c r="BI11" s="3"/>
      <c r="BJ11" s="3"/>
      <c r="BK11" s="3"/>
      <c r="BL11" s="3"/>
      <c r="BM11" s="3"/>
    </row>
    <row r="12" spans="1:65" x14ac:dyDescent="0.2">
      <c r="A12" s="1">
        <v>7</v>
      </c>
      <c r="B12" s="2">
        <f t="shared" si="11"/>
        <v>10</v>
      </c>
      <c r="C12" s="2">
        <f t="shared" si="11"/>
        <v>10</v>
      </c>
      <c r="D12" s="2">
        <f t="shared" si="11"/>
        <v>10</v>
      </c>
      <c r="E12" s="2">
        <f t="shared" si="11"/>
        <v>50</v>
      </c>
      <c r="F12" s="2">
        <f t="shared" si="11"/>
        <v>50</v>
      </c>
      <c r="G12" s="2">
        <f t="shared" si="11"/>
        <v>40</v>
      </c>
      <c r="H12" s="2">
        <f t="shared" si="11"/>
        <v>45</v>
      </c>
      <c r="I12" s="2">
        <f t="shared" si="11"/>
        <v>20</v>
      </c>
      <c r="J12" s="3"/>
      <c r="K12" s="3"/>
      <c r="L12" s="3"/>
      <c r="M12" s="3"/>
      <c r="N12" s="3"/>
      <c r="O12" s="3"/>
      <c r="P12" s="3"/>
      <c r="Q12" s="3"/>
      <c r="R12" s="2">
        <f t="shared" si="12"/>
        <v>10</v>
      </c>
      <c r="S12" s="2">
        <f t="shared" si="8"/>
        <v>10</v>
      </c>
      <c r="T12" s="2">
        <f t="shared" si="8"/>
        <v>10</v>
      </c>
      <c r="U12" s="2">
        <f t="shared" si="8"/>
        <v>50</v>
      </c>
      <c r="V12" s="2">
        <f t="shared" si="8"/>
        <v>50</v>
      </c>
      <c r="W12" s="2">
        <f t="shared" si="8"/>
        <v>40</v>
      </c>
      <c r="X12" s="2">
        <f t="shared" si="8"/>
        <v>35</v>
      </c>
      <c r="Y12" s="2">
        <f t="shared" si="8"/>
        <v>20</v>
      </c>
      <c r="Z12" s="3"/>
      <c r="AA12" s="3"/>
      <c r="AB12" s="3"/>
      <c r="AC12" s="3"/>
      <c r="AD12" s="3"/>
      <c r="AE12" s="3"/>
      <c r="AF12" s="3"/>
      <c r="AG12" s="3"/>
      <c r="AH12" s="2">
        <f t="shared" si="13"/>
        <v>10</v>
      </c>
      <c r="AI12" s="2">
        <f t="shared" si="9"/>
        <v>10</v>
      </c>
      <c r="AJ12" s="2">
        <f t="shared" si="9"/>
        <v>10</v>
      </c>
      <c r="AK12" s="2">
        <f t="shared" si="9"/>
        <v>40</v>
      </c>
      <c r="AL12" s="2">
        <f t="shared" si="9"/>
        <v>40</v>
      </c>
      <c r="AM12" s="2">
        <f t="shared" si="9"/>
        <v>40</v>
      </c>
      <c r="AN12" s="2">
        <f t="shared" si="9"/>
        <v>45</v>
      </c>
      <c r="AO12" s="2">
        <f t="shared" si="9"/>
        <v>20</v>
      </c>
      <c r="AP12" s="3"/>
      <c r="AQ12" s="3"/>
      <c r="AR12" s="3"/>
      <c r="AS12" s="3"/>
      <c r="AT12" s="3"/>
      <c r="AU12" s="3"/>
      <c r="AV12" s="3"/>
      <c r="AW12" s="3"/>
      <c r="AX12" s="2">
        <f t="shared" si="16"/>
        <v>10</v>
      </c>
      <c r="AY12" s="2">
        <f t="shared" si="10"/>
        <v>10</v>
      </c>
      <c r="AZ12" s="2">
        <f t="shared" si="10"/>
        <v>10</v>
      </c>
      <c r="BA12" s="2">
        <f t="shared" si="10"/>
        <v>40</v>
      </c>
      <c r="BB12" s="2">
        <f t="shared" si="10"/>
        <v>40</v>
      </c>
      <c r="BC12" s="2">
        <f t="shared" si="10"/>
        <v>40</v>
      </c>
      <c r="BD12" s="2">
        <f t="shared" si="10"/>
        <v>35</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0</v>
      </c>
      <c r="C35">
        <v>0</v>
      </c>
      <c r="D35">
        <v>0</v>
      </c>
      <c r="E35">
        <v>5</v>
      </c>
      <c r="F35">
        <v>5</v>
      </c>
      <c r="G35">
        <v>0</v>
      </c>
      <c r="H35">
        <v>5</v>
      </c>
      <c r="I35">
        <v>0</v>
      </c>
      <c r="R35">
        <v>0</v>
      </c>
      <c r="S35">
        <v>0</v>
      </c>
      <c r="T35">
        <v>0</v>
      </c>
      <c r="U35">
        <v>5</v>
      </c>
      <c r="V35">
        <v>5</v>
      </c>
      <c r="W35">
        <v>0</v>
      </c>
      <c r="X35">
        <v>-5</v>
      </c>
      <c r="Y35">
        <v>0</v>
      </c>
      <c r="AH35">
        <v>0</v>
      </c>
      <c r="AI35">
        <v>0</v>
      </c>
      <c r="AJ35">
        <v>0</v>
      </c>
      <c r="AK35">
        <v>-5</v>
      </c>
      <c r="AL35">
        <v>-5</v>
      </c>
      <c r="AM35">
        <v>0</v>
      </c>
      <c r="AN35">
        <v>5</v>
      </c>
      <c r="AO35">
        <v>0</v>
      </c>
      <c r="AX35">
        <v>0</v>
      </c>
      <c r="AY35">
        <v>0</v>
      </c>
      <c r="AZ35">
        <v>0</v>
      </c>
      <c r="BA35">
        <v>-5</v>
      </c>
      <c r="BB35">
        <v>-5</v>
      </c>
      <c r="BC35">
        <v>0</v>
      </c>
      <c r="BD35">
        <v>-5</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0</v>
      </c>
      <c r="C38">
        <v>0</v>
      </c>
      <c r="D38">
        <v>0</v>
      </c>
      <c r="E38">
        <v>5</v>
      </c>
      <c r="F38">
        <v>5</v>
      </c>
      <c r="G38">
        <v>0</v>
      </c>
      <c r="H38">
        <v>5</v>
      </c>
      <c r="I38">
        <v>0</v>
      </c>
      <c r="R38">
        <v>0</v>
      </c>
      <c r="S38">
        <v>0</v>
      </c>
      <c r="T38">
        <v>0</v>
      </c>
      <c r="U38">
        <v>5</v>
      </c>
      <c r="V38">
        <v>5</v>
      </c>
      <c r="W38">
        <v>0</v>
      </c>
      <c r="X38">
        <v>-5</v>
      </c>
      <c r="Y38">
        <v>0</v>
      </c>
      <c r="AH38">
        <v>0</v>
      </c>
      <c r="AI38">
        <v>0</v>
      </c>
      <c r="AJ38">
        <v>0</v>
      </c>
      <c r="AK38">
        <v>-5</v>
      </c>
      <c r="AL38">
        <v>-5</v>
      </c>
      <c r="AM38">
        <v>0</v>
      </c>
      <c r="AN38">
        <v>5</v>
      </c>
      <c r="AO38">
        <v>0</v>
      </c>
      <c r="AX38">
        <v>0</v>
      </c>
      <c r="AY38">
        <v>0</v>
      </c>
      <c r="AZ38">
        <v>0</v>
      </c>
      <c r="BA38">
        <v>-5</v>
      </c>
      <c r="BB38">
        <v>-5</v>
      </c>
      <c r="BC38">
        <v>0</v>
      </c>
      <c r="BD38">
        <v>-5</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40</v>
      </c>
      <c r="H43" s="2">
        <v>40</v>
      </c>
      <c r="I43" s="2">
        <v>20</v>
      </c>
      <c r="K43">
        <f>SUM(B43:I43)</f>
        <v>210</v>
      </c>
    </row>
    <row r="44" spans="1:57" x14ac:dyDescent="0.2">
      <c r="B44" s="2">
        <v>10</v>
      </c>
      <c r="C44" s="2">
        <v>10</v>
      </c>
      <c r="D44" s="2">
        <v>10</v>
      </c>
      <c r="E44" s="2">
        <v>40</v>
      </c>
      <c r="F44" s="2">
        <v>40</v>
      </c>
      <c r="G44" s="2">
        <v>40</v>
      </c>
      <c r="H44" s="2">
        <v>40</v>
      </c>
      <c r="I44" s="2">
        <v>20</v>
      </c>
    </row>
    <row r="45" spans="1:57" x14ac:dyDescent="0.2">
      <c r="B45" s="2">
        <v>10</v>
      </c>
      <c r="C45" s="2">
        <v>10</v>
      </c>
      <c r="D45" s="2">
        <v>10</v>
      </c>
      <c r="E45" s="2">
        <v>40</v>
      </c>
      <c r="F45" s="2">
        <v>40</v>
      </c>
      <c r="G45" s="2">
        <v>40</v>
      </c>
      <c r="H45" s="2">
        <v>40</v>
      </c>
      <c r="I45" s="2">
        <v>20</v>
      </c>
    </row>
    <row r="46" spans="1:57" x14ac:dyDescent="0.2">
      <c r="B46" s="2">
        <v>10</v>
      </c>
      <c r="C46" s="2">
        <v>10</v>
      </c>
      <c r="D46" s="2">
        <v>10</v>
      </c>
      <c r="E46" s="2">
        <v>40</v>
      </c>
      <c r="F46" s="2">
        <v>40</v>
      </c>
      <c r="G46" s="2">
        <v>40</v>
      </c>
      <c r="H46" s="2">
        <v>40</v>
      </c>
      <c r="I46" s="2">
        <v>20</v>
      </c>
    </row>
    <row r="47" spans="1:57" x14ac:dyDescent="0.2">
      <c r="B47" s="2">
        <v>10</v>
      </c>
      <c r="C47" s="2">
        <v>10</v>
      </c>
      <c r="D47" s="2">
        <v>10</v>
      </c>
      <c r="E47" s="2">
        <v>45</v>
      </c>
      <c r="F47" s="2">
        <v>45</v>
      </c>
      <c r="G47" s="2">
        <v>40</v>
      </c>
      <c r="H47" s="2">
        <v>45</v>
      </c>
      <c r="I47" s="2">
        <v>20</v>
      </c>
      <c r="K47">
        <f t="shared" ref="K47:K50" si="17">SUM(B47:I47)</f>
        <v>225</v>
      </c>
    </row>
    <row r="48" spans="1:57" x14ac:dyDescent="0.2">
      <c r="B48" s="2">
        <v>10</v>
      </c>
      <c r="C48" s="2">
        <v>10</v>
      </c>
      <c r="D48" s="2">
        <v>10</v>
      </c>
      <c r="E48" s="2">
        <v>40</v>
      </c>
      <c r="F48" s="2">
        <v>40</v>
      </c>
      <c r="G48" s="2">
        <v>40</v>
      </c>
      <c r="H48" s="2">
        <v>35</v>
      </c>
      <c r="I48" s="2">
        <v>20</v>
      </c>
      <c r="K48">
        <f t="shared" si="17"/>
        <v>205</v>
      </c>
    </row>
    <row r="49" spans="2:11" x14ac:dyDescent="0.2">
      <c r="B49" s="2">
        <v>10</v>
      </c>
      <c r="C49" s="2">
        <v>10</v>
      </c>
      <c r="D49" s="2">
        <v>10</v>
      </c>
      <c r="E49" s="2">
        <v>40</v>
      </c>
      <c r="F49" s="2">
        <v>40</v>
      </c>
      <c r="G49" s="2">
        <v>40</v>
      </c>
      <c r="H49" s="2">
        <v>35</v>
      </c>
      <c r="I49" s="2">
        <v>20</v>
      </c>
    </row>
    <row r="50" spans="2:11" x14ac:dyDescent="0.2">
      <c r="B50" s="2">
        <v>10</v>
      </c>
      <c r="C50" s="2">
        <v>10</v>
      </c>
      <c r="D50" s="2">
        <v>10</v>
      </c>
      <c r="E50" s="2">
        <v>45</v>
      </c>
      <c r="F50" s="2">
        <v>45</v>
      </c>
      <c r="G50" s="2">
        <v>40</v>
      </c>
      <c r="H50" s="2">
        <v>40</v>
      </c>
      <c r="I50" s="2">
        <v>20</v>
      </c>
      <c r="K50">
        <f t="shared" si="17"/>
        <v>220</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AH1:AW1"/>
    <mergeCell ref="AH2:AW2"/>
    <mergeCell ref="AH3:AO3"/>
    <mergeCell ref="AP3:AW3"/>
    <mergeCell ref="AX1:BM1"/>
    <mergeCell ref="AX2:BM2"/>
    <mergeCell ref="AX3:BE3"/>
    <mergeCell ref="BF3:BM3"/>
    <mergeCell ref="B3:I3"/>
    <mergeCell ref="J3:Q3"/>
    <mergeCell ref="B1:Q1"/>
    <mergeCell ref="B2:Q2"/>
    <mergeCell ref="R1:AG1"/>
    <mergeCell ref="R2:AG2"/>
    <mergeCell ref="R3:Y3"/>
    <mergeCell ref="Z3:A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zoomScale="130" zoomScaleNormal="130" workbookViewId="0">
      <selection activeCell="BQ6" sqref="BQ6"/>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8">
        <f>(Parameters!B8+1)*Parameters!B7 + 1</f>
        <v>41</v>
      </c>
      <c r="C1" s="58"/>
      <c r="D1" s="58"/>
      <c r="E1" s="58"/>
      <c r="F1" s="58"/>
      <c r="G1" s="58"/>
      <c r="H1" s="58"/>
      <c r="I1" s="58"/>
      <c r="J1" s="58"/>
      <c r="K1" s="58"/>
      <c r="L1" s="58"/>
      <c r="M1" s="58"/>
      <c r="N1" s="58"/>
      <c r="O1" s="58"/>
      <c r="P1" s="58"/>
      <c r="Q1" s="58"/>
      <c r="R1" s="58">
        <f>B1+Parameters!$B$7</f>
        <v>49</v>
      </c>
      <c r="S1" s="58"/>
      <c r="T1" s="58"/>
      <c r="U1" s="58"/>
      <c r="V1" s="58"/>
      <c r="W1" s="58"/>
      <c r="X1" s="58"/>
      <c r="Y1" s="58"/>
      <c r="Z1" s="58"/>
      <c r="AA1" s="58"/>
      <c r="AB1" s="58"/>
      <c r="AC1" s="58"/>
      <c r="AD1" s="58"/>
      <c r="AE1" s="58"/>
      <c r="AF1" s="58"/>
      <c r="AG1" s="58"/>
      <c r="AH1" s="58">
        <f>R1+Parameters!$B$7</f>
        <v>57</v>
      </c>
      <c r="AI1" s="58"/>
      <c r="AJ1" s="58"/>
      <c r="AK1" s="58"/>
      <c r="AL1" s="58"/>
      <c r="AM1" s="58"/>
      <c r="AN1" s="58"/>
      <c r="AO1" s="58"/>
      <c r="AP1" s="58"/>
      <c r="AQ1" s="58"/>
      <c r="AR1" s="58"/>
      <c r="AS1" s="58"/>
      <c r="AT1" s="58"/>
      <c r="AU1" s="58"/>
      <c r="AV1" s="58"/>
      <c r="AW1" s="58"/>
      <c r="AX1" s="58">
        <f>AH1+Parameters!$B$7</f>
        <v>65</v>
      </c>
      <c r="AY1" s="58"/>
      <c r="AZ1" s="58"/>
      <c r="BA1" s="58"/>
      <c r="BB1" s="58"/>
      <c r="BC1" s="58"/>
      <c r="BD1" s="58"/>
      <c r="BE1" s="58"/>
      <c r="BF1" s="58"/>
      <c r="BG1" s="58"/>
      <c r="BH1" s="58"/>
      <c r="BI1" s="58"/>
      <c r="BJ1" s="58"/>
      <c r="BK1" s="58"/>
      <c r="BL1" s="58"/>
      <c r="BM1" s="58"/>
      <c r="BN1" s="58">
        <f>AX1+Parameters!$B$7</f>
        <v>73</v>
      </c>
      <c r="BO1" s="58"/>
      <c r="BP1" s="58"/>
      <c r="BQ1" s="58"/>
      <c r="BR1" s="58"/>
      <c r="BS1" s="58"/>
      <c r="BT1" s="58"/>
      <c r="BU1" s="58"/>
      <c r="BV1" s="58"/>
      <c r="BW1" s="58"/>
      <c r="BX1" s="58"/>
      <c r="BY1" s="58"/>
      <c r="BZ1" s="58"/>
      <c r="CA1" s="58"/>
      <c r="CB1" s="58"/>
      <c r="CC1" s="58"/>
      <c r="CD1" s="58">
        <f>BN1+Parameters!$B$7</f>
        <v>81</v>
      </c>
      <c r="CE1" s="58"/>
      <c r="CF1" s="58"/>
      <c r="CG1" s="58"/>
      <c r="CH1" s="58"/>
      <c r="CI1" s="58"/>
      <c r="CJ1" s="58"/>
      <c r="CK1" s="58"/>
      <c r="CL1" s="58"/>
      <c r="CM1" s="58"/>
      <c r="CN1" s="58"/>
      <c r="CO1" s="58"/>
      <c r="CP1" s="58"/>
      <c r="CQ1" s="58"/>
      <c r="CR1" s="58"/>
      <c r="CS1" s="58"/>
      <c r="CT1" s="58">
        <f>CD1+Parameters!$B$7</f>
        <v>89</v>
      </c>
      <c r="CU1" s="58"/>
      <c r="CV1" s="58"/>
      <c r="CW1" s="58"/>
      <c r="CX1" s="58"/>
      <c r="CY1" s="58"/>
      <c r="CZ1" s="58"/>
      <c r="DA1" s="58"/>
      <c r="DB1" s="58"/>
      <c r="DC1" s="58"/>
      <c r="DD1" s="58"/>
      <c r="DE1" s="58"/>
      <c r="DF1" s="58"/>
      <c r="DG1" s="58"/>
      <c r="DH1" s="58"/>
      <c r="DI1" s="58"/>
      <c r="DJ1" s="58">
        <f>CT1+Parameters!$B$7</f>
        <v>97</v>
      </c>
      <c r="DK1" s="58"/>
      <c r="DL1" s="58"/>
      <c r="DM1" s="58"/>
      <c r="DN1" s="58"/>
      <c r="DO1" s="58"/>
      <c r="DP1" s="58"/>
      <c r="DQ1" s="58"/>
      <c r="DR1" s="58"/>
      <c r="DS1" s="58"/>
      <c r="DT1" s="58"/>
      <c r="DU1" s="58"/>
      <c r="DV1" s="58"/>
      <c r="DW1" s="58"/>
      <c r="DX1" s="58"/>
      <c r="DY1" s="58"/>
      <c r="DZ1" s="58">
        <f>DJ1+Parameters!$B$7</f>
        <v>105</v>
      </c>
      <c r="EA1" s="58"/>
      <c r="EB1" s="58"/>
      <c r="EC1" s="58"/>
      <c r="ED1" s="58"/>
      <c r="EE1" s="58"/>
      <c r="EF1" s="58"/>
      <c r="EG1" s="58"/>
      <c r="EH1" s="58"/>
      <c r="EI1" s="58"/>
      <c r="EJ1" s="58"/>
      <c r="EK1" s="58"/>
      <c r="EL1" s="58"/>
      <c r="EM1" s="58"/>
      <c r="EN1" s="58"/>
      <c r="EO1" s="58"/>
      <c r="EP1" s="58">
        <f>DZ1+Parameters!$B$7</f>
        <v>113</v>
      </c>
      <c r="EQ1" s="58"/>
      <c r="ER1" s="58"/>
      <c r="ES1" s="58"/>
      <c r="ET1" s="58"/>
      <c r="EU1" s="58"/>
      <c r="EV1" s="58"/>
      <c r="EW1" s="58"/>
      <c r="EX1" s="58"/>
      <c r="EY1" s="58"/>
      <c r="EZ1" s="58"/>
      <c r="FA1" s="58"/>
      <c r="FB1" s="58"/>
      <c r="FC1" s="58"/>
      <c r="FD1" s="58"/>
      <c r="FE1" s="58"/>
      <c r="FF1" s="58">
        <f>EP1+Parameters!$B$7</f>
        <v>121</v>
      </c>
      <c r="FG1" s="58"/>
      <c r="FH1" s="58"/>
      <c r="FI1" s="58"/>
      <c r="FJ1" s="58"/>
      <c r="FK1" s="58"/>
      <c r="FL1" s="58"/>
      <c r="FM1" s="58"/>
      <c r="FN1" s="58"/>
      <c r="FO1" s="58"/>
      <c r="FP1" s="58"/>
      <c r="FQ1" s="58"/>
      <c r="FR1" s="58"/>
      <c r="FS1" s="58"/>
      <c r="FT1" s="58"/>
      <c r="FU1" s="58"/>
      <c r="FV1" s="58">
        <f>FF1+Parameters!$B$7</f>
        <v>129</v>
      </c>
      <c r="FW1" s="58"/>
      <c r="FX1" s="58"/>
      <c r="FY1" s="58"/>
      <c r="FZ1" s="58"/>
      <c r="GA1" s="58"/>
      <c r="GB1" s="58"/>
      <c r="GC1" s="58"/>
      <c r="GD1" s="58"/>
      <c r="GE1" s="58"/>
      <c r="GF1" s="58"/>
      <c r="GG1" s="58"/>
      <c r="GH1" s="58"/>
      <c r="GI1" s="58"/>
      <c r="GJ1" s="58"/>
      <c r="GK1" s="58"/>
      <c r="GL1" s="58">
        <f>FV1+Parameters!$B$7</f>
        <v>137</v>
      </c>
      <c r="GM1" s="58"/>
      <c r="GN1" s="58"/>
      <c r="GO1" s="58"/>
      <c r="GP1" s="58"/>
      <c r="GQ1" s="58"/>
      <c r="GR1" s="58"/>
      <c r="GS1" s="58"/>
      <c r="GT1" s="58"/>
      <c r="GU1" s="58"/>
      <c r="GV1" s="58"/>
      <c r="GW1" s="58"/>
      <c r="GX1" s="58"/>
      <c r="GY1" s="58"/>
      <c r="GZ1" s="58"/>
      <c r="HA1" s="58"/>
      <c r="HB1" s="58">
        <f>GL1+Parameters!$B$7</f>
        <v>145</v>
      </c>
      <c r="HC1" s="58"/>
      <c r="HD1" s="58"/>
      <c r="HE1" s="58"/>
      <c r="HF1" s="58"/>
      <c r="HG1" s="58"/>
      <c r="HH1" s="58"/>
      <c r="HI1" s="58"/>
      <c r="HJ1" s="58"/>
      <c r="HK1" s="58"/>
      <c r="HL1" s="58"/>
      <c r="HM1" s="58"/>
      <c r="HN1" s="58"/>
      <c r="HO1" s="58"/>
      <c r="HP1" s="58"/>
      <c r="HQ1" s="58"/>
      <c r="HR1" s="58">
        <f>HB1+Parameters!$B$7</f>
        <v>153</v>
      </c>
      <c r="HS1" s="58"/>
      <c r="HT1" s="58"/>
      <c r="HU1" s="58"/>
      <c r="HV1" s="58"/>
      <c r="HW1" s="58"/>
      <c r="HX1" s="58"/>
      <c r="HY1" s="58"/>
      <c r="HZ1" s="58"/>
      <c r="IA1" s="58"/>
      <c r="IB1" s="58"/>
      <c r="IC1" s="58"/>
      <c r="ID1" s="58"/>
      <c r="IE1" s="58"/>
      <c r="IF1" s="58"/>
      <c r="IG1" s="58"/>
      <c r="IH1" s="58">
        <f>HR1+Parameters!$B$7</f>
        <v>161</v>
      </c>
      <c r="II1" s="58"/>
      <c r="IJ1" s="58"/>
      <c r="IK1" s="58"/>
      <c r="IL1" s="58"/>
      <c r="IM1" s="58"/>
      <c r="IN1" s="58"/>
      <c r="IO1" s="58"/>
      <c r="IP1" s="58"/>
      <c r="IQ1" s="58"/>
      <c r="IR1" s="58"/>
      <c r="IS1" s="58"/>
      <c r="IT1" s="58"/>
      <c r="IU1" s="58"/>
      <c r="IV1" s="58"/>
      <c r="IW1" s="58"/>
    </row>
    <row r="2" spans="1:257" x14ac:dyDescent="0.2">
      <c r="A2" s="4" t="s">
        <v>26</v>
      </c>
      <c r="B2" s="58">
        <f>1/16</f>
        <v>6.25E-2</v>
      </c>
      <c r="C2" s="58"/>
      <c r="D2" s="58"/>
      <c r="E2" s="58"/>
      <c r="F2" s="58"/>
      <c r="G2" s="58"/>
      <c r="H2" s="58"/>
      <c r="I2" s="58"/>
      <c r="J2" s="58"/>
      <c r="K2" s="58"/>
      <c r="L2" s="58"/>
      <c r="M2" s="58"/>
      <c r="N2" s="58"/>
      <c r="O2" s="58"/>
      <c r="P2" s="58"/>
      <c r="Q2" s="58"/>
      <c r="R2" s="58">
        <f>B2</f>
        <v>6.25E-2</v>
      </c>
      <c r="S2" s="58"/>
      <c r="T2" s="58"/>
      <c r="U2" s="58"/>
      <c r="V2" s="58"/>
      <c r="W2" s="58"/>
      <c r="X2" s="58"/>
      <c r="Y2" s="58"/>
      <c r="Z2" s="58"/>
      <c r="AA2" s="58"/>
      <c r="AB2" s="58"/>
      <c r="AC2" s="58"/>
      <c r="AD2" s="58"/>
      <c r="AE2" s="58"/>
      <c r="AF2" s="58"/>
      <c r="AG2" s="58"/>
      <c r="AH2" s="58">
        <f t="shared" ref="AH2" si="0">R2</f>
        <v>6.25E-2</v>
      </c>
      <c r="AI2" s="58"/>
      <c r="AJ2" s="58"/>
      <c r="AK2" s="58"/>
      <c r="AL2" s="58"/>
      <c r="AM2" s="58"/>
      <c r="AN2" s="58"/>
      <c r="AO2" s="58"/>
      <c r="AP2" s="58"/>
      <c r="AQ2" s="58"/>
      <c r="AR2" s="58"/>
      <c r="AS2" s="58"/>
      <c r="AT2" s="58"/>
      <c r="AU2" s="58"/>
      <c r="AV2" s="58"/>
      <c r="AW2" s="58"/>
      <c r="AX2" s="58">
        <f t="shared" ref="AX2" si="1">AH2</f>
        <v>6.25E-2</v>
      </c>
      <c r="AY2" s="58"/>
      <c r="AZ2" s="58"/>
      <c r="BA2" s="58"/>
      <c r="BB2" s="58"/>
      <c r="BC2" s="58"/>
      <c r="BD2" s="58"/>
      <c r="BE2" s="58"/>
      <c r="BF2" s="58"/>
      <c r="BG2" s="58"/>
      <c r="BH2" s="58"/>
      <c r="BI2" s="58"/>
      <c r="BJ2" s="58"/>
      <c r="BK2" s="58"/>
      <c r="BL2" s="58"/>
      <c r="BM2" s="58"/>
      <c r="BN2" s="58">
        <f t="shared" ref="BN2" si="2">AX2</f>
        <v>6.25E-2</v>
      </c>
      <c r="BO2" s="58"/>
      <c r="BP2" s="58"/>
      <c r="BQ2" s="58"/>
      <c r="BR2" s="58"/>
      <c r="BS2" s="58"/>
      <c r="BT2" s="58"/>
      <c r="BU2" s="58"/>
      <c r="BV2" s="58"/>
      <c r="BW2" s="58"/>
      <c r="BX2" s="58"/>
      <c r="BY2" s="58"/>
      <c r="BZ2" s="58"/>
      <c r="CA2" s="58"/>
      <c r="CB2" s="58"/>
      <c r="CC2" s="58"/>
      <c r="CD2" s="58">
        <f t="shared" ref="CD2" si="3">BN2</f>
        <v>6.25E-2</v>
      </c>
      <c r="CE2" s="58"/>
      <c r="CF2" s="58"/>
      <c r="CG2" s="58"/>
      <c r="CH2" s="58"/>
      <c r="CI2" s="58"/>
      <c r="CJ2" s="58"/>
      <c r="CK2" s="58"/>
      <c r="CL2" s="58"/>
      <c r="CM2" s="58"/>
      <c r="CN2" s="58"/>
      <c r="CO2" s="58"/>
      <c r="CP2" s="58"/>
      <c r="CQ2" s="58"/>
      <c r="CR2" s="58"/>
      <c r="CS2" s="58"/>
      <c r="CT2" s="58">
        <f t="shared" ref="CT2" si="4">CD2</f>
        <v>6.25E-2</v>
      </c>
      <c r="CU2" s="58"/>
      <c r="CV2" s="58"/>
      <c r="CW2" s="58"/>
      <c r="CX2" s="58"/>
      <c r="CY2" s="58"/>
      <c r="CZ2" s="58"/>
      <c r="DA2" s="58"/>
      <c r="DB2" s="58"/>
      <c r="DC2" s="58"/>
      <c r="DD2" s="58"/>
      <c r="DE2" s="58"/>
      <c r="DF2" s="58"/>
      <c r="DG2" s="58"/>
      <c r="DH2" s="58"/>
      <c r="DI2" s="58"/>
      <c r="DJ2" s="58">
        <f t="shared" ref="DJ2" si="5">CT2</f>
        <v>6.25E-2</v>
      </c>
      <c r="DK2" s="58"/>
      <c r="DL2" s="58"/>
      <c r="DM2" s="58"/>
      <c r="DN2" s="58"/>
      <c r="DO2" s="58"/>
      <c r="DP2" s="58"/>
      <c r="DQ2" s="58"/>
      <c r="DR2" s="58"/>
      <c r="DS2" s="58"/>
      <c r="DT2" s="58"/>
      <c r="DU2" s="58"/>
      <c r="DV2" s="58"/>
      <c r="DW2" s="58"/>
      <c r="DX2" s="58"/>
      <c r="DY2" s="58"/>
      <c r="DZ2" s="58">
        <f t="shared" ref="DZ2" si="6">DJ2</f>
        <v>6.25E-2</v>
      </c>
      <c r="EA2" s="58"/>
      <c r="EB2" s="58"/>
      <c r="EC2" s="58"/>
      <c r="ED2" s="58"/>
      <c r="EE2" s="58"/>
      <c r="EF2" s="58"/>
      <c r="EG2" s="58"/>
      <c r="EH2" s="58"/>
      <c r="EI2" s="58"/>
      <c r="EJ2" s="58"/>
      <c r="EK2" s="58"/>
      <c r="EL2" s="58"/>
      <c r="EM2" s="58"/>
      <c r="EN2" s="58"/>
      <c r="EO2" s="58"/>
      <c r="EP2" s="58">
        <f t="shared" ref="EP2" si="7">DZ2</f>
        <v>6.25E-2</v>
      </c>
      <c r="EQ2" s="58"/>
      <c r="ER2" s="58"/>
      <c r="ES2" s="58"/>
      <c r="ET2" s="58"/>
      <c r="EU2" s="58"/>
      <c r="EV2" s="58"/>
      <c r="EW2" s="58"/>
      <c r="EX2" s="58"/>
      <c r="EY2" s="58"/>
      <c r="EZ2" s="58"/>
      <c r="FA2" s="58"/>
      <c r="FB2" s="58"/>
      <c r="FC2" s="58"/>
      <c r="FD2" s="58"/>
      <c r="FE2" s="58"/>
      <c r="FF2" s="58">
        <f t="shared" ref="FF2" si="8">EP2</f>
        <v>6.25E-2</v>
      </c>
      <c r="FG2" s="58"/>
      <c r="FH2" s="58"/>
      <c r="FI2" s="58"/>
      <c r="FJ2" s="58"/>
      <c r="FK2" s="58"/>
      <c r="FL2" s="58"/>
      <c r="FM2" s="58"/>
      <c r="FN2" s="58"/>
      <c r="FO2" s="58"/>
      <c r="FP2" s="58"/>
      <c r="FQ2" s="58"/>
      <c r="FR2" s="58"/>
      <c r="FS2" s="58"/>
      <c r="FT2" s="58"/>
      <c r="FU2" s="58"/>
      <c r="FV2" s="58">
        <f t="shared" ref="FV2" si="9">FF2</f>
        <v>6.25E-2</v>
      </c>
      <c r="FW2" s="58"/>
      <c r="FX2" s="58"/>
      <c r="FY2" s="58"/>
      <c r="FZ2" s="58"/>
      <c r="GA2" s="58"/>
      <c r="GB2" s="58"/>
      <c r="GC2" s="58"/>
      <c r="GD2" s="58"/>
      <c r="GE2" s="58"/>
      <c r="GF2" s="58"/>
      <c r="GG2" s="58"/>
      <c r="GH2" s="58"/>
      <c r="GI2" s="58"/>
      <c r="GJ2" s="58"/>
      <c r="GK2" s="58"/>
      <c r="GL2" s="58">
        <f t="shared" ref="GL2" si="10">FV2</f>
        <v>6.25E-2</v>
      </c>
      <c r="GM2" s="58"/>
      <c r="GN2" s="58"/>
      <c r="GO2" s="58"/>
      <c r="GP2" s="58"/>
      <c r="GQ2" s="58"/>
      <c r="GR2" s="58"/>
      <c r="GS2" s="58"/>
      <c r="GT2" s="58"/>
      <c r="GU2" s="58"/>
      <c r="GV2" s="58"/>
      <c r="GW2" s="58"/>
      <c r="GX2" s="58"/>
      <c r="GY2" s="58"/>
      <c r="GZ2" s="58"/>
      <c r="HA2" s="58"/>
      <c r="HB2" s="58">
        <f t="shared" ref="HB2" si="11">GL2</f>
        <v>6.25E-2</v>
      </c>
      <c r="HC2" s="58"/>
      <c r="HD2" s="58"/>
      <c r="HE2" s="58"/>
      <c r="HF2" s="58"/>
      <c r="HG2" s="58"/>
      <c r="HH2" s="58"/>
      <c r="HI2" s="58"/>
      <c r="HJ2" s="58"/>
      <c r="HK2" s="58"/>
      <c r="HL2" s="58"/>
      <c r="HM2" s="58"/>
      <c r="HN2" s="58"/>
      <c r="HO2" s="58"/>
      <c r="HP2" s="58"/>
      <c r="HQ2" s="58"/>
      <c r="HR2" s="58">
        <f t="shared" ref="HR2" si="12">HB2</f>
        <v>6.25E-2</v>
      </c>
      <c r="HS2" s="58"/>
      <c r="HT2" s="58"/>
      <c r="HU2" s="58"/>
      <c r="HV2" s="58"/>
      <c r="HW2" s="58"/>
      <c r="HX2" s="58"/>
      <c r="HY2" s="58"/>
      <c r="HZ2" s="58"/>
      <c r="IA2" s="58"/>
      <c r="IB2" s="58"/>
      <c r="IC2" s="58"/>
      <c r="ID2" s="58"/>
      <c r="IE2" s="58"/>
      <c r="IF2" s="58"/>
      <c r="IG2" s="58"/>
      <c r="IH2" s="58">
        <f t="shared" ref="IH2" si="13">HR2</f>
        <v>6.25E-2</v>
      </c>
      <c r="II2" s="58"/>
      <c r="IJ2" s="58"/>
      <c r="IK2" s="58"/>
      <c r="IL2" s="58"/>
      <c r="IM2" s="58"/>
      <c r="IN2" s="58"/>
      <c r="IO2" s="58"/>
      <c r="IP2" s="58"/>
      <c r="IQ2" s="58"/>
      <c r="IR2" s="58"/>
      <c r="IS2" s="58"/>
      <c r="IT2" s="58"/>
      <c r="IU2" s="58"/>
      <c r="IV2" s="58"/>
      <c r="IW2" s="58"/>
    </row>
    <row r="3" spans="1:257" x14ac:dyDescent="0.2">
      <c r="A3" s="4" t="s">
        <v>33</v>
      </c>
      <c r="B3" s="61">
        <v>9</v>
      </c>
      <c r="C3" s="62"/>
      <c r="D3" s="62"/>
      <c r="E3" s="62"/>
      <c r="F3" s="62"/>
      <c r="G3" s="62"/>
      <c r="H3" s="62"/>
      <c r="I3" s="62"/>
      <c r="J3" s="62"/>
      <c r="K3" s="62"/>
      <c r="L3" s="62"/>
      <c r="M3" s="62"/>
      <c r="N3" s="62"/>
      <c r="O3" s="62"/>
      <c r="P3" s="62"/>
      <c r="Q3" s="63"/>
      <c r="R3" s="61">
        <v>9</v>
      </c>
      <c r="S3" s="62"/>
      <c r="T3" s="62"/>
      <c r="U3" s="62"/>
      <c r="V3" s="62"/>
      <c r="W3" s="62"/>
      <c r="X3" s="62"/>
      <c r="Y3" s="62"/>
      <c r="Z3" s="62"/>
      <c r="AA3" s="62"/>
      <c r="AB3" s="62"/>
      <c r="AC3" s="62"/>
      <c r="AD3" s="62"/>
      <c r="AE3" s="62"/>
      <c r="AF3" s="62"/>
      <c r="AG3" s="63"/>
      <c r="AH3" s="61">
        <v>9</v>
      </c>
      <c r="AI3" s="62"/>
      <c r="AJ3" s="62"/>
      <c r="AK3" s="62"/>
      <c r="AL3" s="62"/>
      <c r="AM3" s="62"/>
      <c r="AN3" s="62"/>
      <c r="AO3" s="62"/>
      <c r="AP3" s="62"/>
      <c r="AQ3" s="62"/>
      <c r="AR3" s="62"/>
      <c r="AS3" s="62"/>
      <c r="AT3" s="62"/>
      <c r="AU3" s="62"/>
      <c r="AV3" s="62"/>
      <c r="AW3" s="63"/>
      <c r="AX3" s="61">
        <v>9</v>
      </c>
      <c r="AY3" s="62"/>
      <c r="AZ3" s="62"/>
      <c r="BA3" s="62"/>
      <c r="BB3" s="62"/>
      <c r="BC3" s="62"/>
      <c r="BD3" s="62"/>
      <c r="BE3" s="62"/>
      <c r="BF3" s="62"/>
      <c r="BG3" s="62"/>
      <c r="BH3" s="62"/>
      <c r="BI3" s="62"/>
      <c r="BJ3" s="62"/>
      <c r="BK3" s="62"/>
      <c r="BL3" s="62"/>
      <c r="BM3" s="63"/>
      <c r="BN3" s="61">
        <v>17</v>
      </c>
      <c r="BO3" s="62"/>
      <c r="BP3" s="62"/>
      <c r="BQ3" s="62"/>
      <c r="BR3" s="62"/>
      <c r="BS3" s="62"/>
      <c r="BT3" s="62"/>
      <c r="BU3" s="62"/>
      <c r="BV3" s="62"/>
      <c r="BW3" s="62"/>
      <c r="BX3" s="62"/>
      <c r="BY3" s="62"/>
      <c r="BZ3" s="62"/>
      <c r="CA3" s="62"/>
      <c r="CB3" s="62"/>
      <c r="CC3" s="63"/>
      <c r="CD3" s="61">
        <v>17</v>
      </c>
      <c r="CE3" s="62"/>
      <c r="CF3" s="62"/>
      <c r="CG3" s="62"/>
      <c r="CH3" s="62"/>
      <c r="CI3" s="62"/>
      <c r="CJ3" s="62"/>
      <c r="CK3" s="62"/>
      <c r="CL3" s="62"/>
      <c r="CM3" s="62"/>
      <c r="CN3" s="62"/>
      <c r="CO3" s="62"/>
      <c r="CP3" s="62"/>
      <c r="CQ3" s="62"/>
      <c r="CR3" s="62"/>
      <c r="CS3" s="63"/>
      <c r="CT3" s="61">
        <v>17</v>
      </c>
      <c r="CU3" s="62"/>
      <c r="CV3" s="62"/>
      <c r="CW3" s="62"/>
      <c r="CX3" s="62"/>
      <c r="CY3" s="62"/>
      <c r="CZ3" s="62"/>
      <c r="DA3" s="62"/>
      <c r="DB3" s="62"/>
      <c r="DC3" s="62"/>
      <c r="DD3" s="62"/>
      <c r="DE3" s="62"/>
      <c r="DF3" s="62"/>
      <c r="DG3" s="62"/>
      <c r="DH3" s="62"/>
      <c r="DI3" s="63"/>
      <c r="DJ3" s="61">
        <v>17</v>
      </c>
      <c r="DK3" s="62"/>
      <c r="DL3" s="62"/>
      <c r="DM3" s="62"/>
      <c r="DN3" s="62"/>
      <c r="DO3" s="62"/>
      <c r="DP3" s="62"/>
      <c r="DQ3" s="62"/>
      <c r="DR3" s="62"/>
      <c r="DS3" s="62"/>
      <c r="DT3" s="62"/>
      <c r="DU3" s="62"/>
      <c r="DV3" s="62"/>
      <c r="DW3" s="62"/>
      <c r="DX3" s="62"/>
      <c r="DY3" s="63"/>
      <c r="DZ3" s="64">
        <v>25</v>
      </c>
      <c r="EA3" s="65"/>
      <c r="EB3" s="65"/>
      <c r="EC3" s="65"/>
      <c r="ED3" s="65"/>
      <c r="EE3" s="65"/>
      <c r="EF3" s="65"/>
      <c r="EG3" s="65"/>
      <c r="EH3" s="65"/>
      <c r="EI3" s="65"/>
      <c r="EJ3" s="65"/>
      <c r="EK3" s="65"/>
      <c r="EL3" s="65"/>
      <c r="EM3" s="65"/>
      <c r="EN3" s="65"/>
      <c r="EO3" s="66"/>
      <c r="EP3" s="67">
        <v>25</v>
      </c>
      <c r="EQ3" s="65"/>
      <c r="ER3" s="65"/>
      <c r="ES3" s="65"/>
      <c r="ET3" s="65"/>
      <c r="EU3" s="65"/>
      <c r="EV3" s="65"/>
      <c r="EW3" s="65"/>
      <c r="EX3" s="65"/>
      <c r="EY3" s="65"/>
      <c r="EZ3" s="65"/>
      <c r="FA3" s="65"/>
      <c r="FB3" s="65"/>
      <c r="FC3" s="65"/>
      <c r="FD3" s="65"/>
      <c r="FE3" s="66"/>
      <c r="FF3" s="67">
        <v>25</v>
      </c>
      <c r="FG3" s="65"/>
      <c r="FH3" s="65"/>
      <c r="FI3" s="65"/>
      <c r="FJ3" s="65"/>
      <c r="FK3" s="65"/>
      <c r="FL3" s="65"/>
      <c r="FM3" s="65"/>
      <c r="FN3" s="65"/>
      <c r="FO3" s="65"/>
      <c r="FP3" s="65"/>
      <c r="FQ3" s="65"/>
      <c r="FR3" s="65"/>
      <c r="FS3" s="65"/>
      <c r="FT3" s="65"/>
      <c r="FU3" s="66"/>
      <c r="FV3" s="67">
        <v>25</v>
      </c>
      <c r="FW3" s="65"/>
      <c r="FX3" s="65"/>
      <c r="FY3" s="65"/>
      <c r="FZ3" s="65"/>
      <c r="GA3" s="65"/>
      <c r="GB3" s="65"/>
      <c r="GC3" s="65"/>
      <c r="GD3" s="65"/>
      <c r="GE3" s="65"/>
      <c r="GF3" s="65"/>
      <c r="GG3" s="65"/>
      <c r="GH3" s="65"/>
      <c r="GI3" s="65"/>
      <c r="GJ3" s="65"/>
      <c r="GK3" s="66"/>
      <c r="GL3" s="67">
        <v>33</v>
      </c>
      <c r="GM3" s="65"/>
      <c r="GN3" s="65"/>
      <c r="GO3" s="65"/>
      <c r="GP3" s="65"/>
      <c r="GQ3" s="65"/>
      <c r="GR3" s="65"/>
      <c r="GS3" s="65"/>
      <c r="GT3" s="65"/>
      <c r="GU3" s="65"/>
      <c r="GV3" s="65"/>
      <c r="GW3" s="65"/>
      <c r="GX3" s="65"/>
      <c r="GY3" s="65"/>
      <c r="GZ3" s="65"/>
      <c r="HA3" s="66"/>
      <c r="HB3" s="67">
        <v>33</v>
      </c>
      <c r="HC3" s="65"/>
      <c r="HD3" s="65"/>
      <c r="HE3" s="65"/>
      <c r="HF3" s="65"/>
      <c r="HG3" s="65"/>
      <c r="HH3" s="65"/>
      <c r="HI3" s="65"/>
      <c r="HJ3" s="65"/>
      <c r="HK3" s="65"/>
      <c r="HL3" s="65"/>
      <c r="HM3" s="65"/>
      <c r="HN3" s="65"/>
      <c r="HO3" s="65"/>
      <c r="HP3" s="65"/>
      <c r="HQ3" s="66"/>
      <c r="HR3" s="67">
        <v>33</v>
      </c>
      <c r="HS3" s="65"/>
      <c r="HT3" s="65"/>
      <c r="HU3" s="65"/>
      <c r="HV3" s="65"/>
      <c r="HW3" s="65"/>
      <c r="HX3" s="65"/>
      <c r="HY3" s="65"/>
      <c r="HZ3" s="65"/>
      <c r="IA3" s="65"/>
      <c r="IB3" s="65"/>
      <c r="IC3" s="65"/>
      <c r="ID3" s="65"/>
      <c r="IE3" s="65"/>
      <c r="IF3" s="65"/>
      <c r="IG3" s="66"/>
      <c r="IH3" s="67">
        <v>33</v>
      </c>
      <c r="II3" s="65"/>
      <c r="IJ3" s="65"/>
      <c r="IK3" s="65"/>
      <c r="IL3" s="65"/>
      <c r="IM3" s="65"/>
      <c r="IN3" s="65"/>
      <c r="IO3" s="65"/>
      <c r="IP3" s="65"/>
      <c r="IQ3" s="65"/>
      <c r="IR3" s="65"/>
      <c r="IS3" s="65"/>
      <c r="IT3" s="65"/>
      <c r="IU3" s="65"/>
      <c r="IV3" s="65"/>
      <c r="IW3" s="66"/>
    </row>
    <row r="4" spans="1:257" x14ac:dyDescent="0.2">
      <c r="A4" s="4"/>
      <c r="B4" s="59" t="s">
        <v>27</v>
      </c>
      <c r="C4" s="59"/>
      <c r="D4" s="59"/>
      <c r="E4" s="59"/>
      <c r="F4" s="59"/>
      <c r="G4" s="59"/>
      <c r="H4" s="59"/>
      <c r="I4" s="59"/>
      <c r="J4" s="60" t="s">
        <v>28</v>
      </c>
      <c r="K4" s="60"/>
      <c r="L4" s="60"/>
      <c r="M4" s="60"/>
      <c r="N4" s="60"/>
      <c r="O4" s="60"/>
      <c r="P4" s="60"/>
      <c r="Q4" s="60"/>
      <c r="R4" s="59" t="s">
        <v>27</v>
      </c>
      <c r="S4" s="59"/>
      <c r="T4" s="59"/>
      <c r="U4" s="59"/>
      <c r="V4" s="59"/>
      <c r="W4" s="59"/>
      <c r="X4" s="59"/>
      <c r="Y4" s="59"/>
      <c r="Z4" s="60" t="s">
        <v>28</v>
      </c>
      <c r="AA4" s="60"/>
      <c r="AB4" s="60"/>
      <c r="AC4" s="60"/>
      <c r="AD4" s="60"/>
      <c r="AE4" s="60"/>
      <c r="AF4" s="60"/>
      <c r="AG4" s="60"/>
      <c r="AH4" s="59" t="s">
        <v>27</v>
      </c>
      <c r="AI4" s="59"/>
      <c r="AJ4" s="59"/>
      <c r="AK4" s="59"/>
      <c r="AL4" s="59"/>
      <c r="AM4" s="59"/>
      <c r="AN4" s="59"/>
      <c r="AO4" s="59"/>
      <c r="AP4" s="60" t="s">
        <v>28</v>
      </c>
      <c r="AQ4" s="60"/>
      <c r="AR4" s="60"/>
      <c r="AS4" s="60"/>
      <c r="AT4" s="60"/>
      <c r="AU4" s="60"/>
      <c r="AV4" s="60"/>
      <c r="AW4" s="60"/>
      <c r="AX4" s="59" t="s">
        <v>27</v>
      </c>
      <c r="AY4" s="59"/>
      <c r="AZ4" s="59"/>
      <c r="BA4" s="59"/>
      <c r="BB4" s="59"/>
      <c r="BC4" s="59"/>
      <c r="BD4" s="59"/>
      <c r="BE4" s="59"/>
      <c r="BF4" s="60" t="s">
        <v>28</v>
      </c>
      <c r="BG4" s="60"/>
      <c r="BH4" s="60"/>
      <c r="BI4" s="60"/>
      <c r="BJ4" s="60"/>
      <c r="BK4" s="60"/>
      <c r="BL4" s="60"/>
      <c r="BM4" s="60"/>
      <c r="BN4" s="59" t="s">
        <v>27</v>
      </c>
      <c r="BO4" s="59"/>
      <c r="BP4" s="59"/>
      <c r="BQ4" s="59"/>
      <c r="BR4" s="59"/>
      <c r="BS4" s="59"/>
      <c r="BT4" s="59"/>
      <c r="BU4" s="59"/>
      <c r="BV4" s="60" t="s">
        <v>28</v>
      </c>
      <c r="BW4" s="60"/>
      <c r="BX4" s="60"/>
      <c r="BY4" s="60"/>
      <c r="BZ4" s="60"/>
      <c r="CA4" s="60"/>
      <c r="CB4" s="60"/>
      <c r="CC4" s="60"/>
      <c r="CD4" s="59" t="s">
        <v>27</v>
      </c>
      <c r="CE4" s="59"/>
      <c r="CF4" s="59"/>
      <c r="CG4" s="59"/>
      <c r="CH4" s="59"/>
      <c r="CI4" s="59"/>
      <c r="CJ4" s="59"/>
      <c r="CK4" s="59"/>
      <c r="CL4" s="60" t="s">
        <v>28</v>
      </c>
      <c r="CM4" s="60"/>
      <c r="CN4" s="60"/>
      <c r="CO4" s="60"/>
      <c r="CP4" s="60"/>
      <c r="CQ4" s="60"/>
      <c r="CR4" s="60"/>
      <c r="CS4" s="60"/>
      <c r="CT4" s="59" t="s">
        <v>27</v>
      </c>
      <c r="CU4" s="59"/>
      <c r="CV4" s="59"/>
      <c r="CW4" s="59"/>
      <c r="CX4" s="59"/>
      <c r="CY4" s="59"/>
      <c r="CZ4" s="59"/>
      <c r="DA4" s="59"/>
      <c r="DB4" s="60" t="s">
        <v>28</v>
      </c>
      <c r="DC4" s="60"/>
      <c r="DD4" s="60"/>
      <c r="DE4" s="60"/>
      <c r="DF4" s="60"/>
      <c r="DG4" s="60"/>
      <c r="DH4" s="60"/>
      <c r="DI4" s="60"/>
      <c r="DJ4" s="59" t="s">
        <v>27</v>
      </c>
      <c r="DK4" s="59"/>
      <c r="DL4" s="59"/>
      <c r="DM4" s="59"/>
      <c r="DN4" s="59"/>
      <c r="DO4" s="59"/>
      <c r="DP4" s="59"/>
      <c r="DQ4" s="59"/>
      <c r="DR4" s="60" t="s">
        <v>28</v>
      </c>
      <c r="DS4" s="60"/>
      <c r="DT4" s="60"/>
      <c r="DU4" s="60"/>
      <c r="DV4" s="60"/>
      <c r="DW4" s="60"/>
      <c r="DX4" s="60"/>
      <c r="DY4" s="60"/>
      <c r="DZ4" s="59" t="s">
        <v>27</v>
      </c>
      <c r="EA4" s="59"/>
      <c r="EB4" s="59"/>
      <c r="EC4" s="59"/>
      <c r="ED4" s="59"/>
      <c r="EE4" s="59"/>
      <c r="EF4" s="59"/>
      <c r="EG4" s="59"/>
      <c r="EH4" s="60" t="s">
        <v>28</v>
      </c>
      <c r="EI4" s="60"/>
      <c r="EJ4" s="60"/>
      <c r="EK4" s="60"/>
      <c r="EL4" s="60"/>
      <c r="EM4" s="60"/>
      <c r="EN4" s="60"/>
      <c r="EO4" s="60"/>
      <c r="EP4" s="59" t="s">
        <v>27</v>
      </c>
      <c r="EQ4" s="59"/>
      <c r="ER4" s="59"/>
      <c r="ES4" s="59"/>
      <c r="ET4" s="59"/>
      <c r="EU4" s="59"/>
      <c r="EV4" s="59"/>
      <c r="EW4" s="59"/>
      <c r="EX4" s="60" t="s">
        <v>28</v>
      </c>
      <c r="EY4" s="60"/>
      <c r="EZ4" s="60"/>
      <c r="FA4" s="60"/>
      <c r="FB4" s="60"/>
      <c r="FC4" s="60"/>
      <c r="FD4" s="60"/>
      <c r="FE4" s="60"/>
      <c r="FF4" s="59" t="s">
        <v>27</v>
      </c>
      <c r="FG4" s="59"/>
      <c r="FH4" s="59"/>
      <c r="FI4" s="59"/>
      <c r="FJ4" s="59"/>
      <c r="FK4" s="59"/>
      <c r="FL4" s="59"/>
      <c r="FM4" s="59"/>
      <c r="FN4" s="60" t="s">
        <v>28</v>
      </c>
      <c r="FO4" s="60"/>
      <c r="FP4" s="60"/>
      <c r="FQ4" s="60"/>
      <c r="FR4" s="60"/>
      <c r="FS4" s="60"/>
      <c r="FT4" s="60"/>
      <c r="FU4" s="60"/>
      <c r="FV4" s="59" t="s">
        <v>27</v>
      </c>
      <c r="FW4" s="59"/>
      <c r="FX4" s="59"/>
      <c r="FY4" s="59"/>
      <c r="FZ4" s="59"/>
      <c r="GA4" s="59"/>
      <c r="GB4" s="59"/>
      <c r="GC4" s="59"/>
      <c r="GD4" s="60" t="s">
        <v>28</v>
      </c>
      <c r="GE4" s="60"/>
      <c r="GF4" s="60"/>
      <c r="GG4" s="60"/>
      <c r="GH4" s="60"/>
      <c r="GI4" s="60"/>
      <c r="GJ4" s="60"/>
      <c r="GK4" s="60"/>
      <c r="GL4" s="59" t="s">
        <v>27</v>
      </c>
      <c r="GM4" s="59"/>
      <c r="GN4" s="59"/>
      <c r="GO4" s="59"/>
      <c r="GP4" s="59"/>
      <c r="GQ4" s="59"/>
      <c r="GR4" s="59"/>
      <c r="GS4" s="59"/>
      <c r="GT4" s="60" t="s">
        <v>28</v>
      </c>
      <c r="GU4" s="60"/>
      <c r="GV4" s="60"/>
      <c r="GW4" s="60"/>
      <c r="GX4" s="60"/>
      <c r="GY4" s="60"/>
      <c r="GZ4" s="60"/>
      <c r="HA4" s="60"/>
      <c r="HB4" s="59" t="s">
        <v>27</v>
      </c>
      <c r="HC4" s="59"/>
      <c r="HD4" s="59"/>
      <c r="HE4" s="59"/>
      <c r="HF4" s="59"/>
      <c r="HG4" s="59"/>
      <c r="HH4" s="59"/>
      <c r="HI4" s="59"/>
      <c r="HJ4" s="60" t="s">
        <v>28</v>
      </c>
      <c r="HK4" s="60"/>
      <c r="HL4" s="60"/>
      <c r="HM4" s="60"/>
      <c r="HN4" s="60"/>
      <c r="HO4" s="60"/>
      <c r="HP4" s="60"/>
      <c r="HQ4" s="60"/>
      <c r="HR4" s="59" t="s">
        <v>27</v>
      </c>
      <c r="HS4" s="59"/>
      <c r="HT4" s="59"/>
      <c r="HU4" s="59"/>
      <c r="HV4" s="59"/>
      <c r="HW4" s="59"/>
      <c r="HX4" s="59"/>
      <c r="HY4" s="59"/>
      <c r="HZ4" s="60" t="s">
        <v>28</v>
      </c>
      <c r="IA4" s="60"/>
      <c r="IB4" s="60"/>
      <c r="IC4" s="60"/>
      <c r="ID4" s="60"/>
      <c r="IE4" s="60"/>
      <c r="IF4" s="60"/>
      <c r="IG4" s="60"/>
      <c r="IH4" s="59" t="s">
        <v>27</v>
      </c>
      <c r="II4" s="59"/>
      <c r="IJ4" s="59"/>
      <c r="IK4" s="59"/>
      <c r="IL4" s="59"/>
      <c r="IM4" s="59"/>
      <c r="IN4" s="59"/>
      <c r="IO4" s="59"/>
      <c r="IP4" s="60" t="s">
        <v>28</v>
      </c>
      <c r="IQ4" s="60"/>
      <c r="IR4" s="60"/>
      <c r="IS4" s="60"/>
      <c r="IT4" s="60"/>
      <c r="IU4" s="60"/>
      <c r="IV4" s="60"/>
      <c r="IW4" s="60"/>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40</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40</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40</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40</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40</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40</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40</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40</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40</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40</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40</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40</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40</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40</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40</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40</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40</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40</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40</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40</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40</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40</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40</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40</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40</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40</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40</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40</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40</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40</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40</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40</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40</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40</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40</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40</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40</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40</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40</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40</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40</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40</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10</v>
      </c>
      <c r="C10" s="2">
        <f>'Demand Stage 2'!C9</f>
        <v>10</v>
      </c>
      <c r="D10" s="2">
        <f>'Demand Stage 2'!D9</f>
        <v>10</v>
      </c>
      <c r="E10" s="2">
        <f>'Demand Stage 2'!E9</f>
        <v>50</v>
      </c>
      <c r="F10" s="2">
        <f>'Demand Stage 2'!F9</f>
        <v>50</v>
      </c>
      <c r="G10" s="2">
        <f>'Demand Stage 2'!G9</f>
        <v>40</v>
      </c>
      <c r="H10" s="2">
        <f>'Demand Stage 2'!H9</f>
        <v>50</v>
      </c>
      <c r="I10" s="2">
        <f>'Demand Stage 2'!I9</f>
        <v>20</v>
      </c>
      <c r="J10" s="3"/>
      <c r="K10" s="3"/>
      <c r="L10" s="3"/>
      <c r="M10" s="3"/>
      <c r="N10" s="3"/>
      <c r="O10" s="3"/>
      <c r="P10" s="3"/>
      <c r="Q10" s="3"/>
      <c r="R10" s="2">
        <f>'Demand Stage 2'!B9</f>
        <v>10</v>
      </c>
      <c r="S10" s="2">
        <f>'Demand Stage 2'!C9</f>
        <v>10</v>
      </c>
      <c r="T10" s="2">
        <f>'Demand Stage 2'!D9</f>
        <v>10</v>
      </c>
      <c r="U10" s="2">
        <f>'Demand Stage 2'!E9</f>
        <v>50</v>
      </c>
      <c r="V10" s="2">
        <f>'Demand Stage 2'!F9</f>
        <v>50</v>
      </c>
      <c r="W10" s="2">
        <f>'Demand Stage 2'!G9</f>
        <v>40</v>
      </c>
      <c r="X10" s="2">
        <f>'Demand Stage 2'!H9</f>
        <v>50</v>
      </c>
      <c r="Y10" s="2">
        <f>'Demand Stage 2'!I9</f>
        <v>20</v>
      </c>
      <c r="Z10" s="3"/>
      <c r="AA10" s="3"/>
      <c r="AB10" s="3"/>
      <c r="AC10" s="3"/>
      <c r="AD10" s="3"/>
      <c r="AE10" s="3"/>
      <c r="AF10" s="3"/>
      <c r="AG10" s="3"/>
      <c r="AH10" s="2">
        <f>'Demand Stage 2'!B9</f>
        <v>10</v>
      </c>
      <c r="AI10" s="2">
        <f>'Demand Stage 2'!C9</f>
        <v>10</v>
      </c>
      <c r="AJ10" s="2">
        <f>'Demand Stage 2'!D9</f>
        <v>10</v>
      </c>
      <c r="AK10" s="2">
        <f>'Demand Stage 2'!E9</f>
        <v>50</v>
      </c>
      <c r="AL10" s="2">
        <f>'Demand Stage 2'!F9</f>
        <v>50</v>
      </c>
      <c r="AM10" s="2">
        <f>'Demand Stage 2'!G9</f>
        <v>40</v>
      </c>
      <c r="AN10" s="2">
        <f>'Demand Stage 2'!H9</f>
        <v>50</v>
      </c>
      <c r="AO10" s="2">
        <f>'Demand Stage 2'!I9</f>
        <v>20</v>
      </c>
      <c r="AP10" s="3"/>
      <c r="AQ10" s="3"/>
      <c r="AR10" s="3"/>
      <c r="AS10" s="3"/>
      <c r="AT10" s="3"/>
      <c r="AU10" s="3"/>
      <c r="AV10" s="3"/>
      <c r="AW10" s="3"/>
      <c r="AX10" s="2">
        <f>'Demand Stage 2'!B9</f>
        <v>10</v>
      </c>
      <c r="AY10" s="2">
        <f>'Demand Stage 2'!C9</f>
        <v>10</v>
      </c>
      <c r="AZ10" s="2">
        <f>'Demand Stage 2'!D9</f>
        <v>10</v>
      </c>
      <c r="BA10" s="2">
        <f>'Demand Stage 2'!E9</f>
        <v>50</v>
      </c>
      <c r="BB10" s="2">
        <f>'Demand Stage 2'!F9</f>
        <v>50</v>
      </c>
      <c r="BC10" s="2">
        <f>'Demand Stage 2'!G9</f>
        <v>40</v>
      </c>
      <c r="BD10" s="2">
        <f>'Demand Stage 2'!H9</f>
        <v>50</v>
      </c>
      <c r="BE10" s="2">
        <f>'Demand Stage 2'!I9</f>
        <v>20</v>
      </c>
      <c r="BF10" s="3"/>
      <c r="BG10" s="3"/>
      <c r="BH10" s="3"/>
      <c r="BI10" s="3"/>
      <c r="BJ10" s="3"/>
      <c r="BK10" s="3"/>
      <c r="BL10" s="3"/>
      <c r="BM10" s="3"/>
      <c r="BN10" s="2">
        <f>'Demand Stage 2'!R9</f>
        <v>10</v>
      </c>
      <c r="BO10" s="2">
        <f>'Demand Stage 2'!S9</f>
        <v>10</v>
      </c>
      <c r="BP10" s="2">
        <f>'Demand Stage 2'!T9</f>
        <v>10</v>
      </c>
      <c r="BQ10" s="2">
        <f>'Demand Stage 2'!U9</f>
        <v>50</v>
      </c>
      <c r="BR10" s="2">
        <f>'Demand Stage 2'!V9</f>
        <v>50</v>
      </c>
      <c r="BS10" s="2">
        <f>'Demand Stage 2'!W9</f>
        <v>40</v>
      </c>
      <c r="BT10" s="2">
        <f>'Demand Stage 2'!X9</f>
        <v>40</v>
      </c>
      <c r="BU10" s="2">
        <f>'Demand Stage 2'!Y9</f>
        <v>20</v>
      </c>
      <c r="BV10" s="3"/>
      <c r="BW10" s="3"/>
      <c r="BX10" s="3"/>
      <c r="BY10" s="3"/>
      <c r="BZ10" s="3"/>
      <c r="CA10" s="3"/>
      <c r="CB10" s="3"/>
      <c r="CC10" s="3"/>
      <c r="CD10" s="2">
        <f t="shared" si="38"/>
        <v>10</v>
      </c>
      <c r="CE10" s="2">
        <f t="shared" si="14"/>
        <v>10</v>
      </c>
      <c r="CF10" s="2">
        <f t="shared" si="14"/>
        <v>10</v>
      </c>
      <c r="CG10" s="2">
        <f t="shared" si="14"/>
        <v>50</v>
      </c>
      <c r="CH10" s="2">
        <f t="shared" si="14"/>
        <v>50</v>
      </c>
      <c r="CI10" s="2">
        <f t="shared" si="14"/>
        <v>40</v>
      </c>
      <c r="CJ10" s="2">
        <f t="shared" si="14"/>
        <v>40</v>
      </c>
      <c r="CK10" s="2">
        <f t="shared" si="14"/>
        <v>20</v>
      </c>
      <c r="CL10" s="3"/>
      <c r="CM10" s="3"/>
      <c r="CN10" s="3"/>
      <c r="CO10" s="3"/>
      <c r="CP10" s="3"/>
      <c r="CQ10" s="3"/>
      <c r="CR10" s="3"/>
      <c r="CS10" s="3"/>
      <c r="CT10" s="2">
        <f t="shared" si="74"/>
        <v>10</v>
      </c>
      <c r="CU10" s="2">
        <f t="shared" si="16"/>
        <v>10</v>
      </c>
      <c r="CV10" s="2">
        <f t="shared" si="16"/>
        <v>10</v>
      </c>
      <c r="CW10" s="2">
        <f t="shared" si="16"/>
        <v>50</v>
      </c>
      <c r="CX10" s="2">
        <f t="shared" si="16"/>
        <v>50</v>
      </c>
      <c r="CY10" s="2">
        <f t="shared" si="16"/>
        <v>40</v>
      </c>
      <c r="CZ10" s="2">
        <f t="shared" si="16"/>
        <v>40</v>
      </c>
      <c r="DA10" s="2">
        <f t="shared" si="16"/>
        <v>20</v>
      </c>
      <c r="DB10" s="3"/>
      <c r="DC10" s="3"/>
      <c r="DD10" s="3"/>
      <c r="DE10" s="3"/>
      <c r="DF10" s="3"/>
      <c r="DG10" s="3"/>
      <c r="DH10" s="3"/>
      <c r="DI10" s="3"/>
      <c r="DJ10" s="2">
        <f t="shared" si="40"/>
        <v>10</v>
      </c>
      <c r="DK10" s="2">
        <f t="shared" si="24"/>
        <v>10</v>
      </c>
      <c r="DL10" s="2">
        <f t="shared" si="24"/>
        <v>10</v>
      </c>
      <c r="DM10" s="2">
        <f t="shared" si="24"/>
        <v>50</v>
      </c>
      <c r="DN10" s="2">
        <f t="shared" si="24"/>
        <v>50</v>
      </c>
      <c r="DO10" s="2">
        <f t="shared" si="24"/>
        <v>40</v>
      </c>
      <c r="DP10" s="2">
        <f t="shared" si="24"/>
        <v>40</v>
      </c>
      <c r="DQ10" s="2">
        <f t="shared" si="24"/>
        <v>20</v>
      </c>
      <c r="DR10" s="3"/>
      <c r="DS10" s="3"/>
      <c r="DT10" s="3"/>
      <c r="DU10" s="3"/>
      <c r="DV10" s="3"/>
      <c r="DW10" s="3"/>
      <c r="DX10" s="3"/>
      <c r="DY10" s="3"/>
      <c r="DZ10" s="2">
        <f>'Demand Stage 2'!AH9</f>
        <v>10</v>
      </c>
      <c r="EA10" s="2">
        <f>'Demand Stage 2'!AI9</f>
        <v>10</v>
      </c>
      <c r="EB10" s="2">
        <f>'Demand Stage 2'!AJ9</f>
        <v>10</v>
      </c>
      <c r="EC10" s="2">
        <f>'Demand Stage 2'!AK9</f>
        <v>40</v>
      </c>
      <c r="ED10" s="2">
        <f>'Demand Stage 2'!AL9</f>
        <v>40</v>
      </c>
      <c r="EE10" s="2">
        <f>'Demand Stage 2'!AM9</f>
        <v>40</v>
      </c>
      <c r="EF10" s="2">
        <f>'Demand Stage 2'!AN9</f>
        <v>50</v>
      </c>
      <c r="EG10" s="2">
        <f>'Demand Stage 2'!AO9</f>
        <v>20</v>
      </c>
      <c r="EH10" s="3"/>
      <c r="EI10" s="3"/>
      <c r="EJ10" s="3"/>
      <c r="EK10" s="3"/>
      <c r="EL10" s="3"/>
      <c r="EM10" s="3"/>
      <c r="EN10" s="3"/>
      <c r="EO10" s="3"/>
      <c r="EP10" s="2">
        <f t="shared" si="49"/>
        <v>10</v>
      </c>
      <c r="EQ10" s="2">
        <f t="shared" si="26"/>
        <v>10</v>
      </c>
      <c r="ER10" s="2">
        <f t="shared" si="26"/>
        <v>10</v>
      </c>
      <c r="ES10" s="2">
        <f t="shared" si="26"/>
        <v>40</v>
      </c>
      <c r="ET10" s="2">
        <f t="shared" si="26"/>
        <v>40</v>
      </c>
      <c r="EU10" s="2">
        <f t="shared" si="26"/>
        <v>40</v>
      </c>
      <c r="EV10" s="2">
        <f t="shared" si="26"/>
        <v>50</v>
      </c>
      <c r="EW10" s="2">
        <f t="shared" si="26"/>
        <v>20</v>
      </c>
      <c r="EX10" s="3"/>
      <c r="EY10" s="3"/>
      <c r="EZ10" s="3"/>
      <c r="FA10" s="3"/>
      <c r="FB10" s="3"/>
      <c r="FC10" s="3"/>
      <c r="FD10" s="3"/>
      <c r="FE10" s="3"/>
      <c r="FF10" s="2">
        <f t="shared" si="51"/>
        <v>10</v>
      </c>
      <c r="FG10" s="2">
        <f t="shared" si="28"/>
        <v>10</v>
      </c>
      <c r="FH10" s="2">
        <f t="shared" si="28"/>
        <v>10</v>
      </c>
      <c r="FI10" s="2">
        <f t="shared" si="28"/>
        <v>40</v>
      </c>
      <c r="FJ10" s="2">
        <f t="shared" si="28"/>
        <v>40</v>
      </c>
      <c r="FK10" s="2">
        <f t="shared" si="28"/>
        <v>40</v>
      </c>
      <c r="FL10" s="2">
        <f t="shared" si="28"/>
        <v>50</v>
      </c>
      <c r="FM10" s="2">
        <f t="shared" si="28"/>
        <v>20</v>
      </c>
      <c r="FN10" s="3"/>
      <c r="FO10" s="3"/>
      <c r="FP10" s="3"/>
      <c r="FQ10" s="3"/>
      <c r="FR10" s="3"/>
      <c r="FS10" s="3"/>
      <c r="FT10" s="3"/>
      <c r="FU10" s="3"/>
      <c r="FV10" s="2">
        <f t="shared" si="60"/>
        <v>10</v>
      </c>
      <c r="FW10" s="2">
        <f t="shared" si="30"/>
        <v>10</v>
      </c>
      <c r="FX10" s="2">
        <f t="shared" si="30"/>
        <v>10</v>
      </c>
      <c r="FY10" s="2">
        <f t="shared" si="30"/>
        <v>40</v>
      </c>
      <c r="FZ10" s="2">
        <f t="shared" si="30"/>
        <v>40</v>
      </c>
      <c r="GA10" s="2">
        <f t="shared" si="30"/>
        <v>40</v>
      </c>
      <c r="GB10" s="2">
        <f t="shared" si="30"/>
        <v>50</v>
      </c>
      <c r="GC10" s="2">
        <f t="shared" si="30"/>
        <v>20</v>
      </c>
      <c r="GD10" s="3"/>
      <c r="GE10" s="3"/>
      <c r="GF10" s="3"/>
      <c r="GG10" s="3"/>
      <c r="GH10" s="3"/>
      <c r="GI10" s="3"/>
      <c r="GJ10" s="3"/>
      <c r="GK10" s="3"/>
      <c r="GL10" s="2">
        <f>'Demand Stage 2'!AX9</f>
        <v>10</v>
      </c>
      <c r="GM10" s="2">
        <f>'Demand Stage 2'!AY9</f>
        <v>10</v>
      </c>
      <c r="GN10" s="2">
        <f>'Demand Stage 2'!AZ9</f>
        <v>10</v>
      </c>
      <c r="GO10" s="2">
        <f>'Demand Stage 2'!BA9</f>
        <v>40</v>
      </c>
      <c r="GP10" s="2">
        <f>'Demand Stage 2'!BB9</f>
        <v>40</v>
      </c>
      <c r="GQ10" s="2">
        <f>'Demand Stage 2'!BC9</f>
        <v>40</v>
      </c>
      <c r="GR10" s="2">
        <f>'Demand Stage 2'!BD9</f>
        <v>40</v>
      </c>
      <c r="GS10" s="2">
        <f>'Demand Stage 2'!BE9</f>
        <v>20</v>
      </c>
      <c r="GT10" s="3"/>
      <c r="GU10" s="3"/>
      <c r="GV10" s="3"/>
      <c r="GW10" s="3"/>
      <c r="GX10" s="3"/>
      <c r="GY10" s="3"/>
      <c r="GZ10" s="3"/>
      <c r="HA10" s="3"/>
      <c r="HB10" s="2">
        <f t="shared" si="75"/>
        <v>10</v>
      </c>
      <c r="HC10" s="2">
        <f t="shared" si="32"/>
        <v>10</v>
      </c>
      <c r="HD10" s="2">
        <f t="shared" si="32"/>
        <v>10</v>
      </c>
      <c r="HE10" s="2">
        <f t="shared" si="32"/>
        <v>40</v>
      </c>
      <c r="HF10" s="2">
        <f t="shared" si="32"/>
        <v>40</v>
      </c>
      <c r="HG10" s="2">
        <f t="shared" si="32"/>
        <v>40</v>
      </c>
      <c r="HH10" s="2">
        <f t="shared" si="32"/>
        <v>40</v>
      </c>
      <c r="HI10" s="2">
        <f t="shared" si="32"/>
        <v>20</v>
      </c>
      <c r="HJ10" s="3"/>
      <c r="HK10" s="3"/>
      <c r="HL10" s="3"/>
      <c r="HM10" s="3"/>
      <c r="HN10" s="3"/>
      <c r="HO10" s="3"/>
      <c r="HP10" s="3"/>
      <c r="HQ10" s="3"/>
      <c r="HR10" s="2">
        <f t="shared" si="70"/>
        <v>10</v>
      </c>
      <c r="HS10" s="2">
        <f t="shared" si="34"/>
        <v>10</v>
      </c>
      <c r="HT10" s="2">
        <f t="shared" si="34"/>
        <v>10</v>
      </c>
      <c r="HU10" s="2">
        <f t="shared" si="34"/>
        <v>40</v>
      </c>
      <c r="HV10" s="2">
        <f t="shared" si="34"/>
        <v>40</v>
      </c>
      <c r="HW10" s="2">
        <f t="shared" si="34"/>
        <v>40</v>
      </c>
      <c r="HX10" s="2">
        <f t="shared" si="34"/>
        <v>40</v>
      </c>
      <c r="HY10" s="2">
        <f t="shared" si="34"/>
        <v>20</v>
      </c>
      <c r="HZ10" s="3"/>
      <c r="IA10" s="3"/>
      <c r="IB10" s="3"/>
      <c r="IC10" s="3"/>
      <c r="ID10" s="3"/>
      <c r="IE10" s="3"/>
      <c r="IF10" s="3"/>
      <c r="IG10" s="3"/>
      <c r="IH10" s="2">
        <f t="shared" si="72"/>
        <v>10</v>
      </c>
      <c r="II10" s="2">
        <f t="shared" si="36"/>
        <v>10</v>
      </c>
      <c r="IJ10" s="2">
        <f t="shared" si="36"/>
        <v>10</v>
      </c>
      <c r="IK10" s="2">
        <f t="shared" si="36"/>
        <v>40</v>
      </c>
      <c r="IL10" s="2">
        <f t="shared" si="36"/>
        <v>40</v>
      </c>
      <c r="IM10" s="2">
        <f t="shared" si="36"/>
        <v>40</v>
      </c>
      <c r="IN10" s="2">
        <f t="shared" si="36"/>
        <v>40</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40</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40</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40</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40</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40</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40</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40</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40</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40</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40</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40</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40</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40</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40</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40</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40</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40</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40</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40</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40</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40</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40</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40</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40</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40</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40</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40</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40</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40</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40</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40</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40</v>
      </c>
      <c r="IN12" s="2">
        <f t="shared" si="36"/>
        <v>35</v>
      </c>
      <c r="IO12" s="2">
        <f t="shared" si="36"/>
        <v>20</v>
      </c>
      <c r="IP12" s="3"/>
      <c r="IQ12" s="3"/>
      <c r="IR12" s="3"/>
      <c r="IS12" s="3"/>
      <c r="IT12" s="3"/>
      <c r="IU12" s="3"/>
      <c r="IV12" s="3"/>
      <c r="IW12" s="3"/>
    </row>
    <row r="13" spans="1:257" x14ac:dyDescent="0.2">
      <c r="A13" s="1">
        <v>7</v>
      </c>
      <c r="B13" s="2">
        <f>'Demand Stage 2'!B12</f>
        <v>10</v>
      </c>
      <c r="C13" s="2">
        <f>'Demand Stage 2'!C12</f>
        <v>10</v>
      </c>
      <c r="D13" s="2">
        <f>'Demand Stage 2'!D12</f>
        <v>10</v>
      </c>
      <c r="E13" s="2">
        <f>'Demand Stage 2'!E12</f>
        <v>50</v>
      </c>
      <c r="F13" s="2">
        <f>'Demand Stage 2'!F12</f>
        <v>50</v>
      </c>
      <c r="G13" s="2">
        <f>'Demand Stage 2'!G12</f>
        <v>40</v>
      </c>
      <c r="H13" s="2">
        <f>'Demand Stage 2'!H12</f>
        <v>45</v>
      </c>
      <c r="I13" s="2">
        <f>'Demand Stage 2'!I12</f>
        <v>20</v>
      </c>
      <c r="J13" s="3"/>
      <c r="K13" s="3"/>
      <c r="L13" s="3"/>
      <c r="M13" s="3"/>
      <c r="N13" s="3"/>
      <c r="O13" s="3"/>
      <c r="P13" s="3"/>
      <c r="Q13" s="3"/>
      <c r="R13" s="2">
        <f>'Demand Stage 2'!B12</f>
        <v>10</v>
      </c>
      <c r="S13" s="2">
        <f>'Demand Stage 2'!C12</f>
        <v>10</v>
      </c>
      <c r="T13" s="2">
        <f>'Demand Stage 2'!D12</f>
        <v>10</v>
      </c>
      <c r="U13" s="2">
        <f>'Demand Stage 2'!E12</f>
        <v>50</v>
      </c>
      <c r="V13" s="2">
        <f>'Demand Stage 2'!F12</f>
        <v>50</v>
      </c>
      <c r="W13" s="2">
        <f>'Demand Stage 2'!G12</f>
        <v>40</v>
      </c>
      <c r="X13" s="2">
        <f>'Demand Stage 2'!H12</f>
        <v>45</v>
      </c>
      <c r="Y13" s="2">
        <f>'Demand Stage 2'!I12</f>
        <v>20</v>
      </c>
      <c r="Z13" s="3"/>
      <c r="AA13" s="3"/>
      <c r="AB13" s="3"/>
      <c r="AC13" s="3"/>
      <c r="AD13" s="3"/>
      <c r="AE13" s="3"/>
      <c r="AF13" s="3"/>
      <c r="AG13" s="3"/>
      <c r="AH13" s="2">
        <f>'Demand Stage 2'!B12</f>
        <v>10</v>
      </c>
      <c r="AI13" s="2">
        <f>'Demand Stage 2'!C12</f>
        <v>10</v>
      </c>
      <c r="AJ13" s="2">
        <f>'Demand Stage 2'!D12</f>
        <v>10</v>
      </c>
      <c r="AK13" s="2">
        <f>'Demand Stage 2'!E12</f>
        <v>50</v>
      </c>
      <c r="AL13" s="2">
        <f>'Demand Stage 2'!F12</f>
        <v>50</v>
      </c>
      <c r="AM13" s="2">
        <f>'Demand Stage 2'!G12</f>
        <v>40</v>
      </c>
      <c r="AN13" s="2">
        <f>'Demand Stage 2'!H12</f>
        <v>45</v>
      </c>
      <c r="AO13" s="2">
        <f>'Demand Stage 2'!I12</f>
        <v>20</v>
      </c>
      <c r="AP13" s="3"/>
      <c r="AQ13" s="3"/>
      <c r="AR13" s="3"/>
      <c r="AS13" s="3"/>
      <c r="AT13" s="3"/>
      <c r="AU13" s="3"/>
      <c r="AV13" s="3"/>
      <c r="AW13" s="3"/>
      <c r="AX13" s="2">
        <f>'Demand Stage 2'!B12</f>
        <v>10</v>
      </c>
      <c r="AY13" s="2">
        <f>'Demand Stage 2'!C12</f>
        <v>10</v>
      </c>
      <c r="AZ13" s="2">
        <f>'Demand Stage 2'!D12</f>
        <v>10</v>
      </c>
      <c r="BA13" s="2">
        <f>'Demand Stage 2'!E12</f>
        <v>50</v>
      </c>
      <c r="BB13" s="2">
        <f>'Demand Stage 2'!F12</f>
        <v>50</v>
      </c>
      <c r="BC13" s="2">
        <f>'Demand Stage 2'!G12</f>
        <v>40</v>
      </c>
      <c r="BD13" s="2">
        <f>'Demand Stage 2'!H12</f>
        <v>45</v>
      </c>
      <c r="BE13" s="2">
        <f>'Demand Stage 2'!I12</f>
        <v>20</v>
      </c>
      <c r="BF13" s="3"/>
      <c r="BG13" s="3"/>
      <c r="BH13" s="3"/>
      <c r="BI13" s="3"/>
      <c r="BJ13" s="3"/>
      <c r="BK13" s="3"/>
      <c r="BL13" s="3"/>
      <c r="BM13" s="3"/>
      <c r="BN13" s="2">
        <f>'Demand Stage 2'!R12</f>
        <v>10</v>
      </c>
      <c r="BO13" s="2">
        <f>'Demand Stage 2'!S12</f>
        <v>10</v>
      </c>
      <c r="BP13" s="2">
        <f>'Demand Stage 2'!T12</f>
        <v>10</v>
      </c>
      <c r="BQ13" s="2">
        <f>'Demand Stage 2'!U12</f>
        <v>50</v>
      </c>
      <c r="BR13" s="2">
        <f>'Demand Stage 2'!V12</f>
        <v>50</v>
      </c>
      <c r="BS13" s="2">
        <f>'Demand Stage 2'!W12</f>
        <v>40</v>
      </c>
      <c r="BT13" s="2">
        <f>'Demand Stage 2'!X12</f>
        <v>35</v>
      </c>
      <c r="BU13" s="2">
        <f>'Demand Stage 2'!Y12</f>
        <v>20</v>
      </c>
      <c r="BV13" s="3"/>
      <c r="BW13" s="3"/>
      <c r="BX13" s="3"/>
      <c r="BY13" s="3"/>
      <c r="BZ13" s="3"/>
      <c r="CA13" s="3"/>
      <c r="CB13" s="3"/>
      <c r="CC13" s="3"/>
      <c r="CD13" s="2">
        <f t="shared" si="38"/>
        <v>10</v>
      </c>
      <c r="CE13" s="2">
        <f t="shared" si="14"/>
        <v>10</v>
      </c>
      <c r="CF13" s="2">
        <f t="shared" si="14"/>
        <v>10</v>
      </c>
      <c r="CG13" s="2">
        <f t="shared" si="14"/>
        <v>50</v>
      </c>
      <c r="CH13" s="2">
        <f t="shared" si="14"/>
        <v>50</v>
      </c>
      <c r="CI13" s="2">
        <f t="shared" si="14"/>
        <v>40</v>
      </c>
      <c r="CJ13" s="2">
        <f t="shared" si="14"/>
        <v>35</v>
      </c>
      <c r="CK13" s="2">
        <f t="shared" si="14"/>
        <v>20</v>
      </c>
      <c r="CL13" s="3"/>
      <c r="CM13" s="3"/>
      <c r="CN13" s="3"/>
      <c r="CO13" s="3"/>
      <c r="CP13" s="3"/>
      <c r="CQ13" s="3"/>
      <c r="CR13" s="3"/>
      <c r="CS13" s="3"/>
      <c r="CT13" s="2">
        <f t="shared" si="74"/>
        <v>10</v>
      </c>
      <c r="CU13" s="2">
        <f t="shared" si="16"/>
        <v>10</v>
      </c>
      <c r="CV13" s="2">
        <f t="shared" si="16"/>
        <v>10</v>
      </c>
      <c r="CW13" s="2">
        <f t="shared" si="16"/>
        <v>50</v>
      </c>
      <c r="CX13" s="2">
        <f t="shared" si="16"/>
        <v>50</v>
      </c>
      <c r="CY13" s="2">
        <f t="shared" si="16"/>
        <v>40</v>
      </c>
      <c r="CZ13" s="2">
        <f>CJ13</f>
        <v>35</v>
      </c>
      <c r="DA13" s="2">
        <f t="shared" si="16"/>
        <v>20</v>
      </c>
      <c r="DB13" s="3"/>
      <c r="DC13" s="3"/>
      <c r="DD13" s="3"/>
      <c r="DE13" s="3"/>
      <c r="DF13" s="3"/>
      <c r="DG13" s="3"/>
      <c r="DH13" s="3"/>
      <c r="DI13" s="3"/>
      <c r="DJ13" s="2">
        <f t="shared" si="40"/>
        <v>10</v>
      </c>
      <c r="DK13" s="2">
        <f t="shared" si="24"/>
        <v>10</v>
      </c>
      <c r="DL13" s="2">
        <f t="shared" si="24"/>
        <v>10</v>
      </c>
      <c r="DM13" s="2">
        <f t="shared" si="24"/>
        <v>50</v>
      </c>
      <c r="DN13" s="2">
        <f t="shared" si="24"/>
        <v>50</v>
      </c>
      <c r="DO13" s="2">
        <f t="shared" si="24"/>
        <v>40</v>
      </c>
      <c r="DP13" s="2">
        <f t="shared" si="24"/>
        <v>35</v>
      </c>
      <c r="DQ13" s="2">
        <f t="shared" si="24"/>
        <v>20</v>
      </c>
      <c r="DR13" s="3"/>
      <c r="DS13" s="3"/>
      <c r="DT13" s="3"/>
      <c r="DU13" s="3"/>
      <c r="DV13" s="3"/>
      <c r="DW13" s="3"/>
      <c r="DX13" s="3"/>
      <c r="DY13" s="3"/>
      <c r="DZ13" s="2">
        <f>'Demand Stage 2'!AH12</f>
        <v>10</v>
      </c>
      <c r="EA13" s="2">
        <f>'Demand Stage 2'!AI12</f>
        <v>10</v>
      </c>
      <c r="EB13" s="2">
        <f>'Demand Stage 2'!AJ12</f>
        <v>10</v>
      </c>
      <c r="EC13" s="2">
        <f>'Demand Stage 2'!AK12</f>
        <v>40</v>
      </c>
      <c r="ED13" s="2">
        <f>'Demand Stage 2'!AL12</f>
        <v>40</v>
      </c>
      <c r="EE13" s="2">
        <f>'Demand Stage 2'!AM12</f>
        <v>40</v>
      </c>
      <c r="EF13" s="2">
        <f>'Demand Stage 2'!AN12</f>
        <v>45</v>
      </c>
      <c r="EG13" s="2">
        <f>'Demand Stage 2'!AO12</f>
        <v>20</v>
      </c>
      <c r="EH13" s="3"/>
      <c r="EI13" s="3"/>
      <c r="EJ13" s="3"/>
      <c r="EK13" s="3"/>
      <c r="EL13" s="3"/>
      <c r="EM13" s="3"/>
      <c r="EN13" s="3"/>
      <c r="EO13" s="3"/>
      <c r="EP13" s="2">
        <f t="shared" si="49"/>
        <v>10</v>
      </c>
      <c r="EQ13" s="2">
        <f t="shared" si="26"/>
        <v>10</v>
      </c>
      <c r="ER13" s="2">
        <f t="shared" si="26"/>
        <v>10</v>
      </c>
      <c r="ES13" s="2">
        <f t="shared" si="26"/>
        <v>40</v>
      </c>
      <c r="ET13" s="2">
        <f t="shared" si="26"/>
        <v>40</v>
      </c>
      <c r="EU13" s="2">
        <f t="shared" si="26"/>
        <v>40</v>
      </c>
      <c r="EV13" s="2">
        <f t="shared" si="26"/>
        <v>45</v>
      </c>
      <c r="EW13" s="2">
        <f t="shared" si="26"/>
        <v>20</v>
      </c>
      <c r="EX13" s="3"/>
      <c r="EY13" s="3"/>
      <c r="EZ13" s="3"/>
      <c r="FA13" s="3"/>
      <c r="FB13" s="3"/>
      <c r="FC13" s="3"/>
      <c r="FD13" s="3"/>
      <c r="FE13" s="3"/>
      <c r="FF13" s="2">
        <f t="shared" si="51"/>
        <v>10</v>
      </c>
      <c r="FG13" s="2">
        <f t="shared" si="28"/>
        <v>10</v>
      </c>
      <c r="FH13" s="2">
        <f t="shared" si="28"/>
        <v>10</v>
      </c>
      <c r="FI13" s="2">
        <f t="shared" si="28"/>
        <v>40</v>
      </c>
      <c r="FJ13" s="2">
        <f t="shared" si="28"/>
        <v>40</v>
      </c>
      <c r="FK13" s="2">
        <f t="shared" si="28"/>
        <v>40</v>
      </c>
      <c r="FL13" s="2">
        <f t="shared" si="28"/>
        <v>45</v>
      </c>
      <c r="FM13" s="2">
        <f t="shared" si="28"/>
        <v>20</v>
      </c>
      <c r="FN13" s="3"/>
      <c r="FO13" s="3"/>
      <c r="FP13" s="3"/>
      <c r="FQ13" s="3"/>
      <c r="FR13" s="3"/>
      <c r="FS13" s="3"/>
      <c r="FT13" s="3"/>
      <c r="FU13" s="3"/>
      <c r="FV13" s="2">
        <f t="shared" si="60"/>
        <v>10</v>
      </c>
      <c r="FW13" s="2">
        <f t="shared" si="30"/>
        <v>10</v>
      </c>
      <c r="FX13" s="2">
        <f t="shared" si="30"/>
        <v>10</v>
      </c>
      <c r="FY13" s="2">
        <f t="shared" si="30"/>
        <v>40</v>
      </c>
      <c r="FZ13" s="2">
        <f t="shared" si="30"/>
        <v>40</v>
      </c>
      <c r="GA13" s="2">
        <f t="shared" si="30"/>
        <v>40</v>
      </c>
      <c r="GB13" s="2">
        <f t="shared" si="30"/>
        <v>45</v>
      </c>
      <c r="GC13" s="2">
        <f t="shared" si="30"/>
        <v>20</v>
      </c>
      <c r="GD13" s="3"/>
      <c r="GE13" s="3"/>
      <c r="GF13" s="3"/>
      <c r="GG13" s="3"/>
      <c r="GH13" s="3"/>
      <c r="GI13" s="3"/>
      <c r="GJ13" s="3"/>
      <c r="GK13" s="3"/>
      <c r="GL13" s="2">
        <f>'Demand Stage 2'!AX12</f>
        <v>10</v>
      </c>
      <c r="GM13" s="2">
        <f>'Demand Stage 2'!AY12</f>
        <v>10</v>
      </c>
      <c r="GN13" s="2">
        <f>'Demand Stage 2'!AZ12</f>
        <v>10</v>
      </c>
      <c r="GO13" s="2">
        <f>'Demand Stage 2'!BA12</f>
        <v>40</v>
      </c>
      <c r="GP13" s="2">
        <f>'Demand Stage 2'!BB12</f>
        <v>40</v>
      </c>
      <c r="GQ13" s="2">
        <f>'Demand Stage 2'!BC12</f>
        <v>40</v>
      </c>
      <c r="GR13" s="2">
        <f>'Demand Stage 2'!BD12</f>
        <v>35</v>
      </c>
      <c r="GS13" s="2">
        <f>'Demand Stage 2'!BE12</f>
        <v>20</v>
      </c>
      <c r="GT13" s="3"/>
      <c r="GU13" s="3"/>
      <c r="GV13" s="3"/>
      <c r="GW13" s="3"/>
      <c r="GX13" s="3"/>
      <c r="GY13" s="3"/>
      <c r="GZ13" s="3"/>
      <c r="HA13" s="3"/>
      <c r="HB13" s="2">
        <f t="shared" si="75"/>
        <v>10</v>
      </c>
      <c r="HC13" s="2">
        <f t="shared" si="32"/>
        <v>10</v>
      </c>
      <c r="HD13" s="2">
        <f t="shared" si="32"/>
        <v>10</v>
      </c>
      <c r="HE13" s="2">
        <f t="shared" si="32"/>
        <v>40</v>
      </c>
      <c r="HF13" s="2">
        <f t="shared" si="32"/>
        <v>40</v>
      </c>
      <c r="HG13" s="2">
        <f t="shared" si="32"/>
        <v>40</v>
      </c>
      <c r="HH13" s="2">
        <f t="shared" si="32"/>
        <v>35</v>
      </c>
      <c r="HI13" s="2">
        <f t="shared" si="32"/>
        <v>20</v>
      </c>
      <c r="HJ13" s="3"/>
      <c r="HK13" s="3"/>
      <c r="HL13" s="3"/>
      <c r="HM13" s="3"/>
      <c r="HN13" s="3"/>
      <c r="HO13" s="3"/>
      <c r="HP13" s="3"/>
      <c r="HQ13" s="3"/>
      <c r="HR13" s="2">
        <f t="shared" si="70"/>
        <v>10</v>
      </c>
      <c r="HS13" s="2">
        <f t="shared" si="34"/>
        <v>10</v>
      </c>
      <c r="HT13" s="2">
        <f t="shared" si="34"/>
        <v>10</v>
      </c>
      <c r="HU13" s="2">
        <f t="shared" si="34"/>
        <v>40</v>
      </c>
      <c r="HV13" s="2">
        <f t="shared" si="34"/>
        <v>40</v>
      </c>
      <c r="HW13" s="2">
        <f t="shared" si="34"/>
        <v>40</v>
      </c>
      <c r="HX13" s="2">
        <f t="shared" si="34"/>
        <v>35</v>
      </c>
      <c r="HY13" s="2">
        <f t="shared" si="34"/>
        <v>20</v>
      </c>
      <c r="HZ13" s="3"/>
      <c r="IA13" s="3"/>
      <c r="IB13" s="3"/>
      <c r="IC13" s="3"/>
      <c r="ID13" s="3"/>
      <c r="IE13" s="3"/>
      <c r="IF13" s="3"/>
      <c r="IG13" s="3"/>
      <c r="IH13" s="2">
        <f t="shared" si="72"/>
        <v>10</v>
      </c>
      <c r="II13" s="2">
        <f t="shared" si="36"/>
        <v>10</v>
      </c>
      <c r="IJ13" s="2">
        <f t="shared" si="36"/>
        <v>10</v>
      </c>
      <c r="IK13" s="2">
        <f t="shared" si="36"/>
        <v>40</v>
      </c>
      <c r="IL13" s="2">
        <f t="shared" si="36"/>
        <v>40</v>
      </c>
      <c r="IM13" s="2">
        <f t="shared" si="36"/>
        <v>40</v>
      </c>
      <c r="IN13" s="2">
        <f t="shared" si="36"/>
        <v>35</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HB2:HQ2"/>
    <mergeCell ref="HR2:IG2"/>
    <mergeCell ref="IH2:IW2"/>
    <mergeCell ref="DZ2:EO2"/>
    <mergeCell ref="EP2:FE2"/>
    <mergeCell ref="FF2:FU2"/>
    <mergeCell ref="FV2:GK2"/>
    <mergeCell ref="GL2:HA2"/>
    <mergeCell ref="AX2:BM2"/>
    <mergeCell ref="BN2:CC2"/>
    <mergeCell ref="CD2:CS2"/>
    <mergeCell ref="CT2:DI2"/>
    <mergeCell ref="DJ2:DY2"/>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GL4:GS4"/>
    <mergeCell ref="GT4:HA4"/>
    <mergeCell ref="HB4:HI4"/>
    <mergeCell ref="HJ4:HQ4"/>
    <mergeCell ref="HR4:HY4"/>
    <mergeCell ref="EX4:FE4"/>
    <mergeCell ref="FF4:FM4"/>
    <mergeCell ref="FN4:FU4"/>
    <mergeCell ref="FV4:GC4"/>
    <mergeCell ref="GD4:GK4"/>
    <mergeCell ref="DJ4:DQ4"/>
    <mergeCell ref="DR4:DY4"/>
    <mergeCell ref="DZ4:EG4"/>
    <mergeCell ref="EH4:EO4"/>
    <mergeCell ref="EP4:EW4"/>
    <mergeCell ref="BV4:CC4"/>
    <mergeCell ref="CD4:CK4"/>
    <mergeCell ref="CL4:CS4"/>
    <mergeCell ref="CT4:DA4"/>
    <mergeCell ref="DB4:DI4"/>
    <mergeCell ref="AH4:AO4"/>
    <mergeCell ref="AP4:AW4"/>
    <mergeCell ref="AX4:BE4"/>
    <mergeCell ref="BF4:BM4"/>
    <mergeCell ref="BN4:BU4"/>
    <mergeCell ref="B1:Q1"/>
    <mergeCell ref="R1:AG1"/>
    <mergeCell ref="B2:Q2"/>
    <mergeCell ref="R2:AG2"/>
    <mergeCell ref="B4:I4"/>
    <mergeCell ref="J4:Q4"/>
    <mergeCell ref="R4:Y4"/>
    <mergeCell ref="Z4:AG4"/>
    <mergeCell ref="B3:Q3"/>
    <mergeCell ref="R3:A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I13" sqref="I13"/>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26</v>
      </c>
      <c r="C3">
        <v>26</v>
      </c>
      <c r="D3">
        <v>26</v>
      </c>
      <c r="E3">
        <v>28</v>
      </c>
      <c r="F3">
        <v>28</v>
      </c>
      <c r="G3">
        <v>29</v>
      </c>
      <c r="H3">
        <v>30</v>
      </c>
      <c r="I3">
        <v>30</v>
      </c>
      <c r="K3">
        <f t="shared" ref="K3:K9" si="0">AVERAGE(B3:I3)</f>
        <v>27.875</v>
      </c>
    </row>
    <row r="4" spans="1:11" x14ac:dyDescent="0.2">
      <c r="A4">
        <v>3</v>
      </c>
      <c r="B4">
        <v>26</v>
      </c>
      <c r="C4">
        <v>26</v>
      </c>
      <c r="D4">
        <v>26</v>
      </c>
      <c r="E4">
        <v>28</v>
      </c>
      <c r="F4">
        <v>28</v>
      </c>
      <c r="G4">
        <v>29</v>
      </c>
      <c r="H4">
        <v>30</v>
      </c>
      <c r="I4">
        <v>30</v>
      </c>
      <c r="K4">
        <f t="shared" si="0"/>
        <v>27.875</v>
      </c>
    </row>
    <row r="5" spans="1:11" x14ac:dyDescent="0.2">
      <c r="A5">
        <v>4</v>
      </c>
      <c r="B5">
        <v>26</v>
      </c>
      <c r="C5">
        <v>26</v>
      </c>
      <c r="D5">
        <v>26</v>
      </c>
      <c r="E5">
        <v>28</v>
      </c>
      <c r="F5">
        <v>28</v>
      </c>
      <c r="G5">
        <v>29</v>
      </c>
      <c r="H5">
        <v>30</v>
      </c>
      <c r="I5">
        <v>30</v>
      </c>
      <c r="K5">
        <f t="shared" si="0"/>
        <v>27.875</v>
      </c>
    </row>
    <row r="6" spans="1:11" x14ac:dyDescent="0.2">
      <c r="A6">
        <v>5</v>
      </c>
      <c r="B6">
        <v>28</v>
      </c>
      <c r="C6">
        <v>28</v>
      </c>
      <c r="D6">
        <v>28</v>
      </c>
      <c r="E6">
        <v>30</v>
      </c>
      <c r="F6">
        <v>30</v>
      </c>
      <c r="G6">
        <v>31</v>
      </c>
      <c r="H6">
        <v>32</v>
      </c>
      <c r="I6">
        <v>30</v>
      </c>
      <c r="K6">
        <f t="shared" si="0"/>
        <v>29.625</v>
      </c>
    </row>
    <row r="7" spans="1:11" x14ac:dyDescent="0.2">
      <c r="A7">
        <v>6</v>
      </c>
      <c r="B7">
        <v>27</v>
      </c>
      <c r="C7">
        <v>27</v>
      </c>
      <c r="D7">
        <v>27</v>
      </c>
      <c r="E7">
        <v>29</v>
      </c>
      <c r="F7">
        <v>29</v>
      </c>
      <c r="G7">
        <v>30</v>
      </c>
      <c r="H7">
        <v>31</v>
      </c>
      <c r="I7">
        <v>30</v>
      </c>
      <c r="K7">
        <f t="shared" si="0"/>
        <v>28.75</v>
      </c>
    </row>
    <row r="8" spans="1:11" x14ac:dyDescent="0.2">
      <c r="A8">
        <v>7</v>
      </c>
      <c r="B8">
        <v>27</v>
      </c>
      <c r="C8">
        <v>27</v>
      </c>
      <c r="D8">
        <v>27</v>
      </c>
      <c r="E8">
        <v>29</v>
      </c>
      <c r="F8">
        <v>29</v>
      </c>
      <c r="G8">
        <v>30</v>
      </c>
      <c r="H8">
        <v>31</v>
      </c>
      <c r="I8">
        <v>30</v>
      </c>
      <c r="K8">
        <f t="shared" si="0"/>
        <v>28.75</v>
      </c>
    </row>
    <row r="9" spans="1:11" x14ac:dyDescent="0.2">
      <c r="A9">
        <v>8</v>
      </c>
      <c r="B9">
        <v>29</v>
      </c>
      <c r="C9">
        <v>29</v>
      </c>
      <c r="D9">
        <v>29</v>
      </c>
      <c r="E9">
        <v>31</v>
      </c>
      <c r="F9">
        <v>31</v>
      </c>
      <c r="G9">
        <v>32</v>
      </c>
      <c r="H9">
        <v>33</v>
      </c>
      <c r="I9">
        <v>30</v>
      </c>
      <c r="K9">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4"/>
  <sheetViews>
    <sheetView zoomScale="180" zoomScaleNormal="180" workbookViewId="0">
      <selection activeCell="B14" sqref="B14"/>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row r="12" spans="1:2" x14ac:dyDescent="0.2">
      <c r="A12" s="8" t="s">
        <v>342</v>
      </c>
      <c r="B12">
        <v>1</v>
      </c>
    </row>
    <row r="13" spans="1:2" x14ac:dyDescent="0.2">
      <c r="A13" s="8" t="s">
        <v>343</v>
      </c>
      <c r="B13">
        <v>1.1000000000000001</v>
      </c>
    </row>
    <row r="14" spans="1:2" x14ac:dyDescent="0.2">
      <c r="A14" s="8" t="s">
        <v>344</v>
      </c>
      <c r="B14">
        <v>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Q62"/>
  <sheetViews>
    <sheetView topLeftCell="A25" zoomScale="160" zoomScaleNormal="160" workbookViewId="0">
      <selection activeCell="F35" sqref="F35"/>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7"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row>
    <row r="2" spans="1:17"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v>1E-3</v>
      </c>
      <c r="N2" s="3">
        <v>1E-3</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row>
    <row r="3" spans="1:17" x14ac:dyDescent="0.2">
      <c r="A3" s="1">
        <v>2</v>
      </c>
      <c r="B3" s="19" t="s">
        <v>137</v>
      </c>
      <c r="C3" s="19" t="s">
        <v>133</v>
      </c>
      <c r="D3" s="19" t="s">
        <v>134</v>
      </c>
      <c r="E3" s="19" t="s">
        <v>138</v>
      </c>
      <c r="F3" s="19" t="s">
        <v>80</v>
      </c>
      <c r="G3" s="19" t="s">
        <v>79</v>
      </c>
      <c r="H3" s="1" t="str">
        <f t="shared" ref="H3:H62"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v>1E-3</v>
      </c>
      <c r="N3" s="3">
        <v>1E-3</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row>
    <row r="4" spans="1:17"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v>1E-3</v>
      </c>
      <c r="N4" s="3">
        <v>1E-3</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row>
    <row r="5" spans="1:17"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v>1E-3</v>
      </c>
      <c r="N5" s="3">
        <v>1E-3</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row>
    <row r="6" spans="1:17"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v>1E-3</v>
      </c>
      <c r="N6" s="3">
        <v>1E-3</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row>
    <row r="7" spans="1:17"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v>1E-3</v>
      </c>
      <c r="N7" s="3">
        <v>1E-3</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row>
    <row r="8" spans="1:17"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v>1E-3</v>
      </c>
      <c r="N8" s="3">
        <v>1E-3</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row>
    <row r="9" spans="1:17"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42">
        <v>54.2</v>
      </c>
      <c r="J9" s="1" t="str">
        <f t="shared" si="0"/>
        <v/>
      </c>
      <c r="K9" s="1">
        <f>INDEX(Nodes!$A:$A,MATCH(Arcs!F9,Nodes!$B:$B,0))</f>
        <v>15</v>
      </c>
      <c r="L9" s="1">
        <f>INDEX(Nodes!$A:$A,MATCH(Arcs!G9,Nodes!$B:$B,0))</f>
        <v>17</v>
      </c>
      <c r="M9" s="2">
        <v>1E-3</v>
      </c>
      <c r="N9" s="3">
        <v>1E-3</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row>
    <row r="10" spans="1:17"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v>1E-3</v>
      </c>
      <c r="N10" s="3">
        <v>1E-3</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row>
    <row r="11" spans="1:17"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v>1E-3</v>
      </c>
      <c r="N11" s="3">
        <v>1E-3</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row>
    <row r="12" spans="1:17"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v>1E-3</v>
      </c>
      <c r="N12" s="3">
        <v>1E-3</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row>
    <row r="13" spans="1:17"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v>1E-3</v>
      </c>
      <c r="N13" s="3">
        <v>1E-3</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row>
    <row r="14" spans="1:17"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v>1E-3</v>
      </c>
      <c r="N14" s="3">
        <v>1E-3</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row>
    <row r="15" spans="1:17"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v>1E-3</v>
      </c>
      <c r="N15" s="3">
        <v>1E-3</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row>
    <row r="16" spans="1:17"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v>1E-3</v>
      </c>
      <c r="N16" s="3">
        <v>1E-3</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row>
    <row r="17" spans="1:17"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v>1E-3</v>
      </c>
      <c r="N17" s="3">
        <v>1E-3</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row>
    <row r="18" spans="1:17"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v>1E-3</v>
      </c>
      <c r="N18" s="3">
        <v>1E-3</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row>
    <row r="19" spans="1:17"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v>1E-3</v>
      </c>
      <c r="N19" s="3">
        <v>1E-3</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row>
    <row r="20" spans="1:17"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v>1E-3</v>
      </c>
      <c r="N20" s="3">
        <v>1E-3</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row>
    <row r="21" spans="1:17"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v>1E-3</v>
      </c>
      <c r="N21" s="3">
        <v>1E-3</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row>
    <row r="22" spans="1:17"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v>1E-3</v>
      </c>
      <c r="N22" s="3">
        <v>1E-3</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row>
    <row r="23" spans="1:17"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v>1E-3</v>
      </c>
      <c r="N23" s="3">
        <v>1E-3</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row>
    <row r="24" spans="1:17"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v>1E-3</v>
      </c>
      <c r="N24" s="3">
        <v>1E-3</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row>
    <row r="25" spans="1:17"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v>1E-3</v>
      </c>
      <c r="N25" s="3">
        <v>1E-3</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row>
    <row r="26" spans="1:17"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42">
        <v>42.2</v>
      </c>
      <c r="J26" s="1" t="str">
        <f t="shared" si="0"/>
        <v/>
      </c>
      <c r="K26" s="1">
        <f>INDEX(Nodes!$A:$A,MATCH(Arcs!F26,Nodes!$B:$B,0))</f>
        <v>51</v>
      </c>
      <c r="L26" s="1">
        <f>INDEX(Nodes!$A:$A,MATCH(Arcs!G26,Nodes!$B:$B,0))</f>
        <v>59</v>
      </c>
      <c r="M26" s="2">
        <v>1E-3</v>
      </c>
      <c r="N26" s="3">
        <v>1E-3</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row>
    <row r="27" spans="1:17"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42">
        <v>42.2</v>
      </c>
      <c r="J27" s="1" t="str">
        <f t="shared" si="0"/>
        <v/>
      </c>
      <c r="K27" s="1">
        <f>INDEX(Nodes!$A:$A,MATCH(Arcs!F27,Nodes!$B:$B,0))</f>
        <v>59</v>
      </c>
      <c r="L27" s="1">
        <f>INDEX(Nodes!$A:$A,MATCH(Arcs!G27,Nodes!$B:$B,0))</f>
        <v>58</v>
      </c>
      <c r="M27" s="2">
        <v>1E-3</v>
      </c>
      <c r="N27" s="3">
        <v>1E-3</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row>
    <row r="28" spans="1:17"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v>1E-3</v>
      </c>
      <c r="N28" s="3">
        <v>1E-3</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row>
    <row r="29" spans="1:17"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v>1E-3</v>
      </c>
      <c r="N29" s="3">
        <v>1E-3</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row>
    <row r="30" spans="1:17"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v>1E-3</v>
      </c>
      <c r="N30" s="3">
        <v>1E-3</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row>
    <row r="31" spans="1:17"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v>1E-3</v>
      </c>
      <c r="N31" s="3">
        <v>1E-3</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row>
    <row r="32" spans="1:17"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v>1E-3</v>
      </c>
      <c r="N32" s="3">
        <v>1E-3</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row>
    <row r="33" spans="1:17"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v>1E-3</v>
      </c>
      <c r="N33" s="3">
        <v>1E-3</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row>
    <row r="34" spans="1:17"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v>1E-3</v>
      </c>
      <c r="N34" s="3">
        <v>1E-3</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row>
    <row r="35" spans="1:17"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v>1E-3</v>
      </c>
      <c r="N35" s="3">
        <v>1E-3</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row>
    <row r="36" spans="1:17"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v>1E-3</v>
      </c>
      <c r="N36" s="3">
        <v>1E-3</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row>
    <row r="37" spans="1:17"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v>1E-3</v>
      </c>
      <c r="N37" s="3">
        <v>1E-3</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row>
    <row r="38" spans="1:17"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v>1E-3</v>
      </c>
      <c r="N38" s="3">
        <v>1E-3</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row>
    <row r="39" spans="1:17"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v>1E-3</v>
      </c>
      <c r="N39" s="3">
        <v>1E-3</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row>
    <row r="40" spans="1:17"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v>1E-3</v>
      </c>
      <c r="N40" s="3">
        <v>1E-3</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row>
    <row r="41" spans="1:17"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v>1E-3</v>
      </c>
      <c r="N41" s="3">
        <v>1E-3</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row>
    <row r="42" spans="1:17"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v>1E-3</v>
      </c>
      <c r="N42" s="3">
        <v>1E-3</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row>
    <row r="43" spans="1:17"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v>1E-3</v>
      </c>
      <c r="N43" s="3">
        <v>1E-3</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row>
    <row r="44" spans="1:17"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v>1E-3</v>
      </c>
      <c r="N44" s="3">
        <v>1E-3</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row>
    <row r="45" spans="1:17"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v>1E-3</v>
      </c>
      <c r="N45" s="3">
        <v>1E-3</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row>
    <row r="46" spans="1:17"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v>1E-3</v>
      </c>
      <c r="N46" s="3">
        <v>1E-3</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row>
    <row r="47" spans="1:17"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2">IF(I47=100,"Capacity unknown","")</f>
        <v/>
      </c>
      <c r="K47" s="1">
        <f>INDEX(Nodes!$A:$A,MATCH(Arcs!F47,Nodes!$B:$B,0))</f>
        <v>40</v>
      </c>
      <c r="L47" s="1">
        <f>INDEX(Nodes!$A:$A,MATCH(Arcs!G47,Nodes!$B:$B,0))</f>
        <v>52</v>
      </c>
      <c r="M47" s="2">
        <v>1E-3</v>
      </c>
      <c r="N47" s="3">
        <v>1E-3</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row>
    <row r="48" spans="1:17" x14ac:dyDescent="0.2">
      <c r="A48" s="1">
        <v>47</v>
      </c>
      <c r="B48" s="31" t="s">
        <v>220</v>
      </c>
      <c r="F48" s="32" t="s">
        <v>123</v>
      </c>
      <c r="G48" s="32" t="s">
        <v>124</v>
      </c>
      <c r="H48" s="1" t="str">
        <f t="shared" si="1"/>
        <v>LINESTRING(8.4073 55.745,8.85905 55.681,9.3108 55.617)</v>
      </c>
      <c r="I48" s="33">
        <v>1000</v>
      </c>
      <c r="J48" s="30" t="str">
        <f t="shared" si="2"/>
        <v/>
      </c>
      <c r="K48" s="1">
        <f>INDEX(Nodes!$A:$A,MATCH(Arcs!F48,Nodes!$B:$B,0))</f>
        <v>9</v>
      </c>
      <c r="L48" s="1">
        <f>INDEX(Nodes!$A:$A,MATCH(Arcs!G48,Nodes!$B:$B,0))</f>
        <v>10</v>
      </c>
      <c r="M48" s="2">
        <v>1E-3</v>
      </c>
      <c r="N48" s="3">
        <v>1E-3</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row>
    <row r="49" spans="1:17" x14ac:dyDescent="0.2">
      <c r="A49" s="1">
        <v>48</v>
      </c>
      <c r="B49" s="31" t="s">
        <v>221</v>
      </c>
      <c r="F49" s="20" t="s">
        <v>125</v>
      </c>
      <c r="G49" s="20" t="s">
        <v>126</v>
      </c>
      <c r="H49" s="1" t="str">
        <f t="shared" si="1"/>
        <v>LINESTRING(10.7951 55.287,11.00265 55.338,11.2102 55.389)</v>
      </c>
      <c r="I49" s="33">
        <v>1000</v>
      </c>
      <c r="J49" s="30" t="str">
        <f t="shared" si="2"/>
        <v/>
      </c>
      <c r="K49" s="1">
        <f>INDEX(Nodes!$A:$A,MATCH(Arcs!F49,Nodes!$B:$B,0))</f>
        <v>11</v>
      </c>
      <c r="L49" s="1">
        <f>INDEX(Nodes!$A:$A,MATCH(Arcs!G49,Nodes!$B:$B,0))</f>
        <v>12</v>
      </c>
      <c r="M49" s="2">
        <v>1E-3</v>
      </c>
      <c r="N49" s="3">
        <v>1E-3</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row>
    <row r="50" spans="1:17"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2"/>
        <v/>
      </c>
      <c r="K50" s="1">
        <f>INDEX(Nodes!$A:$A,MATCH(Arcs!F50,Nodes!$B:$B,0))</f>
        <v>16</v>
      </c>
      <c r="L50" s="1">
        <f>INDEX(Nodes!$A:$A,MATCH(Arcs!G50,Nodes!$B:$B,0))</f>
        <v>15</v>
      </c>
      <c r="M50" s="2">
        <v>1E-3</v>
      </c>
      <c r="N50" s="3">
        <v>1E-3</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row>
    <row r="51" spans="1:17"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2"/>
        <v/>
      </c>
      <c r="K51" s="1">
        <f>INDEX(Nodes!$A:$A,MATCH(Arcs!F51,Nodes!$B:$B,0))</f>
        <v>50</v>
      </c>
      <c r="L51" s="1">
        <f>INDEX(Nodes!$A:$A,MATCH(Arcs!G51,Nodes!$B:$B,0))</f>
        <v>51</v>
      </c>
      <c r="M51" s="2">
        <v>1E-3</v>
      </c>
      <c r="N51" s="3">
        <v>1E-3</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row>
    <row r="52" spans="1:17" x14ac:dyDescent="0.2">
      <c r="A52" s="1">
        <v>51</v>
      </c>
      <c r="B52" s="31" t="s">
        <v>318</v>
      </c>
      <c r="F52" s="32" t="s">
        <v>110</v>
      </c>
      <c r="G52" s="32" t="s">
        <v>111</v>
      </c>
      <c r="H52" s="1" t="str">
        <f t="shared" si="1"/>
        <v>LINESTRING(3.23 56.55,3.28025150000001 56.5201845,3.33050300000002 56.490369)</v>
      </c>
      <c r="I52" s="33">
        <v>1000</v>
      </c>
      <c r="J52" s="30" t="str">
        <f t="shared" si="2"/>
        <v/>
      </c>
      <c r="K52" s="1">
        <f>INDEX(Nodes!$A:$A,MATCH(Arcs!F52,Nodes!$B:$B,0))</f>
        <v>20</v>
      </c>
      <c r="L52" s="1">
        <f>INDEX(Nodes!$A:$A,MATCH(Arcs!G52,Nodes!$B:$B,0))</f>
        <v>43</v>
      </c>
      <c r="M52" s="2">
        <v>1E-3</v>
      </c>
      <c r="N52" s="3">
        <v>1E-3</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row>
    <row r="53" spans="1:17"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2"/>
        <v/>
      </c>
      <c r="K53" s="1">
        <f>INDEX(Nodes!$A:$A,MATCH(Arcs!F53,Nodes!$B:$B,0))</f>
        <v>14</v>
      </c>
      <c r="L53" s="1">
        <f>INDEX(Nodes!$A:$A,MATCH(Arcs!G53,Nodes!$B:$B,0))</f>
        <v>13</v>
      </c>
      <c r="M53" s="2">
        <v>1E-3</v>
      </c>
      <c r="N53" s="3">
        <v>1E-3</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row>
    <row r="54" spans="1:17"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2"/>
        <v/>
      </c>
      <c r="K54" s="1">
        <f>INDEX(Nodes!$A:$A,MATCH(Arcs!F54,Nodes!$B:$B,0))</f>
        <v>24</v>
      </c>
      <c r="L54" s="1">
        <f>INDEX(Nodes!$A:$A,MATCH(Arcs!G54,Nodes!$B:$B,0))</f>
        <v>40</v>
      </c>
      <c r="M54" s="2">
        <v>1E-3</v>
      </c>
      <c r="N54" s="3">
        <v>1E-3</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row>
    <row r="55" spans="1:17"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2"/>
        <v/>
      </c>
      <c r="K55" s="1">
        <f>INDEX(Nodes!$A:$A,MATCH(Arcs!F55,Nodes!$B:$B,0))</f>
        <v>3</v>
      </c>
      <c r="L55" s="1">
        <f>INDEX(Nodes!$A:$A,MATCH(Arcs!G55,Nodes!$B:$B,0))</f>
        <v>2</v>
      </c>
      <c r="M55" s="2">
        <v>1E-3</v>
      </c>
      <c r="N55" s="3">
        <v>1E-3</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row>
    <row r="56" spans="1:17"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3">IF(I56=100,"Capacity unknown","")</f>
        <v/>
      </c>
      <c r="K56" s="1">
        <f>INDEX(Nodes!$A:$A,MATCH(Arcs!F56,Nodes!$B:$B,0))</f>
        <v>7</v>
      </c>
      <c r="L56" s="1">
        <f>INDEX(Nodes!$A:$A,MATCH(Arcs!G56,Nodes!$B:$B,0))</f>
        <v>46</v>
      </c>
      <c r="M56" s="2">
        <v>1E-3</v>
      </c>
      <c r="N56" s="3">
        <v>1E-3</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row>
    <row r="57" spans="1:17"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3"/>
        <v/>
      </c>
      <c r="K57" s="1">
        <f>INDEX(Nodes!$A:$A,MATCH(Arcs!F57,Nodes!$B:$B,0))</f>
        <v>14</v>
      </c>
      <c r="L57" s="1">
        <f>INDEX(Nodes!$A:$A,MATCH(Arcs!G57,Nodes!$B:$B,0))</f>
        <v>2</v>
      </c>
      <c r="M57" s="2">
        <v>1E-3</v>
      </c>
      <c r="N57" s="3">
        <v>1E-3</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row>
    <row r="58" spans="1:17" x14ac:dyDescent="0.2">
      <c r="A58" s="1">
        <v>57</v>
      </c>
      <c r="B58" s="31" t="s">
        <v>327</v>
      </c>
      <c r="F58" s="32" t="s">
        <v>103</v>
      </c>
      <c r="G58" t="s">
        <v>99</v>
      </c>
      <c r="H58" s="1" t="str">
        <f t="shared" si="1"/>
        <v>LINESTRING(2.25414983173741 58.8394056753501,3.65416291586873 59.0831068376751,5.05417600000004 59.326808)</v>
      </c>
      <c r="I58" s="33">
        <v>1000</v>
      </c>
      <c r="J58" s="30" t="str">
        <f t="shared" si="3"/>
        <v/>
      </c>
      <c r="K58" s="1">
        <f>INDEX(Nodes!$A:$A,MATCH(Arcs!F58,Nodes!$B:$B,0))</f>
        <v>48</v>
      </c>
      <c r="L58" s="1">
        <f>INDEX(Nodes!$A:$A,MATCH(Arcs!G58,Nodes!$B:$B,0))</f>
        <v>34</v>
      </c>
      <c r="M58" s="2">
        <v>1E-3</v>
      </c>
      <c r="N58" s="3">
        <v>1E-3</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row>
    <row r="59" spans="1:17"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3"/>
        <v/>
      </c>
      <c r="K59" s="1">
        <f>INDEX(Nodes!$A:$A,MATCH(Arcs!F59,Nodes!$B:$B,0))</f>
        <v>35</v>
      </c>
      <c r="L59" s="1">
        <f>INDEX(Nodes!$A:$A,MATCH(Arcs!G59,Nodes!$B:$B,0))</f>
        <v>36</v>
      </c>
      <c r="M59" s="2">
        <v>1E-3</v>
      </c>
      <c r="N59" s="3">
        <v>1E-3</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row>
    <row r="60" spans="1:17"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3"/>
        <v/>
      </c>
      <c r="K60" s="1">
        <f>INDEX(Nodes!$A:$A,MATCH(Arcs!F60,Nodes!$B:$B,0))</f>
        <v>42</v>
      </c>
      <c r="L60" s="1">
        <f>INDEX(Nodes!$A:$A,MATCH(Arcs!G60,Nodes!$B:$B,0))</f>
        <v>2</v>
      </c>
      <c r="M60" s="2">
        <v>1E-3</v>
      </c>
      <c r="N60" s="3">
        <v>1E-3</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row>
    <row r="61" spans="1:17"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4">IF(I61=100,"Capacity unknown","")</f>
        <v/>
      </c>
      <c r="K61" s="1">
        <f>INDEX(Nodes!$A:$A,MATCH(Arcs!F61,Nodes!$B:$B,0))</f>
        <v>39</v>
      </c>
      <c r="L61" s="1">
        <f>INDEX(Nodes!$A:$A,MATCH(Arcs!G61,Nodes!$B:$B,0))</f>
        <v>33</v>
      </c>
      <c r="M61" s="2">
        <v>1E-3</v>
      </c>
      <c r="N61" s="3">
        <v>1E-3</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row>
    <row r="62" spans="1:17" x14ac:dyDescent="0.2">
      <c r="A62" s="1">
        <v>61</v>
      </c>
      <c r="B62" s="31" t="s">
        <v>341</v>
      </c>
      <c r="F62" s="19" t="s">
        <v>189</v>
      </c>
      <c r="G62" s="52" t="s">
        <v>88</v>
      </c>
      <c r="H62" s="1" t="str">
        <f t="shared" si="1"/>
        <v>LINESTRING(3.90498979266736 61.3301937762874,2.80258945333371 61.1761061046437,1.70018911400007 61.022018433)</v>
      </c>
      <c r="I62" s="42">
        <v>18.2</v>
      </c>
      <c r="K62" s="1">
        <f>INDEX(Nodes!$A:$A,MATCH(Arcs!F62,Nodes!$B:$B,0))</f>
        <v>27</v>
      </c>
      <c r="L62" s="1">
        <f>INDEX(Nodes!$A:$A,MATCH(Arcs!G62,Nodes!$B:$B,0))</f>
        <v>24</v>
      </c>
      <c r="M62" s="2">
        <v>1E-3</v>
      </c>
      <c r="N62" s="3">
        <v>1E-3</v>
      </c>
      <c r="O62" t="str" cm="1">
        <f t="array" ref="O62">SUBSTITUTE(INDEX(Nodes!$A$3:$E$64,Arcs!K62,4) &amp; " " &amp; INDEX(Nodes!$A$3:$E$64,Arcs!K62,5), ",",".")</f>
        <v>3.90498979266736 61.3301937762874</v>
      </c>
      <c r="P62" t="str" cm="1">
        <f t="array" ref="P62">SUBSTITUTE(INDEX(Nodes!$A$3:$E$64,Arcs!L62,4) &amp; " " &amp; INDEX(Nodes!$A$3:$E$64,Arcs!L62,5), ",",".")</f>
        <v>1.70018911400007 61.022018433</v>
      </c>
      <c r="Q62" t="str">
        <f>SUBSTITUTE(AVERAGE(INDEX(Nodes!$A$3:$E$64,Arcs!K62,4), INDEX(Nodes!$A$3:$E$64,Arcs!L62,4)) &amp; " " &amp; AVERAGE(INDEX(Nodes!$A$3:$E$64,Arcs!K62,5), INDEX(Nodes!$A$3:$E$64,Arcs!L62,5)), ",", ".")</f>
        <v>2.80258945333371 61.1761061046437</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20"/>
  <sheetViews>
    <sheetView zoomScale="200" zoomScaleNormal="200" workbookViewId="0">
      <selection activeCell="D5" sqref="D5"/>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76</v>
      </c>
      <c r="C2" t="s">
        <v>110</v>
      </c>
      <c r="D2" s="26" t="s">
        <v>74</v>
      </c>
      <c r="E2" s="26" t="s">
        <v>98</v>
      </c>
      <c r="F2" s="51" t="s">
        <v>188</v>
      </c>
      <c r="G2" s="51" t="s">
        <v>75</v>
      </c>
      <c r="H2" s="51" t="s">
        <v>89</v>
      </c>
    </row>
    <row r="3" spans="1:8" x14ac:dyDescent="0.2">
      <c r="D3" s="26" t="s">
        <v>101</v>
      </c>
      <c r="H3" s="26"/>
    </row>
    <row r="4" spans="1:8" x14ac:dyDescent="0.2">
      <c r="D4" s="26" t="s">
        <v>77</v>
      </c>
    </row>
    <row r="5" spans="1:8" x14ac:dyDescent="0.2">
      <c r="B5" s="13"/>
      <c r="D5" s="1" t="s">
        <v>99</v>
      </c>
    </row>
    <row r="6" spans="1:8" x14ac:dyDescent="0.2">
      <c r="D6" s="26" t="s">
        <v>186</v>
      </c>
    </row>
    <row r="7" spans="1:8" x14ac:dyDescent="0.2">
      <c r="D7" s="26" t="s">
        <v>95</v>
      </c>
    </row>
    <row r="8" spans="1:8" x14ac:dyDescent="0.2">
      <c r="D8" s="26" t="s">
        <v>94</v>
      </c>
    </row>
    <row r="9" spans="1:8" x14ac:dyDescent="0.2">
      <c r="D9" s="26" t="s">
        <v>104</v>
      </c>
    </row>
    <row r="10" spans="1:8" x14ac:dyDescent="0.2">
      <c r="D10" s="26" t="s">
        <v>85</v>
      </c>
    </row>
    <row r="11" spans="1:8" x14ac:dyDescent="0.2">
      <c r="D11" s="26" t="s">
        <v>90</v>
      </c>
    </row>
    <row r="12" spans="1:8" x14ac:dyDescent="0.2">
      <c r="D12" s="26" t="s">
        <v>105</v>
      </c>
    </row>
    <row r="13" spans="1:8" x14ac:dyDescent="0.2">
      <c r="D13" s="51" t="s">
        <v>108</v>
      </c>
    </row>
    <row r="15" spans="1:8" x14ac:dyDescent="0.2">
      <c r="A15" cm="1">
        <f t="array" ref="A15">SUM(IF(ISNUMBER(VLOOKUP(A2:A13,Nodes!$B$3:$I$61,8)),VLOOKUP(A2:A13,Nodes!$B$3:$I$61,8)))</f>
        <v>32.633767123287676</v>
      </c>
      <c r="B15" cm="1">
        <f t="array" ref="B15">SUM(IF(ISNUMBER(VLOOKUP(B2:B13,Nodes!$B$3:$I$61,8)),VLOOKUP(B2:B13,Nodes!$B$3:$I$61,8)))</f>
        <v>8.8860904109589036</v>
      </c>
      <c r="C15" cm="1">
        <f t="array" ref="C15">SUM(IF(ISNUMBER(VLOOKUP(C2:C13,Nodes!$B$3:$I$61,8)),VLOOKUP(C2:C13,Nodes!$B$3:$I$61,8)))</f>
        <v>3.8482712328767121</v>
      </c>
      <c r="D15" cm="1">
        <f t="array" ref="D15">SUM(IF(ISNUMBER(VLOOKUP(D2:D13,Nodes!$B$3:$I$61,8)),VLOOKUP(D2:D13,Nodes!$B$3:$I$61,8)))</f>
        <v>242.49738630136986</v>
      </c>
      <c r="E15" cm="1">
        <f t="array" ref="E15">SUM(IF(ISNUMBER(VLOOKUP(E2:E13,Nodes!$B$3:$I$61,8)),VLOOKUP(E2:E13,Nodes!$B$3:$I$61,8)))</f>
        <v>4.0645178082191773</v>
      </c>
      <c r="F15" s="41" cm="1">
        <f t="array" ref="F15">SUM(IF(ISNUMBER(VLOOKUP(F2:F13,Nodes!$B$3:$I$61,8)),VLOOKUP(F2:F13,Nodes!$B$3:$I$61,8)))</f>
        <v>10.738131506849314</v>
      </c>
      <c r="G15" s="41" cm="1">
        <f t="array" ref="G15">SUM(IF(ISNUMBER(VLOOKUP(G2:G13,Nodes!$B$3:$I$61,8)),VLOOKUP(G2:G13,Nodes!$B$3:$I$61,8)))</f>
        <v>1.5822602739726026</v>
      </c>
      <c r="H15" s="41" cm="1">
        <f t="array" ref="H15">SUM(IF(ISNUMBER(VLOOKUP(H2:H13,Nodes!$B$3:$I$61,8)),VLOOKUP(H2:H13,Nodes!$B$3:$I$61,8)))</f>
        <v>0.35852054794520549</v>
      </c>
    </row>
    <row r="17" spans="8:8" x14ac:dyDescent="0.2">
      <c r="H17" s="26" t="s">
        <v>337</v>
      </c>
    </row>
    <row r="18" spans="8:8" x14ac:dyDescent="0.2">
      <c r="H18" t="s">
        <v>338</v>
      </c>
    </row>
    <row r="19" spans="8:8" x14ac:dyDescent="0.2">
      <c r="H19" t="s">
        <v>339</v>
      </c>
    </row>
    <row r="20" spans="8:8" x14ac:dyDescent="0.2">
      <c r="H20"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zoomScale="200" zoomScaleNormal="200" workbookViewId="0">
      <selection activeCell="F8" sqref="F8"/>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f>0</f>
        <v>0</v>
      </c>
      <c r="C2">
        <v>0.4</v>
      </c>
      <c r="D2">
        <v>0</v>
      </c>
      <c r="E2">
        <v>0</v>
      </c>
      <c r="F2">
        <v>0</v>
      </c>
      <c r="G2">
        <f>12.5/40</f>
        <v>0.3125</v>
      </c>
      <c r="H2">
        <f>12.5/40</f>
        <v>0.3125</v>
      </c>
      <c r="I2">
        <v>0</v>
      </c>
      <c r="K2">
        <f>HLOOKUP(A2,Traders!$A$1:$H$15,15,)</f>
        <v>32.633767123287676</v>
      </c>
      <c r="L2" cm="1">
        <f t="array" ref="L2">SUM(B2:I2*MAX('Demand Stage 1'!$B$5:$I$12))</f>
        <v>46.125</v>
      </c>
    </row>
    <row r="3" spans="1:12" x14ac:dyDescent="0.2">
      <c r="A3" t="s">
        <v>177</v>
      </c>
      <c r="B3">
        <v>0</v>
      </c>
      <c r="C3">
        <v>0</v>
      </c>
      <c r="D3">
        <v>0</v>
      </c>
      <c r="E3">
        <v>0</v>
      </c>
      <c r="F3">
        <f>2.5/45</f>
        <v>5.5555555555555552E-2</v>
      </c>
      <c r="G3">
        <v>0</v>
      </c>
      <c r="H3">
        <v>0</v>
      </c>
      <c r="I3">
        <v>0.2</v>
      </c>
      <c r="K3">
        <f>HLOOKUP(A3,Traders!$A$1:$H$15,15,)</f>
        <v>8.8860904109589036</v>
      </c>
      <c r="L3" cm="1">
        <f t="array" ref="L3">SUM(B3:I3*MAX('Demand Stage 1'!$B$5:$I$12))</f>
        <v>11.5</v>
      </c>
    </row>
    <row r="4" spans="1:12" x14ac:dyDescent="0.2">
      <c r="A4" t="s">
        <v>210</v>
      </c>
      <c r="B4">
        <v>0</v>
      </c>
      <c r="C4">
        <v>0</v>
      </c>
      <c r="D4">
        <v>0</v>
      </c>
      <c r="E4">
        <f>3.5/45</f>
        <v>7.7777777777777779E-2</v>
      </c>
      <c r="F4">
        <v>0</v>
      </c>
      <c r="G4">
        <v>0</v>
      </c>
      <c r="H4">
        <v>0</v>
      </c>
      <c r="I4">
        <v>0</v>
      </c>
      <c r="K4">
        <f>HLOOKUP(A4,Traders!$A$1:$H$15,15,)</f>
        <v>3.8482712328767121</v>
      </c>
      <c r="L4" cm="1">
        <f t="array" ref="L4">SUM(B4:I4*MAX('Demand Stage 1'!$B$5:$I$12))</f>
        <v>3.5</v>
      </c>
    </row>
    <row r="5" spans="1:12" x14ac:dyDescent="0.2">
      <c r="A5" t="s">
        <v>163</v>
      </c>
      <c r="B5">
        <v>0.4</v>
      </c>
      <c r="C5">
        <v>0.6</v>
      </c>
      <c r="D5">
        <v>1</v>
      </c>
      <c r="E5">
        <f>8/9</f>
        <v>0.88888888888888884</v>
      </c>
      <c r="F5">
        <f>8/9</f>
        <v>0.88888888888888884</v>
      </c>
      <c r="G5">
        <v>0.6875</v>
      </c>
      <c r="H5">
        <v>0.6875</v>
      </c>
      <c r="I5">
        <v>0.8</v>
      </c>
      <c r="K5">
        <f>HLOOKUP(A5,Traders!$A$1:$H$15,15,)</f>
        <v>242.49738630136986</v>
      </c>
      <c r="L5" cm="1">
        <f t="array" ref="L5">SUM(B5:I5*MAX('Demand Stage 1'!$B$5:$I$12))</f>
        <v>267.875</v>
      </c>
    </row>
    <row r="6" spans="1:12" x14ac:dyDescent="0.2">
      <c r="A6" t="s">
        <v>211</v>
      </c>
      <c r="B6">
        <v>0</v>
      </c>
      <c r="C6">
        <v>0</v>
      </c>
      <c r="D6">
        <v>0</v>
      </c>
      <c r="E6">
        <f>1.5/45</f>
        <v>3.3333333333333333E-2</v>
      </c>
      <c r="F6">
        <f>1.5/45</f>
        <v>3.3333333333333333E-2</v>
      </c>
      <c r="G6">
        <v>0</v>
      </c>
      <c r="H6">
        <v>0</v>
      </c>
      <c r="I6">
        <v>0</v>
      </c>
      <c r="K6">
        <f>HLOOKUP(A6,Traders!$A$1:$H$15,15,)</f>
        <v>4.0645178082191773</v>
      </c>
      <c r="L6" cm="1">
        <f t="array" ref="L6">SUM(B6:I6*MAX('Demand Stage 1'!$B$5:$I$12))</f>
        <v>3</v>
      </c>
    </row>
    <row r="7" spans="1:12" x14ac:dyDescent="0.2">
      <c r="A7" t="s">
        <v>212</v>
      </c>
      <c r="B7">
        <v>0.57499999999999996</v>
      </c>
      <c r="C7">
        <v>0</v>
      </c>
      <c r="D7">
        <v>0</v>
      </c>
      <c r="E7">
        <v>0</v>
      </c>
      <c r="F7">
        <v>0</v>
      </c>
      <c r="G7">
        <v>0</v>
      </c>
      <c r="H7">
        <v>0</v>
      </c>
      <c r="I7">
        <v>0</v>
      </c>
      <c r="K7">
        <f>HLOOKUP(A7,Traders!$A$1:$H$15,15,)</f>
        <v>10.738131506849314</v>
      </c>
      <c r="L7" cm="1">
        <f t="array" ref="L7">SUM(B7:I7*MAX('Demand Stage 1'!$B$5:$I$12))</f>
        <v>25.874999999999996</v>
      </c>
    </row>
    <row r="8" spans="1:12" x14ac:dyDescent="0.2">
      <c r="A8" t="s">
        <v>214</v>
      </c>
      <c r="B8">
        <v>0</v>
      </c>
      <c r="C8">
        <v>0</v>
      </c>
      <c r="D8">
        <v>0</v>
      </c>
      <c r="E8">
        <v>0</v>
      </c>
      <c r="F8">
        <f>1/45</f>
        <v>2.2222222222222223E-2</v>
      </c>
      <c r="G8">
        <v>0</v>
      </c>
      <c r="H8">
        <v>0</v>
      </c>
      <c r="I8">
        <v>0</v>
      </c>
      <c r="K8">
        <f>HLOOKUP(A8,Traders!$A$1:$H$15,15,)</f>
        <v>1.5822602739726026</v>
      </c>
      <c r="L8" cm="1">
        <f t="array" ref="L8">SUM(B8:I8*MAX('Demand Stage 1'!$B$5:$I$12))</f>
        <v>1</v>
      </c>
    </row>
    <row r="9" spans="1:12" ht="17" thickBot="1" x14ac:dyDescent="0.25">
      <c r="A9" s="40" t="s">
        <v>213</v>
      </c>
      <c r="B9">
        <v>2.5000000000000001E-2</v>
      </c>
      <c r="C9">
        <v>0</v>
      </c>
      <c r="D9">
        <v>0</v>
      </c>
      <c r="E9">
        <v>0</v>
      </c>
      <c r="F9">
        <v>0</v>
      </c>
      <c r="G9">
        <v>0</v>
      </c>
      <c r="H9">
        <v>0</v>
      </c>
      <c r="I9">
        <v>0</v>
      </c>
      <c r="J9" s="40"/>
      <c r="K9">
        <f>HLOOKUP(A9,Traders!$A$1:$H$15,15,)</f>
        <v>0.35852054794520549</v>
      </c>
      <c r="L9" s="40" cm="1">
        <f t="array" ref="L9">SUM(B9:I9*MAX('Demand Stage 1'!$B$5:$I$12))</f>
        <v>1.125</v>
      </c>
    </row>
    <row r="10" spans="1:12" ht="17" thickTop="1" x14ac:dyDescent="0.2">
      <c r="A10" s="8" t="s">
        <v>308</v>
      </c>
      <c r="B10">
        <f>SUM(B2:B9)</f>
        <v>1</v>
      </c>
      <c r="C10">
        <f t="shared" ref="C10:I10" si="0">SUM(C2:C9)</f>
        <v>1</v>
      </c>
      <c r="D10">
        <f t="shared" si="0"/>
        <v>1</v>
      </c>
      <c r="E10">
        <f>SUM(E2:E9)</f>
        <v>0.99999999999999989</v>
      </c>
      <c r="F10">
        <f>SUM(F2:F9)</f>
        <v>1</v>
      </c>
      <c r="G10">
        <f t="shared" si="0"/>
        <v>1</v>
      </c>
      <c r="H10">
        <f t="shared" si="0"/>
        <v>1</v>
      </c>
      <c r="I10">
        <f t="shared" si="0"/>
        <v>1</v>
      </c>
      <c r="L10" cm="1">
        <f t="array" ref="L10">SUM(B10:I10*MAX('Demand Stage 1'!$B$5:$I$12))</f>
        <v>360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D9" sqref="D9"/>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2"/>
  <sheetViews>
    <sheetView tabSelected="1" workbookViewId="0">
      <selection activeCell="A3" sqref="A3"/>
    </sheetView>
  </sheetViews>
  <sheetFormatPr baseColWidth="10" defaultRowHeight="16" x14ac:dyDescent="0.2"/>
  <cols>
    <col min="1" max="1" width="21.5" bestFit="1" customWidth="1"/>
  </cols>
  <sheetData>
    <row r="1" spans="1:3" x14ac:dyDescent="0.2">
      <c r="A1" t="s">
        <v>99</v>
      </c>
      <c r="B1" s="55" t="s">
        <v>85</v>
      </c>
      <c r="C1" s="8" t="s">
        <v>26</v>
      </c>
    </row>
    <row r="2" spans="1:3" x14ac:dyDescent="0.2">
      <c r="A2">
        <v>0</v>
      </c>
      <c r="B2">
        <v>0</v>
      </c>
      <c r="C2">
        <v>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24"/>
  <sheetViews>
    <sheetView workbookViewId="0">
      <selection activeCell="H16" sqref="A16:H16"/>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row r="15" spans="1:14" x14ac:dyDescent="0.2">
      <c r="A15" s="8" t="s">
        <v>109</v>
      </c>
      <c r="B15" s="8" t="s">
        <v>119</v>
      </c>
      <c r="C15" s="8" t="s">
        <v>115</v>
      </c>
      <c r="D15" s="8" t="s">
        <v>120</v>
      </c>
      <c r="E15" s="8" t="s">
        <v>334</v>
      </c>
      <c r="F15" s="8" t="s">
        <v>121</v>
      </c>
      <c r="G15" s="8" t="s">
        <v>122</v>
      </c>
      <c r="H15" s="8" t="s">
        <v>117</v>
      </c>
    </row>
    <row r="16" spans="1:14" x14ac:dyDescent="0.2">
      <c r="A16">
        <f>0</f>
        <v>0</v>
      </c>
      <c r="B16">
        <v>0.4</v>
      </c>
      <c r="C16">
        <v>0</v>
      </c>
      <c r="D16">
        <v>0</v>
      </c>
      <c r="E16">
        <f>4/45</f>
        <v>8.8888888888888892E-2</v>
      </c>
      <c r="F16">
        <f>8/40</f>
        <v>0.2</v>
      </c>
      <c r="G16">
        <f>0.1</f>
        <v>0.1</v>
      </c>
      <c r="H16">
        <v>0.6</v>
      </c>
    </row>
    <row r="17" spans="1:8" x14ac:dyDescent="0.2">
      <c r="A17">
        <v>0</v>
      </c>
      <c r="B17">
        <v>0</v>
      </c>
      <c r="C17">
        <v>0</v>
      </c>
      <c r="D17">
        <v>0</v>
      </c>
      <c r="E17">
        <f>4/45</f>
        <v>8.8888888888888892E-2</v>
      </c>
      <c r="F17">
        <v>0</v>
      </c>
      <c r="G17">
        <v>0</v>
      </c>
      <c r="H17">
        <v>0.05</v>
      </c>
    </row>
    <row r="18" spans="1:8" x14ac:dyDescent="0.2">
      <c r="A18">
        <v>0</v>
      </c>
      <c r="B18">
        <v>0</v>
      </c>
      <c r="C18">
        <v>0</v>
      </c>
      <c r="D18">
        <f>3.5/45</f>
        <v>7.7777777777777779E-2</v>
      </c>
      <c r="E18">
        <v>0</v>
      </c>
      <c r="F18">
        <v>0</v>
      </c>
      <c r="G18">
        <v>0</v>
      </c>
      <c r="H18">
        <v>0</v>
      </c>
    </row>
    <row r="19" spans="1:8" x14ac:dyDescent="0.2">
      <c r="A19">
        <v>0.8</v>
      </c>
      <c r="B19">
        <v>0.57499999999999996</v>
      </c>
      <c r="C19">
        <v>1</v>
      </c>
      <c r="D19">
        <f>40/45</f>
        <v>0.88888888888888884</v>
      </c>
      <c r="E19">
        <f>33/45</f>
        <v>0.73333333333333328</v>
      </c>
      <c r="F19">
        <f>28/40</f>
        <v>0.7</v>
      </c>
      <c r="G19">
        <v>0.9</v>
      </c>
      <c r="H19">
        <v>0.35</v>
      </c>
    </row>
    <row r="20" spans="1:8" x14ac:dyDescent="0.2">
      <c r="A20">
        <v>0</v>
      </c>
      <c r="B20">
        <v>0</v>
      </c>
      <c r="C20">
        <v>0</v>
      </c>
      <c r="D20">
        <f>0.5/45</f>
        <v>1.1111111111111112E-2</v>
      </c>
      <c r="E20">
        <f>1.5/45</f>
        <v>3.3333333333333333E-2</v>
      </c>
      <c r="F20">
        <f>1/40</f>
        <v>2.5000000000000001E-2</v>
      </c>
      <c r="G20">
        <v>0</v>
      </c>
      <c r="H20">
        <v>0</v>
      </c>
    </row>
    <row r="21" spans="1:8" x14ac:dyDescent="0.2">
      <c r="A21">
        <v>0.2</v>
      </c>
      <c r="B21">
        <v>0</v>
      </c>
      <c r="C21">
        <v>0</v>
      </c>
      <c r="D21">
        <f>1/45</f>
        <v>2.2222222222222223E-2</v>
      </c>
      <c r="E21">
        <f>2.5/45</f>
        <v>5.5555555555555552E-2</v>
      </c>
      <c r="F21">
        <f>3/40</f>
        <v>7.4999999999999997E-2</v>
      </c>
      <c r="G21">
        <v>0</v>
      </c>
      <c r="H21">
        <v>0</v>
      </c>
    </row>
    <row r="22" spans="1:8" x14ac:dyDescent="0.2">
      <c r="A22">
        <v>0</v>
      </c>
      <c r="B22">
        <v>0</v>
      </c>
      <c r="C22">
        <v>0</v>
      </c>
      <c r="D22">
        <v>0</v>
      </c>
      <c r="E22">
        <v>0</v>
      </c>
      <c r="F22">
        <v>0</v>
      </c>
      <c r="G22">
        <v>0</v>
      </c>
      <c r="H22">
        <v>0</v>
      </c>
    </row>
    <row r="23" spans="1:8" x14ac:dyDescent="0.2">
      <c r="A23">
        <v>0</v>
      </c>
      <c r="B23">
        <v>2.5000000000000001E-2</v>
      </c>
      <c r="C23">
        <v>0</v>
      </c>
      <c r="D23">
        <v>0</v>
      </c>
      <c r="E23">
        <v>0</v>
      </c>
      <c r="F23">
        <v>0</v>
      </c>
      <c r="G23">
        <v>0</v>
      </c>
      <c r="H23">
        <v>0</v>
      </c>
    </row>
    <row r="24" spans="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17</vt:i4>
      </vt:variant>
    </vt:vector>
  </HeadingPairs>
  <TitlesOfParts>
    <vt:vector size="17"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2025-04-04T07:58:35Z</dcterms:modified>
</cp:coreProperties>
</file>