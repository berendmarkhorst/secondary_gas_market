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OneScenario/"/>
    </mc:Choice>
  </mc:AlternateContent>
  <xr:revisionPtr revIDLastSave="0" documentId="13_ncr:1_{90EBA460-F72E-AA40-A6FF-6444BAE854D7}" xr6:coauthVersionLast="47" xr6:coauthVersionMax="47" xr10:uidLastSave="{00000000-0000-0000-0000-000000000000}"/>
  <bookViews>
    <workbookView xWindow="0" yWindow="500" windowWidth="51200" windowHeight="28300" firstSheet="1" activeTab="9"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HydrogenUncertainty" sheetId="18" r:id="rId15"/>
    <sheet name="ProductionCapacities" sheetId="15" r:id="rId16"/>
    <sheet name="Extra" sheetId="17" r:id="rId17"/>
  </sheets>
  <definedNames>
    <definedName name="_xlnm._FilterDatabase" localSheetId="9" hidden="1">Arcs!$A$1:$N$54</definedName>
    <definedName name="_xlnm._FilterDatabase" localSheetId="2" hidden="1">Nodes!$A$2:$AI$61</definedName>
    <definedName name="_xlnm._FilterDatabase" localSheetId="15" hidden="1">ProductionCapacities!$A$1:$H$51</definedName>
    <definedName name="solver_adj" localSheetId="11" hidden="1">TraderPercentages!$B$2:$I$9</definedName>
    <definedName name="solver_cvg" localSheetId="11" hidden="1">0.0001</definedName>
    <definedName name="solver_drv" localSheetId="11" hidden="1">1</definedName>
    <definedName name="solver_eng" localSheetId="11" hidden="1">1</definedName>
    <definedName name="solver_itr" localSheetId="11" hidden="1">2147483647</definedName>
    <definedName name="solver_lhs1" localSheetId="11" hidden="1">TraderPercentages!$D$2:$D$4</definedName>
    <definedName name="solver_lhs2" localSheetId="11" hidden="1">TraderPercentages!$D$6:$D$9</definedName>
    <definedName name="solver_lhs3" localSheetId="11" hidden="1">TraderPercentages!$L$2:$L$9</definedName>
    <definedName name="solver_lin" localSheetId="11" hidden="1">2</definedName>
    <definedName name="solver_mip" localSheetId="11" hidden="1">2147483647</definedName>
    <definedName name="solver_mni" localSheetId="11" hidden="1">30</definedName>
    <definedName name="solver_mrt" localSheetId="11" hidden="1">0.075</definedName>
    <definedName name="solver_msl" localSheetId="11" hidden="1">2</definedName>
    <definedName name="solver_neg" localSheetId="11" hidden="1">1</definedName>
    <definedName name="solver_nod" localSheetId="11" hidden="1">2147483647</definedName>
    <definedName name="solver_num" localSheetId="11" hidden="1">3</definedName>
    <definedName name="solver_opt" localSheetId="11" hidden="1">TraderPercentages!$L$10</definedName>
    <definedName name="solver_pre" localSheetId="11" hidden="1">0.000001</definedName>
    <definedName name="solver_rbv" localSheetId="11" hidden="1">1</definedName>
    <definedName name="solver_rel1" localSheetId="11" hidden="1">2</definedName>
    <definedName name="solver_rel2" localSheetId="11" hidden="1">2</definedName>
    <definedName name="solver_rel3" localSheetId="11" hidden="1">1</definedName>
    <definedName name="solver_rhs1" localSheetId="11" hidden="1">0</definedName>
    <definedName name="solver_rhs2" localSheetId="11" hidden="1">0</definedName>
    <definedName name="solver_rhs3" localSheetId="11" hidden="1">TraderPercentages!$K$2:$K$9</definedName>
    <definedName name="solver_rlx" localSheetId="11" hidden="1">1</definedName>
    <definedName name="solver_rsd" localSheetId="11" hidden="1">0</definedName>
    <definedName name="solver_scl" localSheetId="11" hidden="1">2</definedName>
    <definedName name="solver_sho" localSheetId="11" hidden="1">2</definedName>
    <definedName name="solver_ssz" localSheetId="11" hidden="1">100</definedName>
    <definedName name="solver_tim" localSheetId="11" hidden="1">2147483647</definedName>
    <definedName name="solver_tol" localSheetId="11" hidden="1">0.01</definedName>
    <definedName name="solver_typ" localSheetId="11" hidden="1">1</definedName>
    <definedName name="solver_val" localSheetId="11" hidden="1">0</definedName>
    <definedName name="solver_ver" localSheetId="1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3" i="2" l="1"/>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3" i="2"/>
  <c r="O4" i="2"/>
  <c r="O5" i="2"/>
  <c r="O6" i="2"/>
  <c r="O7" i="2"/>
  <c r="O8" i="2"/>
  <c r="O9" i="2"/>
  <c r="O10" i="2"/>
  <c r="AC10" i="2" s="1"/>
  <c r="O11" i="2"/>
  <c r="AC11" i="2" s="1"/>
  <c r="O12" i="2"/>
  <c r="O13" i="2"/>
  <c r="O14" i="2"/>
  <c r="O15" i="2"/>
  <c r="O16" i="2"/>
  <c r="O17" i="2"/>
  <c r="AC17" i="2" s="1"/>
  <c r="O18" i="2"/>
  <c r="AC18" i="2" s="1"/>
  <c r="O19" i="2"/>
  <c r="AC19" i="2" s="1"/>
  <c r="O20" i="2"/>
  <c r="O21" i="2"/>
  <c r="O22" i="2"/>
  <c r="O23" i="2"/>
  <c r="O24" i="2"/>
  <c r="AC24" i="2" s="1"/>
  <c r="O25" i="2"/>
  <c r="O26" i="2"/>
  <c r="AC26" i="2" s="1"/>
  <c r="O27" i="2"/>
  <c r="AC27" i="2" s="1"/>
  <c r="O28" i="2"/>
  <c r="O29" i="2"/>
  <c r="O30" i="2"/>
  <c r="O31" i="2"/>
  <c r="AC31" i="2" s="1"/>
  <c r="O32" i="2"/>
  <c r="AC32" i="2" s="1"/>
  <c r="O33" i="2"/>
  <c r="AC33" i="2" s="1"/>
  <c r="O34" i="2"/>
  <c r="O35" i="2"/>
  <c r="AC35" i="2" s="1"/>
  <c r="O36" i="2"/>
  <c r="O37" i="2"/>
  <c r="O38" i="2"/>
  <c r="O39" i="2"/>
  <c r="O40" i="2"/>
  <c r="O41" i="2"/>
  <c r="O42" i="2"/>
  <c r="AC42" i="2" s="1"/>
  <c r="O43" i="2"/>
  <c r="AC43" i="2" s="1"/>
  <c r="O44" i="2"/>
  <c r="O45" i="2"/>
  <c r="O46" i="2"/>
  <c r="O47" i="2"/>
  <c r="O48" i="2"/>
  <c r="O49" i="2"/>
  <c r="O50" i="2"/>
  <c r="AC50" i="2" s="1"/>
  <c r="O51" i="2"/>
  <c r="AC51" i="2" s="1"/>
  <c r="O52" i="2"/>
  <c r="O53" i="2"/>
  <c r="O54" i="2"/>
  <c r="O55" i="2"/>
  <c r="AC55" i="2" s="1"/>
  <c r="O56" i="2"/>
  <c r="AC56" i="2" s="1"/>
  <c r="O57" i="2"/>
  <c r="AC57" i="2" s="1"/>
  <c r="O58" i="2"/>
  <c r="AC58" i="2" s="1"/>
  <c r="O59" i="2"/>
  <c r="AC59" i="2" s="1"/>
  <c r="O60" i="2"/>
  <c r="O61" i="2"/>
  <c r="O3" i="2"/>
  <c r="AC15" i="2"/>
  <c r="AC21" i="2"/>
  <c r="AC45" i="2"/>
  <c r="AC48" i="2"/>
  <c r="AC3" i="2"/>
  <c r="AC9" i="2"/>
  <c r="AC38" i="2"/>
  <c r="AC39" i="2"/>
  <c r="AC46" i="2"/>
  <c r="AC47" i="2"/>
  <c r="AC49" i="2"/>
  <c r="AC54" i="2"/>
  <c r="G2" i="16"/>
  <c r="H2" i="16"/>
  <c r="F3" i="16"/>
  <c r="E4" i="16"/>
  <c r="E5" i="16"/>
  <c r="F5" i="16"/>
  <c r="E6" i="16"/>
  <c r="F6" i="16"/>
  <c r="F8" i="16"/>
  <c r="C10" i="16"/>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B2" i="16"/>
  <c r="AC8" i="2"/>
  <c r="AC2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3" i="2"/>
  <c r="AC4" i="2"/>
  <c r="AD4" i="2"/>
  <c r="AE4" i="2"/>
  <c r="AF4" i="2"/>
  <c r="AG4" i="2"/>
  <c r="AH4" i="2"/>
  <c r="AI4" i="2"/>
  <c r="AC5" i="2"/>
  <c r="AD5" i="2"/>
  <c r="AE5" i="2"/>
  <c r="AF5" i="2"/>
  <c r="AG5" i="2"/>
  <c r="AH5" i="2"/>
  <c r="AI5" i="2"/>
  <c r="AC6" i="2"/>
  <c r="AD6" i="2"/>
  <c r="AE6" i="2"/>
  <c r="AF6" i="2"/>
  <c r="AG6" i="2"/>
  <c r="AH6" i="2"/>
  <c r="AI6" i="2"/>
  <c r="AC7" i="2"/>
  <c r="AD7" i="2"/>
  <c r="AE7" i="2"/>
  <c r="AF7" i="2"/>
  <c r="AG7" i="2"/>
  <c r="AH7" i="2"/>
  <c r="AI7" i="2"/>
  <c r="AD8" i="2"/>
  <c r="AE8" i="2"/>
  <c r="AF8" i="2"/>
  <c r="AG8" i="2"/>
  <c r="AH8" i="2"/>
  <c r="AI8" i="2"/>
  <c r="AD9" i="2"/>
  <c r="AE9" i="2"/>
  <c r="AF9" i="2"/>
  <c r="AG9" i="2"/>
  <c r="AH9" i="2"/>
  <c r="AI9" i="2"/>
  <c r="AD10" i="2"/>
  <c r="AE10" i="2"/>
  <c r="AF10" i="2"/>
  <c r="AG10" i="2"/>
  <c r="AH10" i="2"/>
  <c r="AI10" i="2"/>
  <c r="AD11" i="2"/>
  <c r="AE11" i="2"/>
  <c r="AF11" i="2"/>
  <c r="AG11" i="2"/>
  <c r="AH11" i="2"/>
  <c r="AI11" i="2"/>
  <c r="AC12" i="2"/>
  <c r="AD12" i="2"/>
  <c r="AE12" i="2"/>
  <c r="AF12" i="2"/>
  <c r="AG12" i="2"/>
  <c r="AH12" i="2"/>
  <c r="AI12" i="2"/>
  <c r="AC13" i="2"/>
  <c r="AD13" i="2"/>
  <c r="AE13" i="2"/>
  <c r="AF13" i="2"/>
  <c r="AG13" i="2"/>
  <c r="AH13" i="2"/>
  <c r="AI13" i="2"/>
  <c r="AC14" i="2"/>
  <c r="AD14" i="2"/>
  <c r="AE14" i="2"/>
  <c r="AF14" i="2"/>
  <c r="AG14" i="2"/>
  <c r="AH14" i="2"/>
  <c r="AI14" i="2"/>
  <c r="AD15" i="2"/>
  <c r="AE15" i="2"/>
  <c r="AF15" i="2"/>
  <c r="AG15" i="2"/>
  <c r="AH15" i="2"/>
  <c r="AI15" i="2"/>
  <c r="AC16" i="2"/>
  <c r="AD16" i="2"/>
  <c r="AE16" i="2"/>
  <c r="AF16" i="2"/>
  <c r="AG16" i="2"/>
  <c r="AH16" i="2"/>
  <c r="AI16" i="2"/>
  <c r="AD17" i="2"/>
  <c r="AE17" i="2"/>
  <c r="AF17" i="2"/>
  <c r="AG17" i="2"/>
  <c r="AH17" i="2"/>
  <c r="AI17" i="2"/>
  <c r="AD18" i="2"/>
  <c r="AE18" i="2"/>
  <c r="AF18" i="2"/>
  <c r="AG18" i="2"/>
  <c r="AH18" i="2"/>
  <c r="AI18" i="2"/>
  <c r="AD19" i="2"/>
  <c r="AE19" i="2"/>
  <c r="AF19" i="2"/>
  <c r="AG19" i="2"/>
  <c r="AH19" i="2"/>
  <c r="AI19" i="2"/>
  <c r="AC20" i="2"/>
  <c r="AD20" i="2"/>
  <c r="AE20" i="2"/>
  <c r="AF20" i="2"/>
  <c r="AG20" i="2"/>
  <c r="AH20" i="2"/>
  <c r="AI20" i="2"/>
  <c r="AD21" i="2"/>
  <c r="AE21" i="2"/>
  <c r="AF21" i="2"/>
  <c r="AG21" i="2"/>
  <c r="AH21" i="2"/>
  <c r="AI21" i="2"/>
  <c r="AC22" i="2"/>
  <c r="AD22" i="2"/>
  <c r="AE22" i="2"/>
  <c r="AF22" i="2"/>
  <c r="AG22" i="2"/>
  <c r="AH22" i="2"/>
  <c r="AI22" i="2"/>
  <c r="AD23" i="2"/>
  <c r="AE23" i="2"/>
  <c r="AF23" i="2"/>
  <c r="AG23" i="2"/>
  <c r="AH23" i="2"/>
  <c r="AI23" i="2"/>
  <c r="AD24" i="2"/>
  <c r="AE24" i="2"/>
  <c r="AF24" i="2"/>
  <c r="AG24" i="2"/>
  <c r="AH24" i="2"/>
  <c r="AI24" i="2"/>
  <c r="AC25" i="2"/>
  <c r="AD25" i="2"/>
  <c r="AE25" i="2"/>
  <c r="AF25" i="2"/>
  <c r="AG25" i="2"/>
  <c r="AH25" i="2"/>
  <c r="AI25" i="2"/>
  <c r="AD26" i="2"/>
  <c r="AE26" i="2"/>
  <c r="AF26" i="2"/>
  <c r="AG26" i="2"/>
  <c r="AH26" i="2"/>
  <c r="AI26" i="2"/>
  <c r="AD27" i="2"/>
  <c r="AE27" i="2"/>
  <c r="AF27" i="2"/>
  <c r="AG27" i="2"/>
  <c r="AH27" i="2"/>
  <c r="AI27" i="2"/>
  <c r="AC28" i="2"/>
  <c r="AD28" i="2"/>
  <c r="AE28" i="2"/>
  <c r="AF28" i="2"/>
  <c r="AG28" i="2"/>
  <c r="AH28" i="2"/>
  <c r="AI28" i="2"/>
  <c r="AC29" i="2"/>
  <c r="AD29" i="2"/>
  <c r="AE29" i="2"/>
  <c r="AF29" i="2"/>
  <c r="AG29" i="2"/>
  <c r="AH29" i="2"/>
  <c r="AI29" i="2"/>
  <c r="AC30" i="2"/>
  <c r="AD30" i="2"/>
  <c r="AE30" i="2"/>
  <c r="AF30" i="2"/>
  <c r="AG30" i="2"/>
  <c r="AH30" i="2"/>
  <c r="AI30" i="2"/>
  <c r="AD31" i="2"/>
  <c r="AE31" i="2"/>
  <c r="AF31" i="2"/>
  <c r="AG31" i="2"/>
  <c r="AH31" i="2"/>
  <c r="AI31" i="2"/>
  <c r="AD32" i="2"/>
  <c r="AE32" i="2"/>
  <c r="AF32" i="2"/>
  <c r="AG32" i="2"/>
  <c r="AH32" i="2"/>
  <c r="AI32" i="2"/>
  <c r="AD33" i="2"/>
  <c r="AE33" i="2"/>
  <c r="AF33" i="2"/>
  <c r="AG33" i="2"/>
  <c r="AH33" i="2"/>
  <c r="AI33" i="2"/>
  <c r="AC34" i="2"/>
  <c r="AD34" i="2"/>
  <c r="AE34" i="2"/>
  <c r="AF34" i="2"/>
  <c r="AG34" i="2"/>
  <c r="AH34" i="2"/>
  <c r="AI34" i="2"/>
  <c r="AD35" i="2"/>
  <c r="AE35" i="2"/>
  <c r="AF35" i="2"/>
  <c r="AG35" i="2"/>
  <c r="AH35" i="2"/>
  <c r="AI35" i="2"/>
  <c r="AC36" i="2"/>
  <c r="AD36" i="2"/>
  <c r="AE36" i="2"/>
  <c r="AF36" i="2"/>
  <c r="AG36" i="2"/>
  <c r="AH36" i="2"/>
  <c r="AI36" i="2"/>
  <c r="AC37" i="2"/>
  <c r="AD37" i="2"/>
  <c r="AE37" i="2"/>
  <c r="AF37" i="2"/>
  <c r="AG37" i="2"/>
  <c r="AH37" i="2"/>
  <c r="AI37" i="2"/>
  <c r="AD38" i="2"/>
  <c r="AE38" i="2"/>
  <c r="AF38" i="2"/>
  <c r="AG38" i="2"/>
  <c r="AH38" i="2"/>
  <c r="AI38" i="2"/>
  <c r="AD39" i="2"/>
  <c r="AE39" i="2"/>
  <c r="AF39" i="2"/>
  <c r="AG39" i="2"/>
  <c r="AH39" i="2"/>
  <c r="AI39" i="2"/>
  <c r="AC40" i="2"/>
  <c r="AD40" i="2"/>
  <c r="AE40" i="2"/>
  <c r="AF40" i="2"/>
  <c r="AG40" i="2"/>
  <c r="AH40" i="2"/>
  <c r="AI40" i="2"/>
  <c r="AC41" i="2"/>
  <c r="AD41" i="2"/>
  <c r="AE41" i="2"/>
  <c r="AF41" i="2"/>
  <c r="AG41" i="2"/>
  <c r="AH41" i="2"/>
  <c r="AI41" i="2"/>
  <c r="AD42" i="2"/>
  <c r="AE42" i="2"/>
  <c r="AF42" i="2"/>
  <c r="AG42" i="2"/>
  <c r="AH42" i="2"/>
  <c r="AI42" i="2"/>
  <c r="AD43" i="2"/>
  <c r="AE43" i="2"/>
  <c r="AF43" i="2"/>
  <c r="AG43" i="2"/>
  <c r="AH43" i="2"/>
  <c r="AI43" i="2"/>
  <c r="AC44" i="2"/>
  <c r="AD44" i="2"/>
  <c r="AE44" i="2"/>
  <c r="AF44" i="2"/>
  <c r="AG44" i="2"/>
  <c r="AH44" i="2"/>
  <c r="AI44" i="2"/>
  <c r="AD45" i="2"/>
  <c r="AE45" i="2"/>
  <c r="AF45" i="2"/>
  <c r="AG45" i="2"/>
  <c r="AH45" i="2"/>
  <c r="AI45" i="2"/>
  <c r="AD46" i="2"/>
  <c r="AE46" i="2"/>
  <c r="AF46" i="2"/>
  <c r="AG46" i="2"/>
  <c r="AH46" i="2"/>
  <c r="AI46" i="2"/>
  <c r="AD47" i="2"/>
  <c r="AE47" i="2"/>
  <c r="AF47" i="2"/>
  <c r="AG47" i="2"/>
  <c r="AH47" i="2"/>
  <c r="AI47" i="2"/>
  <c r="AD48" i="2"/>
  <c r="AE48" i="2"/>
  <c r="AF48" i="2"/>
  <c r="AG48" i="2"/>
  <c r="AH48" i="2"/>
  <c r="AI48" i="2"/>
  <c r="AD49" i="2"/>
  <c r="AE49" i="2"/>
  <c r="AF49" i="2"/>
  <c r="AG49" i="2"/>
  <c r="AH49" i="2"/>
  <c r="AI49" i="2"/>
  <c r="AD50" i="2"/>
  <c r="AE50" i="2"/>
  <c r="AF50" i="2"/>
  <c r="AG50" i="2"/>
  <c r="AH50" i="2"/>
  <c r="AI50" i="2"/>
  <c r="AD51" i="2"/>
  <c r="AE51" i="2"/>
  <c r="AF51" i="2"/>
  <c r="AG51" i="2"/>
  <c r="AH51" i="2"/>
  <c r="AI51" i="2"/>
  <c r="AC52" i="2"/>
  <c r="AD52" i="2"/>
  <c r="AE52" i="2"/>
  <c r="AF52" i="2"/>
  <c r="AG52" i="2"/>
  <c r="AH52" i="2"/>
  <c r="AI52" i="2"/>
  <c r="AC53" i="2"/>
  <c r="AD53" i="2"/>
  <c r="AE53" i="2"/>
  <c r="AF53" i="2"/>
  <c r="AG53" i="2"/>
  <c r="AH53" i="2"/>
  <c r="AI53" i="2"/>
  <c r="AD54" i="2"/>
  <c r="AE54" i="2"/>
  <c r="AF54" i="2"/>
  <c r="AG54" i="2"/>
  <c r="AH54" i="2"/>
  <c r="AI54" i="2"/>
  <c r="AD55" i="2"/>
  <c r="AE55" i="2"/>
  <c r="AF55" i="2"/>
  <c r="AG55" i="2"/>
  <c r="AH55" i="2"/>
  <c r="AI55" i="2"/>
  <c r="AD56" i="2"/>
  <c r="AE56" i="2"/>
  <c r="AF56" i="2"/>
  <c r="AG56" i="2"/>
  <c r="AH56" i="2"/>
  <c r="AI56" i="2"/>
  <c r="AD57" i="2"/>
  <c r="AE57" i="2"/>
  <c r="AF57" i="2"/>
  <c r="AG57" i="2"/>
  <c r="AH57" i="2"/>
  <c r="AI57" i="2"/>
  <c r="AD58" i="2"/>
  <c r="AE58" i="2"/>
  <c r="AF58" i="2"/>
  <c r="AG58" i="2"/>
  <c r="AH58" i="2"/>
  <c r="AI58" i="2"/>
  <c r="AD59" i="2"/>
  <c r="AE59" i="2"/>
  <c r="AF59" i="2"/>
  <c r="AG59" i="2"/>
  <c r="AH59" i="2"/>
  <c r="AI59" i="2"/>
  <c r="AC60" i="2"/>
  <c r="AD60" i="2"/>
  <c r="AE60" i="2"/>
  <c r="AF60" i="2"/>
  <c r="AG60" i="2"/>
  <c r="AH60" i="2"/>
  <c r="AI60" i="2"/>
  <c r="AC61" i="2"/>
  <c r="AD61" i="2"/>
  <c r="AE61" i="2"/>
  <c r="AF61" i="2"/>
  <c r="AG61" i="2"/>
  <c r="AH61" i="2"/>
  <c r="AI61" i="2"/>
  <c r="AD3" i="2"/>
  <c r="AE3" i="2"/>
  <c r="AF3" i="2"/>
  <c r="AG3" i="2"/>
  <c r="AH3" i="2"/>
  <c r="AI3" i="2"/>
  <c r="K62" i="1"/>
  <c r="O62" i="1" s="1" a="1"/>
  <c r="O62" i="1" s="1"/>
  <c r="L62" i="1"/>
  <c r="P62" i="1" s="1" a="1"/>
  <c r="P62" i="1" s="1"/>
  <c r="H24" i="17"/>
  <c r="C24" i="17"/>
  <c r="B24" i="17"/>
  <c r="A24" i="17"/>
  <c r="F21" i="17"/>
  <c r="E21" i="17"/>
  <c r="D21" i="17"/>
  <c r="F20" i="17"/>
  <c r="E20" i="17"/>
  <c r="D20" i="17"/>
  <c r="D24" i="17" s="1"/>
  <c r="F19" i="17"/>
  <c r="E19" i="17"/>
  <c r="D19" i="17"/>
  <c r="D18" i="17"/>
  <c r="E17" i="17"/>
  <c r="G16" i="17"/>
  <c r="G24" i="17" s="1"/>
  <c r="F16" i="17"/>
  <c r="F24" i="17" s="1"/>
  <c r="E16" i="17"/>
  <c r="E24" i="17" s="1"/>
  <c r="A16" i="17"/>
  <c r="K2" i="11"/>
  <c r="K3" i="11"/>
  <c r="K4" i="11"/>
  <c r="K5" i="11"/>
  <c r="K6" i="11"/>
  <c r="K7" i="11"/>
  <c r="K8" i="11"/>
  <c r="K9" i="11"/>
  <c r="II6" i="9"/>
  <c r="IJ6" i="9"/>
  <c r="IK6" i="9"/>
  <c r="IL6" i="9"/>
  <c r="IM6" i="9"/>
  <c r="IN6" i="9"/>
  <c r="IO6" i="9"/>
  <c r="II7" i="9"/>
  <c r="IJ7" i="9"/>
  <c r="IK7" i="9"/>
  <c r="IL7" i="9"/>
  <c r="IM7" i="9"/>
  <c r="IN7" i="9"/>
  <c r="IO7" i="9"/>
  <c r="II8" i="9"/>
  <c r="IJ8" i="9"/>
  <c r="IK8" i="9"/>
  <c r="IL8" i="9"/>
  <c r="IM8" i="9"/>
  <c r="IN8" i="9"/>
  <c r="IO8" i="9"/>
  <c r="II9" i="9"/>
  <c r="IJ9" i="9"/>
  <c r="IK9" i="9"/>
  <c r="IL9" i="9"/>
  <c r="IM9" i="9"/>
  <c r="IN9" i="9"/>
  <c r="IO9" i="9"/>
  <c r="II10" i="9"/>
  <c r="IJ10" i="9"/>
  <c r="IK10" i="9"/>
  <c r="IL10" i="9"/>
  <c r="IM10" i="9"/>
  <c r="IN10" i="9"/>
  <c r="IO10" i="9"/>
  <c r="II11" i="9"/>
  <c r="IJ11" i="9"/>
  <c r="IK11" i="9"/>
  <c r="IL11" i="9"/>
  <c r="IM11" i="9"/>
  <c r="IN11" i="9"/>
  <c r="IO11" i="9"/>
  <c r="II12" i="9"/>
  <c r="IJ12" i="9"/>
  <c r="IK12" i="9"/>
  <c r="IL12" i="9"/>
  <c r="IM12" i="9"/>
  <c r="IN12" i="9"/>
  <c r="IO12" i="9"/>
  <c r="II13" i="9"/>
  <c r="IJ13" i="9"/>
  <c r="IK13" i="9"/>
  <c r="IL13" i="9"/>
  <c r="IM13" i="9"/>
  <c r="IN13" i="9"/>
  <c r="IO13" i="9"/>
  <c r="IH7" i="9"/>
  <c r="IH8" i="9"/>
  <c r="IH9" i="9"/>
  <c r="IH10" i="9"/>
  <c r="IH11" i="9"/>
  <c r="IH12" i="9"/>
  <c r="IH13" i="9"/>
  <c r="HS6" i="9"/>
  <c r="HT6" i="9"/>
  <c r="HU6" i="9"/>
  <c r="HV6" i="9"/>
  <c r="HW6" i="9"/>
  <c r="HX6" i="9"/>
  <c r="HY6" i="9"/>
  <c r="HS7" i="9"/>
  <c r="HT7" i="9"/>
  <c r="HU7" i="9"/>
  <c r="HV7" i="9"/>
  <c r="HW7" i="9"/>
  <c r="HX7" i="9"/>
  <c r="HY7" i="9"/>
  <c r="HS8" i="9"/>
  <c r="HT8" i="9"/>
  <c r="HU8" i="9"/>
  <c r="HV8" i="9"/>
  <c r="HW8" i="9"/>
  <c r="HX8" i="9"/>
  <c r="HY8" i="9"/>
  <c r="HS9" i="9"/>
  <c r="HT9" i="9"/>
  <c r="HU9" i="9"/>
  <c r="HV9" i="9"/>
  <c r="HW9" i="9"/>
  <c r="HX9" i="9"/>
  <c r="HY9" i="9"/>
  <c r="HS10" i="9"/>
  <c r="HT10" i="9"/>
  <c r="HU10" i="9"/>
  <c r="HV10" i="9"/>
  <c r="HW10" i="9"/>
  <c r="HX10" i="9"/>
  <c r="HY10" i="9"/>
  <c r="HS11" i="9"/>
  <c r="HT11" i="9"/>
  <c r="HU11" i="9"/>
  <c r="HV11" i="9"/>
  <c r="HW11" i="9"/>
  <c r="HX11" i="9"/>
  <c r="HY11" i="9"/>
  <c r="HS12" i="9"/>
  <c r="HT12" i="9"/>
  <c r="HU12" i="9"/>
  <c r="HV12" i="9"/>
  <c r="HW12" i="9"/>
  <c r="HX12" i="9"/>
  <c r="HY12" i="9"/>
  <c r="HS13" i="9"/>
  <c r="HT13" i="9"/>
  <c r="HU13" i="9"/>
  <c r="HV13" i="9"/>
  <c r="HW13" i="9"/>
  <c r="HX13" i="9"/>
  <c r="HY13" i="9"/>
  <c r="HR7" i="9"/>
  <c r="HR8" i="9"/>
  <c r="HR9" i="9"/>
  <c r="HR10" i="9"/>
  <c r="HR11" i="9"/>
  <c r="HR12" i="9"/>
  <c r="HR13" i="9"/>
  <c r="HC6" i="9"/>
  <c r="HD6" i="9"/>
  <c r="HE6" i="9"/>
  <c r="HF6" i="9"/>
  <c r="HG6" i="9"/>
  <c r="HH6" i="9"/>
  <c r="HI6" i="9"/>
  <c r="HC7" i="9"/>
  <c r="HD7" i="9"/>
  <c r="HE7" i="9"/>
  <c r="HF7" i="9"/>
  <c r="HG7" i="9"/>
  <c r="HH7" i="9"/>
  <c r="HI7" i="9"/>
  <c r="HC8" i="9"/>
  <c r="HD8" i="9"/>
  <c r="HE8" i="9"/>
  <c r="HF8" i="9"/>
  <c r="HG8" i="9"/>
  <c r="HH8" i="9"/>
  <c r="HI8" i="9"/>
  <c r="HC9" i="9"/>
  <c r="HD9" i="9"/>
  <c r="HE9" i="9"/>
  <c r="HF9" i="9"/>
  <c r="HG9" i="9"/>
  <c r="HH9" i="9"/>
  <c r="HI9" i="9"/>
  <c r="HC10" i="9"/>
  <c r="HD10" i="9"/>
  <c r="HE10" i="9"/>
  <c r="HF10" i="9"/>
  <c r="HG10" i="9"/>
  <c r="HH10" i="9"/>
  <c r="HI10" i="9"/>
  <c r="HC11" i="9"/>
  <c r="HD11" i="9"/>
  <c r="HE11" i="9"/>
  <c r="HF11" i="9"/>
  <c r="HG11" i="9"/>
  <c r="HH11" i="9"/>
  <c r="HI11" i="9"/>
  <c r="HC12" i="9"/>
  <c r="HD12" i="9"/>
  <c r="HE12" i="9"/>
  <c r="HF12" i="9"/>
  <c r="HG12" i="9"/>
  <c r="HH12" i="9"/>
  <c r="HI12" i="9"/>
  <c r="HC13" i="9"/>
  <c r="HD13" i="9"/>
  <c r="HE13" i="9"/>
  <c r="HF13" i="9"/>
  <c r="HG13" i="9"/>
  <c r="HH13" i="9"/>
  <c r="HI13" i="9"/>
  <c r="HB7" i="9"/>
  <c r="HB8" i="9"/>
  <c r="HB9" i="9"/>
  <c r="HB10" i="9"/>
  <c r="HB11" i="9"/>
  <c r="HB12" i="9"/>
  <c r="HB13" i="9"/>
  <c r="GM6" i="9"/>
  <c r="GN6" i="9"/>
  <c r="GO6" i="9"/>
  <c r="GP6" i="9"/>
  <c r="GQ6" i="9"/>
  <c r="GR6" i="9"/>
  <c r="GS6" i="9"/>
  <c r="GM7" i="9"/>
  <c r="GN7" i="9"/>
  <c r="GO7" i="9"/>
  <c r="GP7" i="9"/>
  <c r="GQ7" i="9"/>
  <c r="GR7" i="9"/>
  <c r="GS7" i="9"/>
  <c r="GM8" i="9"/>
  <c r="GN8" i="9"/>
  <c r="GO8" i="9"/>
  <c r="GP8" i="9"/>
  <c r="GQ8" i="9"/>
  <c r="GR8" i="9"/>
  <c r="GS8" i="9"/>
  <c r="GM9" i="9"/>
  <c r="GN9" i="9"/>
  <c r="GO9" i="9"/>
  <c r="GP9" i="9"/>
  <c r="GQ9" i="9"/>
  <c r="GR9" i="9"/>
  <c r="GS9" i="9"/>
  <c r="GM10" i="9"/>
  <c r="GN10" i="9"/>
  <c r="GO10" i="9"/>
  <c r="GP10" i="9"/>
  <c r="GQ10" i="9"/>
  <c r="GR10" i="9"/>
  <c r="GS10" i="9"/>
  <c r="GM11" i="9"/>
  <c r="GN11" i="9"/>
  <c r="GO11" i="9"/>
  <c r="GP11" i="9"/>
  <c r="GQ11" i="9"/>
  <c r="GR11" i="9"/>
  <c r="GS11" i="9"/>
  <c r="GM12" i="9"/>
  <c r="GN12" i="9"/>
  <c r="GO12" i="9"/>
  <c r="GP12" i="9"/>
  <c r="GQ12" i="9"/>
  <c r="GR12" i="9"/>
  <c r="GS12" i="9"/>
  <c r="GM13" i="9"/>
  <c r="GN13" i="9"/>
  <c r="GO13" i="9"/>
  <c r="GP13" i="9"/>
  <c r="GQ13" i="9"/>
  <c r="GR13" i="9"/>
  <c r="GS13" i="9"/>
  <c r="GL7" i="9"/>
  <c r="GL8" i="9"/>
  <c r="GL9" i="9"/>
  <c r="GL10" i="9"/>
  <c r="GL11" i="9"/>
  <c r="GL12" i="9"/>
  <c r="GL13" i="9"/>
  <c r="FW6" i="9"/>
  <c r="FX6" i="9"/>
  <c r="FY6" i="9"/>
  <c r="FZ6" i="9"/>
  <c r="GA6" i="9"/>
  <c r="GB6" i="9"/>
  <c r="GC6" i="9"/>
  <c r="FW7" i="9"/>
  <c r="FX7" i="9"/>
  <c r="FY7" i="9"/>
  <c r="FZ7" i="9"/>
  <c r="GA7" i="9"/>
  <c r="GB7" i="9"/>
  <c r="GC7" i="9"/>
  <c r="FW8" i="9"/>
  <c r="FX8" i="9"/>
  <c r="FY8" i="9"/>
  <c r="FZ8" i="9"/>
  <c r="GA8" i="9"/>
  <c r="GB8" i="9"/>
  <c r="GC8" i="9"/>
  <c r="FW9" i="9"/>
  <c r="FX9" i="9"/>
  <c r="FY9" i="9"/>
  <c r="FZ9" i="9"/>
  <c r="GA9" i="9"/>
  <c r="GB9" i="9"/>
  <c r="GC9" i="9"/>
  <c r="FW10" i="9"/>
  <c r="FX10" i="9"/>
  <c r="GA10" i="9"/>
  <c r="GC10" i="9"/>
  <c r="FW11" i="9"/>
  <c r="FX11" i="9"/>
  <c r="FY11" i="9"/>
  <c r="FZ11" i="9"/>
  <c r="GA11" i="9"/>
  <c r="GB11" i="9"/>
  <c r="GC11" i="9"/>
  <c r="FW12" i="9"/>
  <c r="FX12" i="9"/>
  <c r="FY12" i="9"/>
  <c r="FZ12" i="9"/>
  <c r="GA12" i="9"/>
  <c r="GB12" i="9"/>
  <c r="GC12" i="9"/>
  <c r="FW13" i="9"/>
  <c r="FX13" i="9"/>
  <c r="GA13" i="9"/>
  <c r="GC13" i="9"/>
  <c r="FV7" i="9"/>
  <c r="FV8" i="9"/>
  <c r="FV9" i="9"/>
  <c r="FV10" i="9"/>
  <c r="FV11" i="9"/>
  <c r="FV12" i="9"/>
  <c r="FV13" i="9"/>
  <c r="FG6" i="9"/>
  <c r="FH6" i="9"/>
  <c r="FI6" i="9"/>
  <c r="FJ6" i="9"/>
  <c r="FK6" i="9"/>
  <c r="FL6" i="9"/>
  <c r="FM6" i="9"/>
  <c r="FG7" i="9"/>
  <c r="FH7" i="9"/>
  <c r="FI7" i="9"/>
  <c r="FJ7" i="9"/>
  <c r="FK7" i="9"/>
  <c r="FL7" i="9"/>
  <c r="FM7" i="9"/>
  <c r="FG8" i="9"/>
  <c r="FH8" i="9"/>
  <c r="FI8" i="9"/>
  <c r="FJ8" i="9"/>
  <c r="FK8" i="9"/>
  <c r="FL8" i="9"/>
  <c r="FM8" i="9"/>
  <c r="FG9" i="9"/>
  <c r="FH9" i="9"/>
  <c r="FI9" i="9"/>
  <c r="FJ9" i="9"/>
  <c r="FK9" i="9"/>
  <c r="FL9" i="9"/>
  <c r="FM9" i="9"/>
  <c r="FG10" i="9"/>
  <c r="FH10" i="9"/>
  <c r="FK10" i="9"/>
  <c r="FM10" i="9"/>
  <c r="FG11" i="9"/>
  <c r="FH11" i="9"/>
  <c r="FI11" i="9"/>
  <c r="FJ11" i="9"/>
  <c r="FK11" i="9"/>
  <c r="FL11" i="9"/>
  <c r="FM11" i="9"/>
  <c r="FG12" i="9"/>
  <c r="FH12" i="9"/>
  <c r="FI12" i="9"/>
  <c r="FJ12" i="9"/>
  <c r="FK12" i="9"/>
  <c r="FL12" i="9"/>
  <c r="FM12" i="9"/>
  <c r="FG13" i="9"/>
  <c r="FH13" i="9"/>
  <c r="FK13" i="9"/>
  <c r="FM13" i="9"/>
  <c r="FF7" i="9"/>
  <c r="FF8" i="9"/>
  <c r="FF9" i="9"/>
  <c r="FF10" i="9"/>
  <c r="FF11" i="9"/>
  <c r="FF12" i="9"/>
  <c r="FF13" i="9"/>
  <c r="EQ6" i="9"/>
  <c r="ER6" i="9"/>
  <c r="ES6" i="9"/>
  <c r="ET6" i="9"/>
  <c r="EU6" i="9"/>
  <c r="EV6" i="9"/>
  <c r="EW6" i="9"/>
  <c r="EQ7" i="9"/>
  <c r="ER7" i="9"/>
  <c r="ES7" i="9"/>
  <c r="ET7" i="9"/>
  <c r="EU7" i="9"/>
  <c r="EV7" i="9"/>
  <c r="EW7" i="9"/>
  <c r="EQ8" i="9"/>
  <c r="ER8" i="9"/>
  <c r="ES8" i="9"/>
  <c r="ET8" i="9"/>
  <c r="EU8" i="9"/>
  <c r="EV8" i="9"/>
  <c r="EW8" i="9"/>
  <c r="EQ9" i="9"/>
  <c r="ER9" i="9"/>
  <c r="ES9" i="9"/>
  <c r="ET9" i="9"/>
  <c r="EU9" i="9"/>
  <c r="EV9" i="9"/>
  <c r="EW9" i="9"/>
  <c r="EQ10" i="9"/>
  <c r="ER10" i="9"/>
  <c r="EU10" i="9"/>
  <c r="EW10" i="9"/>
  <c r="EQ11" i="9"/>
  <c r="ER11" i="9"/>
  <c r="ES11" i="9"/>
  <c r="ET11" i="9"/>
  <c r="EU11" i="9"/>
  <c r="EV11" i="9"/>
  <c r="EW11" i="9"/>
  <c r="EQ12" i="9"/>
  <c r="ER12" i="9"/>
  <c r="ES12" i="9"/>
  <c r="ET12" i="9"/>
  <c r="EU12" i="9"/>
  <c r="EV12" i="9"/>
  <c r="EW12" i="9"/>
  <c r="EQ13" i="9"/>
  <c r="ER13" i="9"/>
  <c r="EU13" i="9"/>
  <c r="EW13" i="9"/>
  <c r="EP7" i="9"/>
  <c r="EP8" i="9"/>
  <c r="EP9" i="9"/>
  <c r="EP10" i="9"/>
  <c r="EP11" i="9"/>
  <c r="EP12" i="9"/>
  <c r="EP13" i="9"/>
  <c r="EA6" i="9"/>
  <c r="EB6" i="9"/>
  <c r="EC6" i="9"/>
  <c r="ED6" i="9"/>
  <c r="EE6" i="9"/>
  <c r="EF6" i="9"/>
  <c r="EG6" i="9"/>
  <c r="EA7" i="9"/>
  <c r="EB7" i="9"/>
  <c r="EC7" i="9"/>
  <c r="ED7" i="9"/>
  <c r="EE7" i="9"/>
  <c r="EF7" i="9"/>
  <c r="EG7" i="9"/>
  <c r="EA8" i="9"/>
  <c r="EB8" i="9"/>
  <c r="EC8" i="9"/>
  <c r="ED8" i="9"/>
  <c r="EE8" i="9"/>
  <c r="EF8" i="9"/>
  <c r="EG8" i="9"/>
  <c r="EA9" i="9"/>
  <c r="EB9" i="9"/>
  <c r="EC9" i="9"/>
  <c r="ED9" i="9"/>
  <c r="EE9" i="9"/>
  <c r="EF9" i="9"/>
  <c r="EG9" i="9"/>
  <c r="EA10" i="9"/>
  <c r="EB10" i="9"/>
  <c r="EE10" i="9"/>
  <c r="EF10" i="9"/>
  <c r="EV10" i="9" s="1"/>
  <c r="FL10" i="9" s="1"/>
  <c r="GB10" i="9" s="1"/>
  <c r="EG10" i="9"/>
  <c r="EA11" i="9"/>
  <c r="EB11" i="9"/>
  <c r="EC11" i="9"/>
  <c r="ED11" i="9"/>
  <c r="EE11" i="9"/>
  <c r="EF11" i="9"/>
  <c r="EG11" i="9"/>
  <c r="EA12" i="9"/>
  <c r="EB12" i="9"/>
  <c r="EC12" i="9"/>
  <c r="ED12" i="9"/>
  <c r="EE12" i="9"/>
  <c r="EF12" i="9"/>
  <c r="EG12" i="9"/>
  <c r="EA13" i="9"/>
  <c r="EB13" i="9"/>
  <c r="ED13" i="9"/>
  <c r="ET13" i="9" s="1"/>
  <c r="FJ13" i="9" s="1"/>
  <c r="FZ13" i="9" s="1"/>
  <c r="EE13" i="9"/>
  <c r="EF13" i="9"/>
  <c r="EV13" i="9" s="1"/>
  <c r="FL13" i="9" s="1"/>
  <c r="GB13" i="9" s="1"/>
  <c r="EG13" i="9"/>
  <c r="DZ10" i="9"/>
  <c r="DZ11" i="9"/>
  <c r="DZ12" i="9"/>
  <c r="DZ13" i="9"/>
  <c r="DZ7" i="9"/>
  <c r="DZ8" i="9"/>
  <c r="DZ9" i="9"/>
  <c r="B1" i="9"/>
  <c r="DK6" i="9"/>
  <c r="DL6" i="9"/>
  <c r="DM6" i="9"/>
  <c r="DN6" i="9"/>
  <c r="DO6" i="9"/>
  <c r="DP6" i="9"/>
  <c r="DQ6" i="9"/>
  <c r="DK7" i="9"/>
  <c r="DL7" i="9"/>
  <c r="DM7" i="9"/>
  <c r="DN7" i="9"/>
  <c r="DO7" i="9"/>
  <c r="DP7" i="9"/>
  <c r="DQ7" i="9"/>
  <c r="DK8" i="9"/>
  <c r="DL8" i="9"/>
  <c r="DM8" i="9"/>
  <c r="DN8" i="9"/>
  <c r="DO8" i="9"/>
  <c r="DP8" i="9"/>
  <c r="DQ8" i="9"/>
  <c r="DK9" i="9"/>
  <c r="DL9" i="9"/>
  <c r="DM9" i="9"/>
  <c r="DN9" i="9"/>
  <c r="DO9" i="9"/>
  <c r="DP9" i="9"/>
  <c r="DQ9" i="9"/>
  <c r="DK10" i="9"/>
  <c r="DL10" i="9"/>
  <c r="DO10" i="9"/>
  <c r="DQ10" i="9"/>
  <c r="DK11" i="9"/>
  <c r="DL11" i="9"/>
  <c r="DM11" i="9"/>
  <c r="DN11" i="9"/>
  <c r="DO11" i="9"/>
  <c r="DP11" i="9"/>
  <c r="DQ11" i="9"/>
  <c r="DK12" i="9"/>
  <c r="DL12" i="9"/>
  <c r="DM12" i="9"/>
  <c r="DN12" i="9"/>
  <c r="DO12" i="9"/>
  <c r="DP12" i="9"/>
  <c r="DQ12" i="9"/>
  <c r="DK13" i="9"/>
  <c r="DL13" i="9"/>
  <c r="DO13" i="9"/>
  <c r="DQ13" i="9"/>
  <c r="DJ7" i="9"/>
  <c r="DJ8" i="9"/>
  <c r="DJ9" i="9"/>
  <c r="DJ10" i="9"/>
  <c r="DJ11" i="9"/>
  <c r="DJ12" i="9"/>
  <c r="DJ13" i="9"/>
  <c r="CU12" i="9"/>
  <c r="CV12" i="9"/>
  <c r="CW12" i="9"/>
  <c r="CX12" i="9"/>
  <c r="CY12" i="9"/>
  <c r="CZ12" i="9"/>
  <c r="DA12" i="9"/>
  <c r="CU13" i="9"/>
  <c r="CV13" i="9"/>
  <c r="CY13" i="9"/>
  <c r="DA13" i="9"/>
  <c r="CT13" i="9"/>
  <c r="CE11" i="9"/>
  <c r="CF11" i="9"/>
  <c r="CV11" i="9" s="1"/>
  <c r="CG11" i="9"/>
  <c r="CH11" i="9"/>
  <c r="CX11" i="9" s="1"/>
  <c r="CI11" i="9"/>
  <c r="CJ11" i="9"/>
  <c r="CK11" i="9"/>
  <c r="DA11" i="9" s="1"/>
  <c r="CE12" i="9"/>
  <c r="CF12" i="9"/>
  <c r="CG12" i="9"/>
  <c r="CH12" i="9"/>
  <c r="CI12" i="9"/>
  <c r="CJ12" i="9"/>
  <c r="CK12" i="9"/>
  <c r="CE13" i="9"/>
  <c r="CF13" i="9"/>
  <c r="CI13" i="9"/>
  <c r="CK13" i="9"/>
  <c r="CD13" i="9"/>
  <c r="CU6" i="9"/>
  <c r="CV6" i="9"/>
  <c r="CW6" i="9"/>
  <c r="CX6" i="9"/>
  <c r="CY6" i="9"/>
  <c r="CZ6" i="9"/>
  <c r="DA6" i="9"/>
  <c r="CU7" i="9"/>
  <c r="CV7" i="9"/>
  <c r="CW7" i="9"/>
  <c r="CX7" i="9"/>
  <c r="CY7" i="9"/>
  <c r="CZ7" i="9"/>
  <c r="DA7" i="9"/>
  <c r="CU8" i="9"/>
  <c r="CV8" i="9"/>
  <c r="CW8" i="9"/>
  <c r="CX8" i="9"/>
  <c r="CY8" i="9"/>
  <c r="CZ8" i="9"/>
  <c r="DA8" i="9"/>
  <c r="CU9" i="9"/>
  <c r="CV9" i="9"/>
  <c r="CW9" i="9"/>
  <c r="CX9" i="9"/>
  <c r="CY9" i="9"/>
  <c r="CZ9" i="9"/>
  <c r="DA9" i="9"/>
  <c r="CU10" i="9"/>
  <c r="CV10" i="9"/>
  <c r="CY10" i="9"/>
  <c r="DA10" i="9"/>
  <c r="CU11" i="9"/>
  <c r="CW11" i="9"/>
  <c r="CY11" i="9"/>
  <c r="CZ11" i="9"/>
  <c r="CT7" i="9"/>
  <c r="CT8" i="9"/>
  <c r="CT9" i="9"/>
  <c r="CT10" i="9"/>
  <c r="CT11" i="9"/>
  <c r="CT12" i="9"/>
  <c r="CE6" i="9"/>
  <c r="CF6" i="9"/>
  <c r="CG6" i="9"/>
  <c r="CH6" i="9"/>
  <c r="CI6" i="9"/>
  <c r="CJ6" i="9"/>
  <c r="CK6" i="9"/>
  <c r="CE7" i="9"/>
  <c r="CF7" i="9"/>
  <c r="CG7" i="9"/>
  <c r="CH7" i="9"/>
  <c r="CI7" i="9"/>
  <c r="CJ7" i="9"/>
  <c r="CK7" i="9"/>
  <c r="CE8" i="9"/>
  <c r="CF8" i="9"/>
  <c r="CG8" i="9"/>
  <c r="CH8" i="9"/>
  <c r="CI8" i="9"/>
  <c r="CJ8" i="9"/>
  <c r="CK8" i="9"/>
  <c r="CE9" i="9"/>
  <c r="CF9" i="9"/>
  <c r="CG9" i="9"/>
  <c r="CH9" i="9"/>
  <c r="CI9" i="9"/>
  <c r="CJ9" i="9"/>
  <c r="CK9" i="9"/>
  <c r="CE10" i="9"/>
  <c r="CF10" i="9"/>
  <c r="CI10" i="9"/>
  <c r="CK10" i="9"/>
  <c r="CD7" i="9"/>
  <c r="CD8" i="9"/>
  <c r="CD9" i="9"/>
  <c r="CD10" i="9"/>
  <c r="CD11" i="9"/>
  <c r="CD12" i="9"/>
  <c r="BO6" i="9"/>
  <c r="BP6" i="9"/>
  <c r="BQ6" i="9"/>
  <c r="BR6" i="9"/>
  <c r="BS6" i="9"/>
  <c r="BT6" i="9"/>
  <c r="BU6" i="9"/>
  <c r="BO7" i="9"/>
  <c r="BP7" i="9"/>
  <c r="BQ7" i="9"/>
  <c r="BR7" i="9"/>
  <c r="BS7" i="9"/>
  <c r="BT7" i="9"/>
  <c r="BU7" i="9"/>
  <c r="BO8" i="9"/>
  <c r="BP8" i="9"/>
  <c r="BQ8" i="9"/>
  <c r="BR8" i="9"/>
  <c r="BS8" i="9"/>
  <c r="BT8" i="9"/>
  <c r="BU8" i="9"/>
  <c r="BO9" i="9"/>
  <c r="BP9" i="9"/>
  <c r="BQ9" i="9"/>
  <c r="BR9" i="9"/>
  <c r="BS9" i="9"/>
  <c r="BT9" i="9"/>
  <c r="BU9" i="9"/>
  <c r="BO10" i="9"/>
  <c r="BP10" i="9"/>
  <c r="BS10" i="9"/>
  <c r="BU10" i="9"/>
  <c r="BO11" i="9"/>
  <c r="BP11" i="9"/>
  <c r="BQ11" i="9"/>
  <c r="BR11" i="9"/>
  <c r="BS11" i="9"/>
  <c r="BT11" i="9"/>
  <c r="BU11" i="9"/>
  <c r="BO12" i="9"/>
  <c r="BP12" i="9"/>
  <c r="BQ12" i="9"/>
  <c r="BR12" i="9"/>
  <c r="BS12" i="9"/>
  <c r="BT12" i="9"/>
  <c r="BU12" i="9"/>
  <c r="BO13" i="9"/>
  <c r="BP13" i="9"/>
  <c r="BS13" i="9"/>
  <c r="BT13" i="9"/>
  <c r="CJ13" i="9" s="1"/>
  <c r="CZ13" i="9" s="1"/>
  <c r="DP13" i="9" s="1"/>
  <c r="BU13" i="9"/>
  <c r="BN7" i="9"/>
  <c r="BN8" i="9"/>
  <c r="BN9" i="9"/>
  <c r="BN10" i="9"/>
  <c r="BN11" i="9"/>
  <c r="BN12" i="9"/>
  <c r="BN13" i="9"/>
  <c r="AY6" i="9"/>
  <c r="AZ6" i="9"/>
  <c r="BA6" i="9"/>
  <c r="BB6" i="9"/>
  <c r="BC6" i="9"/>
  <c r="BD6" i="9"/>
  <c r="BE6" i="9"/>
  <c r="AY7" i="9"/>
  <c r="AZ7" i="9"/>
  <c r="BA7" i="9"/>
  <c r="BB7" i="9"/>
  <c r="BC7" i="9"/>
  <c r="BD7" i="9"/>
  <c r="BE7" i="9"/>
  <c r="AY8" i="9"/>
  <c r="AZ8" i="9"/>
  <c r="BA8" i="9"/>
  <c r="BB8" i="9"/>
  <c r="BC8" i="9"/>
  <c r="BD8" i="9"/>
  <c r="BE8" i="9"/>
  <c r="AY9" i="9"/>
  <c r="AZ9" i="9"/>
  <c r="BA9" i="9"/>
  <c r="BB9" i="9"/>
  <c r="BC9" i="9"/>
  <c r="BD9" i="9"/>
  <c r="BE9" i="9"/>
  <c r="AY10" i="9"/>
  <c r="AZ10" i="9"/>
  <c r="BA10" i="9"/>
  <c r="BB10" i="9"/>
  <c r="BC10" i="9"/>
  <c r="BD10" i="9"/>
  <c r="BE10" i="9"/>
  <c r="AY11" i="9"/>
  <c r="AZ11" i="9"/>
  <c r="BA11" i="9"/>
  <c r="BB11" i="9"/>
  <c r="BC11" i="9"/>
  <c r="BD11" i="9"/>
  <c r="BE11" i="9"/>
  <c r="AY12" i="9"/>
  <c r="AZ12" i="9"/>
  <c r="BA12" i="9"/>
  <c r="BB12" i="9"/>
  <c r="BC12" i="9"/>
  <c r="BD12" i="9"/>
  <c r="BE12" i="9"/>
  <c r="AY13" i="9"/>
  <c r="AZ13" i="9"/>
  <c r="BA13" i="9"/>
  <c r="BB13" i="9"/>
  <c r="BC13" i="9"/>
  <c r="BD13" i="9"/>
  <c r="BE13" i="9"/>
  <c r="AX7" i="9"/>
  <c r="AX8" i="9"/>
  <c r="AX9" i="9"/>
  <c r="AX10" i="9"/>
  <c r="AX11" i="9"/>
  <c r="AX12" i="9"/>
  <c r="AX13" i="9"/>
  <c r="AI6" i="9"/>
  <c r="AJ6" i="9"/>
  <c r="AK6" i="9"/>
  <c r="AL6" i="9"/>
  <c r="AM6" i="9"/>
  <c r="AN6" i="9"/>
  <c r="AO6" i="9"/>
  <c r="AI7" i="9"/>
  <c r="AJ7" i="9"/>
  <c r="AK7" i="9"/>
  <c r="AL7" i="9"/>
  <c r="AM7" i="9"/>
  <c r="AN7" i="9"/>
  <c r="AO7" i="9"/>
  <c r="AI8" i="9"/>
  <c r="AJ8" i="9"/>
  <c r="AK8" i="9"/>
  <c r="AL8" i="9"/>
  <c r="AM8" i="9"/>
  <c r="AN8" i="9"/>
  <c r="AO8" i="9"/>
  <c r="AI9" i="9"/>
  <c r="AJ9" i="9"/>
  <c r="AK9" i="9"/>
  <c r="AL9" i="9"/>
  <c r="AM9" i="9"/>
  <c r="AN9" i="9"/>
  <c r="AO9" i="9"/>
  <c r="AI10" i="9"/>
  <c r="AJ10" i="9"/>
  <c r="AK10" i="9"/>
  <c r="AL10" i="9"/>
  <c r="AM10" i="9"/>
  <c r="AN10" i="9"/>
  <c r="AO10" i="9"/>
  <c r="AI11" i="9"/>
  <c r="AJ11" i="9"/>
  <c r="AK11" i="9"/>
  <c r="AL11" i="9"/>
  <c r="AM11" i="9"/>
  <c r="AN11" i="9"/>
  <c r="AO11" i="9"/>
  <c r="AI12" i="9"/>
  <c r="AJ12" i="9"/>
  <c r="AK12" i="9"/>
  <c r="AL12" i="9"/>
  <c r="AM12" i="9"/>
  <c r="AN12" i="9"/>
  <c r="AO12" i="9"/>
  <c r="AI13" i="9"/>
  <c r="AJ13" i="9"/>
  <c r="AK13" i="9"/>
  <c r="AL13" i="9"/>
  <c r="AM13" i="9"/>
  <c r="AN13" i="9"/>
  <c r="AO13" i="9"/>
  <c r="AH7" i="9"/>
  <c r="AH8" i="9"/>
  <c r="AH9" i="9"/>
  <c r="AH10" i="9"/>
  <c r="AH11" i="9"/>
  <c r="AH12" i="9"/>
  <c r="AH13" i="9"/>
  <c r="S6" i="9"/>
  <c r="T6" i="9"/>
  <c r="U6" i="9"/>
  <c r="V6" i="9"/>
  <c r="W6" i="9"/>
  <c r="X6" i="9"/>
  <c r="Y6" i="9"/>
  <c r="S7" i="9"/>
  <c r="T7" i="9"/>
  <c r="U7" i="9"/>
  <c r="V7" i="9"/>
  <c r="W7" i="9"/>
  <c r="X7" i="9"/>
  <c r="Y7" i="9"/>
  <c r="S8" i="9"/>
  <c r="T8" i="9"/>
  <c r="U8" i="9"/>
  <c r="V8" i="9"/>
  <c r="W8" i="9"/>
  <c r="X8" i="9"/>
  <c r="Y8" i="9"/>
  <c r="S9" i="9"/>
  <c r="T9" i="9"/>
  <c r="U9" i="9"/>
  <c r="V9" i="9"/>
  <c r="W9" i="9"/>
  <c r="X9" i="9"/>
  <c r="Y9" i="9"/>
  <c r="S10" i="9"/>
  <c r="T10" i="9"/>
  <c r="U10" i="9"/>
  <c r="V10" i="9"/>
  <c r="W10" i="9"/>
  <c r="X10" i="9"/>
  <c r="Y10" i="9"/>
  <c r="S11" i="9"/>
  <c r="T11" i="9"/>
  <c r="U11" i="9"/>
  <c r="V11" i="9"/>
  <c r="W11" i="9"/>
  <c r="X11" i="9"/>
  <c r="Y11" i="9"/>
  <c r="S12" i="9"/>
  <c r="T12" i="9"/>
  <c r="U12" i="9"/>
  <c r="V12" i="9"/>
  <c r="W12" i="9"/>
  <c r="X12" i="9"/>
  <c r="Y12" i="9"/>
  <c r="S13" i="9"/>
  <c r="T13" i="9"/>
  <c r="U13" i="9"/>
  <c r="V13" i="9"/>
  <c r="W13" i="9"/>
  <c r="X13" i="9"/>
  <c r="Y13" i="9"/>
  <c r="R7" i="9"/>
  <c r="R8" i="9"/>
  <c r="R9" i="9"/>
  <c r="R10" i="9"/>
  <c r="R11" i="9"/>
  <c r="R12" i="9"/>
  <c r="R13" i="9"/>
  <c r="C6" i="9"/>
  <c r="D6" i="9"/>
  <c r="E6" i="9"/>
  <c r="F6" i="9"/>
  <c r="G6" i="9"/>
  <c r="H6" i="9"/>
  <c r="I6" i="9"/>
  <c r="C7" i="9"/>
  <c r="D7" i="9"/>
  <c r="E7" i="9"/>
  <c r="F7" i="9"/>
  <c r="G7" i="9"/>
  <c r="H7" i="9"/>
  <c r="I7" i="9"/>
  <c r="C8" i="9"/>
  <c r="D8" i="9"/>
  <c r="E8" i="9"/>
  <c r="F8" i="9"/>
  <c r="G8" i="9"/>
  <c r="H8" i="9"/>
  <c r="I8" i="9"/>
  <c r="C9" i="9"/>
  <c r="D9" i="9"/>
  <c r="E9" i="9"/>
  <c r="F9" i="9"/>
  <c r="G9" i="9"/>
  <c r="H9" i="9"/>
  <c r="I9" i="9"/>
  <c r="C10" i="9"/>
  <c r="D10" i="9"/>
  <c r="E10" i="9"/>
  <c r="F10" i="9"/>
  <c r="G10" i="9"/>
  <c r="H10" i="9"/>
  <c r="I10" i="9"/>
  <c r="C11" i="9"/>
  <c r="D11" i="9"/>
  <c r="E11" i="9"/>
  <c r="F11" i="9"/>
  <c r="G11" i="9"/>
  <c r="H11" i="9"/>
  <c r="I11" i="9"/>
  <c r="C12" i="9"/>
  <c r="D12" i="9"/>
  <c r="E12" i="9"/>
  <c r="F12" i="9"/>
  <c r="G12" i="9"/>
  <c r="H12" i="9"/>
  <c r="I12" i="9"/>
  <c r="C13" i="9"/>
  <c r="D13" i="9"/>
  <c r="E13" i="9"/>
  <c r="F13" i="9"/>
  <c r="G13" i="9"/>
  <c r="H13" i="9"/>
  <c r="I13" i="9"/>
  <c r="B7" i="9"/>
  <c r="B8" i="9"/>
  <c r="B9" i="9"/>
  <c r="B10" i="9"/>
  <c r="B11" i="9"/>
  <c r="B12" i="9"/>
  <c r="B13" i="9"/>
  <c r="AY5" i="5"/>
  <c r="AZ5" i="5"/>
  <c r="BA5" i="5"/>
  <c r="BB5" i="5"/>
  <c r="BC5" i="5"/>
  <c r="BD5" i="5"/>
  <c r="BE5" i="5"/>
  <c r="AY6" i="5"/>
  <c r="AZ6" i="5"/>
  <c r="BA6" i="5"/>
  <c r="BB6" i="5"/>
  <c r="BC6" i="5"/>
  <c r="BD6" i="5"/>
  <c r="BE6" i="5"/>
  <c r="AY7" i="5"/>
  <c r="AZ7" i="5"/>
  <c r="BA7" i="5"/>
  <c r="BB7" i="5"/>
  <c r="BC7" i="5"/>
  <c r="BD7" i="5"/>
  <c r="BE7" i="5"/>
  <c r="AY8" i="5"/>
  <c r="AZ8" i="5"/>
  <c r="BA8" i="5"/>
  <c r="BB8" i="5"/>
  <c r="BC8" i="5"/>
  <c r="BD8" i="5"/>
  <c r="BE8" i="5"/>
  <c r="AY9" i="5"/>
  <c r="AZ9" i="5"/>
  <c r="BA9" i="5"/>
  <c r="BB9" i="5"/>
  <c r="BC9" i="5"/>
  <c r="BD9" i="5"/>
  <c r="BE9" i="5"/>
  <c r="AY10" i="5"/>
  <c r="AZ10" i="5"/>
  <c r="BA10" i="5"/>
  <c r="BB10" i="5"/>
  <c r="BC10" i="5"/>
  <c r="BD10" i="5"/>
  <c r="BE10" i="5"/>
  <c r="AY11" i="5"/>
  <c r="AZ11" i="5"/>
  <c r="BA11" i="5"/>
  <c r="BB11" i="5"/>
  <c r="BC11" i="5"/>
  <c r="BD11" i="5"/>
  <c r="BE11" i="5"/>
  <c r="AY12" i="5"/>
  <c r="AZ12" i="5"/>
  <c r="BA12" i="5"/>
  <c r="BB12" i="5"/>
  <c r="BC12" i="5"/>
  <c r="BD12" i="5"/>
  <c r="BE12" i="5"/>
  <c r="AX6" i="5"/>
  <c r="AX7" i="5"/>
  <c r="AX8" i="5"/>
  <c r="AX9" i="5"/>
  <c r="AX10" i="5"/>
  <c r="AX11" i="5"/>
  <c r="AX12" i="5"/>
  <c r="AI5" i="5"/>
  <c r="AJ5" i="5"/>
  <c r="AK5" i="5"/>
  <c r="AL5" i="5"/>
  <c r="AM5" i="5"/>
  <c r="AN5" i="5"/>
  <c r="AO5" i="5"/>
  <c r="AI6" i="5"/>
  <c r="AJ6" i="5"/>
  <c r="AK6" i="5"/>
  <c r="AL6" i="5"/>
  <c r="AM6" i="5"/>
  <c r="AN6" i="5"/>
  <c r="AO6" i="5"/>
  <c r="AI7" i="5"/>
  <c r="AJ7" i="5"/>
  <c r="AK7" i="5"/>
  <c r="AL7" i="5"/>
  <c r="AM7" i="5"/>
  <c r="AN7" i="5"/>
  <c r="AO7" i="5"/>
  <c r="AI8" i="5"/>
  <c r="AJ8" i="5"/>
  <c r="AK8" i="5"/>
  <c r="AL8" i="5"/>
  <c r="AM8" i="5"/>
  <c r="AN8" i="5"/>
  <c r="AO8" i="5"/>
  <c r="AI9" i="5"/>
  <c r="AJ9" i="5"/>
  <c r="AK9" i="5"/>
  <c r="EC10" i="9" s="1"/>
  <c r="ES10" i="9" s="1"/>
  <c r="FI10" i="9" s="1"/>
  <c r="FY10" i="9" s="1"/>
  <c r="AL9" i="5"/>
  <c r="ED10" i="9" s="1"/>
  <c r="ET10" i="9" s="1"/>
  <c r="FJ10" i="9" s="1"/>
  <c r="FZ10" i="9" s="1"/>
  <c r="AM9" i="5"/>
  <c r="AN9" i="5"/>
  <c r="AO9" i="5"/>
  <c r="AI10" i="5"/>
  <c r="AJ10" i="5"/>
  <c r="AK10" i="5"/>
  <c r="AL10" i="5"/>
  <c r="AM10" i="5"/>
  <c r="AN10" i="5"/>
  <c r="AO10" i="5"/>
  <c r="AI11" i="5"/>
  <c r="AJ11" i="5"/>
  <c r="AK11" i="5"/>
  <c r="AL11" i="5"/>
  <c r="AM11" i="5"/>
  <c r="AN11" i="5"/>
  <c r="AO11" i="5"/>
  <c r="AI12" i="5"/>
  <c r="AJ12" i="5"/>
  <c r="AK12" i="5"/>
  <c r="EC13" i="9" s="1"/>
  <c r="ES13" i="9" s="1"/>
  <c r="FI13" i="9" s="1"/>
  <c r="FY13" i="9" s="1"/>
  <c r="AL12" i="5"/>
  <c r="AM12" i="5"/>
  <c r="AN12" i="5"/>
  <c r="AO12" i="5"/>
  <c r="AH6" i="5"/>
  <c r="AH7" i="5"/>
  <c r="AH8" i="5"/>
  <c r="AH9" i="5"/>
  <c r="AH10" i="5"/>
  <c r="AH11" i="5"/>
  <c r="AH12" i="5"/>
  <c r="S5" i="5"/>
  <c r="T5" i="5"/>
  <c r="U5" i="5"/>
  <c r="V5" i="5"/>
  <c r="W5" i="5"/>
  <c r="X5" i="5"/>
  <c r="Y5" i="5"/>
  <c r="S6" i="5"/>
  <c r="T6" i="5"/>
  <c r="U6" i="5"/>
  <c r="V6" i="5"/>
  <c r="W6" i="5"/>
  <c r="X6" i="5"/>
  <c r="Y6" i="5"/>
  <c r="S7" i="5"/>
  <c r="T7" i="5"/>
  <c r="U7" i="5"/>
  <c r="V7" i="5"/>
  <c r="W7" i="5"/>
  <c r="X7" i="5"/>
  <c r="Y7" i="5"/>
  <c r="S8" i="5"/>
  <c r="T8" i="5"/>
  <c r="U8" i="5"/>
  <c r="V8" i="5"/>
  <c r="W8" i="5"/>
  <c r="X8" i="5"/>
  <c r="Y8" i="5"/>
  <c r="S9" i="5"/>
  <c r="T9" i="5"/>
  <c r="U9" i="5"/>
  <c r="BQ10" i="9" s="1"/>
  <c r="CG10" i="9" s="1"/>
  <c r="CW10" i="9" s="1"/>
  <c r="DM10" i="9" s="1"/>
  <c r="V9" i="5"/>
  <c r="BR10" i="9" s="1"/>
  <c r="CH10" i="9" s="1"/>
  <c r="CX10" i="9" s="1"/>
  <c r="DN10" i="9" s="1"/>
  <c r="W9" i="5"/>
  <c r="X9" i="5"/>
  <c r="BT10" i="9" s="1"/>
  <c r="CJ10" i="9" s="1"/>
  <c r="CZ10" i="9" s="1"/>
  <c r="DP10" i="9" s="1"/>
  <c r="Y9" i="5"/>
  <c r="S10" i="5"/>
  <c r="T10" i="5"/>
  <c r="U10" i="5"/>
  <c r="V10" i="5"/>
  <c r="W10" i="5"/>
  <c r="X10" i="5"/>
  <c r="Y10" i="5"/>
  <c r="S11" i="5"/>
  <c r="T11" i="5"/>
  <c r="U11" i="5"/>
  <c r="V11" i="5"/>
  <c r="W11" i="5"/>
  <c r="X11" i="5"/>
  <c r="Y11" i="5"/>
  <c r="S12" i="5"/>
  <c r="T12" i="5"/>
  <c r="U12" i="5"/>
  <c r="BQ13" i="9" s="1"/>
  <c r="CG13" i="9" s="1"/>
  <c r="CW13" i="9" s="1"/>
  <c r="DM13" i="9" s="1"/>
  <c r="V12" i="5"/>
  <c r="BR13" i="9" s="1"/>
  <c r="CH13" i="9" s="1"/>
  <c r="CX13" i="9" s="1"/>
  <c r="DN13" i="9" s="1"/>
  <c r="W12" i="5"/>
  <c r="X12" i="5"/>
  <c r="Y12" i="5"/>
  <c r="R6" i="5"/>
  <c r="R7" i="5"/>
  <c r="R8" i="5"/>
  <c r="R9" i="5"/>
  <c r="R10" i="5"/>
  <c r="R11" i="5"/>
  <c r="R12" i="5"/>
  <c r="R5" i="5"/>
  <c r="C5" i="5"/>
  <c r="D5" i="5"/>
  <c r="E5" i="5"/>
  <c r="F5" i="5"/>
  <c r="G5" i="5"/>
  <c r="H5" i="5"/>
  <c r="I5" i="5"/>
  <c r="C6" i="5"/>
  <c r="D6" i="5"/>
  <c r="E6" i="5"/>
  <c r="F6" i="5"/>
  <c r="G6" i="5"/>
  <c r="H6" i="5"/>
  <c r="I6" i="5"/>
  <c r="C7" i="5"/>
  <c r="D7" i="5"/>
  <c r="E7" i="5"/>
  <c r="F7" i="5"/>
  <c r="G7" i="5"/>
  <c r="H7" i="5"/>
  <c r="I7" i="5"/>
  <c r="C8" i="5"/>
  <c r="D8" i="5"/>
  <c r="E8" i="5"/>
  <c r="F8" i="5"/>
  <c r="G8" i="5"/>
  <c r="H8" i="5"/>
  <c r="I8" i="5"/>
  <c r="C9" i="5"/>
  <c r="D9" i="5"/>
  <c r="E9" i="5"/>
  <c r="F9" i="5"/>
  <c r="G9" i="5"/>
  <c r="H9" i="5"/>
  <c r="I9" i="5"/>
  <c r="C10" i="5"/>
  <c r="D10" i="5"/>
  <c r="E10" i="5"/>
  <c r="F10" i="5"/>
  <c r="G10" i="5"/>
  <c r="H10" i="5"/>
  <c r="I10" i="5"/>
  <c r="C11" i="5"/>
  <c r="D11" i="5"/>
  <c r="E11" i="5"/>
  <c r="F11" i="5"/>
  <c r="G11" i="5"/>
  <c r="H11" i="5"/>
  <c r="I11" i="5"/>
  <c r="C12" i="5"/>
  <c r="D12" i="5"/>
  <c r="E12" i="5"/>
  <c r="F12" i="5"/>
  <c r="G12" i="5"/>
  <c r="H12" i="5"/>
  <c r="I12" i="5"/>
  <c r="B6" i="5"/>
  <c r="B7" i="5"/>
  <c r="B8" i="5"/>
  <c r="B9" i="5"/>
  <c r="B10" i="5"/>
  <c r="B11" i="5"/>
  <c r="B12" i="5"/>
  <c r="C5" i="13"/>
  <c r="D5" i="13"/>
  <c r="E5" i="13"/>
  <c r="F5" i="13"/>
  <c r="G5" i="13"/>
  <c r="H5" i="13"/>
  <c r="I5" i="13"/>
  <c r="C6" i="13"/>
  <c r="D6" i="13"/>
  <c r="E6" i="13"/>
  <c r="F6" i="13"/>
  <c r="G6" i="13"/>
  <c r="H6" i="13"/>
  <c r="I6" i="13"/>
  <c r="C7" i="13"/>
  <c r="D7" i="13"/>
  <c r="E7" i="13"/>
  <c r="F7" i="13"/>
  <c r="G7" i="13"/>
  <c r="H7" i="13"/>
  <c r="I7" i="13"/>
  <c r="C8" i="13"/>
  <c r="D8" i="13"/>
  <c r="E8" i="13"/>
  <c r="F8" i="13"/>
  <c r="G8" i="13"/>
  <c r="H8" i="13"/>
  <c r="I8" i="13"/>
  <c r="C9" i="13"/>
  <c r="D9" i="13"/>
  <c r="E9" i="13"/>
  <c r="F9" i="13"/>
  <c r="G9" i="13"/>
  <c r="H9" i="13"/>
  <c r="I9" i="13"/>
  <c r="C10" i="13"/>
  <c r="D10" i="13"/>
  <c r="E10" i="13"/>
  <c r="F10" i="13"/>
  <c r="G10" i="13"/>
  <c r="H10" i="13"/>
  <c r="I10" i="13"/>
  <c r="C11" i="13"/>
  <c r="D11" i="13"/>
  <c r="E11" i="13"/>
  <c r="F11" i="13"/>
  <c r="G11" i="13"/>
  <c r="H11" i="13"/>
  <c r="I11" i="13"/>
  <c r="C12" i="13"/>
  <c r="D12" i="13"/>
  <c r="E12" i="13"/>
  <c r="F12" i="13"/>
  <c r="G12" i="13"/>
  <c r="H12" i="13"/>
  <c r="I12" i="13"/>
  <c r="B6" i="13"/>
  <c r="B7" i="13"/>
  <c r="B8" i="13"/>
  <c r="B9" i="13"/>
  <c r="B10" i="13"/>
  <c r="B11" i="13"/>
  <c r="B12" i="13"/>
  <c r="J61" i="1"/>
  <c r="K61" i="1"/>
  <c r="O61" i="1" s="1" a="1"/>
  <c r="O61" i="1" s="1"/>
  <c r="L61" i="1"/>
  <c r="P61" i="1" s="1" a="1"/>
  <c r="P61" i="1" s="1"/>
  <c r="J56" i="1"/>
  <c r="K56" i="1"/>
  <c r="L56" i="1"/>
  <c r="P56" i="1" s="1" a="1"/>
  <c r="P56" i="1" s="1"/>
  <c r="J57" i="1"/>
  <c r="K57" i="1"/>
  <c r="L57" i="1"/>
  <c r="P57" i="1" s="1" a="1"/>
  <c r="P57" i="1" s="1"/>
  <c r="J58" i="1"/>
  <c r="K58" i="1"/>
  <c r="O58" i="1" s="1" a="1"/>
  <c r="O58" i="1" s="1"/>
  <c r="L58" i="1"/>
  <c r="P58" i="1" s="1" a="1"/>
  <c r="P58" i="1" s="1"/>
  <c r="J59" i="1"/>
  <c r="K59" i="1"/>
  <c r="L59" i="1"/>
  <c r="P59" i="1" s="1" a="1"/>
  <c r="P59" i="1" s="1"/>
  <c r="J60" i="1"/>
  <c r="K60" i="1"/>
  <c r="L60" i="1"/>
  <c r="P60" i="1" s="1" a="1"/>
  <c r="P60" i="1" s="1"/>
  <c r="K55" i="1"/>
  <c r="L55" i="1"/>
  <c r="P55" i="1" s="1" a="1"/>
  <c r="P55" i="1" s="1"/>
  <c r="J55" i="1"/>
  <c r="K53" i="1"/>
  <c r="O53" i="1" s="1" a="1"/>
  <c r="O53" i="1" s="1"/>
  <c r="L53" i="1"/>
  <c r="P53" i="1" s="1" a="1"/>
  <c r="P53" i="1" s="1"/>
  <c r="K54" i="1"/>
  <c r="L54" i="1"/>
  <c r="P54" i="1" s="1" a="1"/>
  <c r="P54" i="1" s="1"/>
  <c r="J54" i="1"/>
  <c r="J53" i="1"/>
  <c r="K52" i="1"/>
  <c r="O52" i="1" s="1" a="1"/>
  <c r="O52" i="1" s="1"/>
  <c r="L52" i="1"/>
  <c r="P52" i="1" s="1" a="1"/>
  <c r="P52" i="1" s="1"/>
  <c r="J52" i="1"/>
  <c r="K51" i="1"/>
  <c r="O51" i="1" s="1" a="1"/>
  <c r="O51" i="1" s="1"/>
  <c r="L51" i="1"/>
  <c r="P51" i="1" s="1" a="1"/>
  <c r="P51" i="1" s="1"/>
  <c r="J51" i="1"/>
  <c r="K50" i="1"/>
  <c r="L50" i="1"/>
  <c r="P50" i="1" s="1" a="1"/>
  <c r="P50" i="1" s="1"/>
  <c r="J50"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A15" i="3" a="1"/>
  <c r="A15" i="3" s="1"/>
  <c r="K2" i="16" s="1"/>
  <c r="K48" i="1"/>
  <c r="O48" i="1" s="1" a="1"/>
  <c r="O48" i="1" s="1"/>
  <c r="L48" i="1"/>
  <c r="P48" i="1" s="1" a="1"/>
  <c r="P48" i="1" s="1"/>
  <c r="K49" i="1"/>
  <c r="L49" i="1"/>
  <c r="P49" i="1" s="1" a="1"/>
  <c r="P49" i="1" s="1"/>
  <c r="L8" i="1"/>
  <c r="P8" i="1" s="1" a="1"/>
  <c r="P8" i="1" s="1"/>
  <c r="K8" i="1"/>
  <c r="J8" i="1"/>
  <c r="Q59" i="1" l="1"/>
  <c r="G15" i="3" a="1"/>
  <c r="G15" i="3" s="1"/>
  <c r="K8" i="16" s="1"/>
  <c r="Q49" i="1"/>
  <c r="Q55" i="1"/>
  <c r="Q62" i="1"/>
  <c r="H62" i="1" s="1"/>
  <c r="Q54" i="1"/>
  <c r="Q57" i="1"/>
  <c r="Q56" i="1"/>
  <c r="Q50" i="1"/>
  <c r="Q8" i="1"/>
  <c r="Q60" i="1"/>
  <c r="O57" i="1" a="1"/>
  <c r="O57" i="1" s="1"/>
  <c r="O54" i="1" a="1"/>
  <c r="O54" i="1" s="1"/>
  <c r="O60" i="1" a="1"/>
  <c r="O60" i="1" s="1"/>
  <c r="Q61" i="1"/>
  <c r="H61" i="1" s="1"/>
  <c r="Q53" i="1"/>
  <c r="H53" i="1" s="1"/>
  <c r="O50" i="1" a="1"/>
  <c r="O50" i="1" s="1"/>
  <c r="H50" i="1" s="1"/>
  <c r="Q52" i="1"/>
  <c r="H52" i="1" s="1"/>
  <c r="O59" i="1" a="1"/>
  <c r="O59" i="1" s="1"/>
  <c r="H59" i="1" s="1"/>
  <c r="O56" i="1" a="1"/>
  <c r="O56" i="1" s="1"/>
  <c r="O8" i="1" a="1"/>
  <c r="O8" i="1" s="1"/>
  <c r="Q51" i="1"/>
  <c r="H51" i="1" s="1"/>
  <c r="O49" i="1" a="1"/>
  <c r="O49" i="1" s="1"/>
  <c r="Q58" i="1"/>
  <c r="H58" i="1" s="1"/>
  <c r="O55" i="1" a="1"/>
  <c r="O55" i="1" s="1"/>
  <c r="Q48" i="1"/>
  <c r="H48" i="1" s="1"/>
  <c r="I64" i="2"/>
  <c r="C15" i="3" a="1"/>
  <c r="C15" i="3" s="1"/>
  <c r="K4" i="16" s="1"/>
  <c r="H15" i="3" a="1"/>
  <c r="H15" i="3" s="1"/>
  <c r="K9" i="16" s="1"/>
  <c r="D15" i="3" a="1"/>
  <c r="D15" i="3" s="1"/>
  <c r="K5" i="16" s="1"/>
  <c r="B15" i="3" a="1"/>
  <c r="B15" i="3" s="1"/>
  <c r="K3" i="16" s="1"/>
  <c r="F15" i="3" a="1"/>
  <c r="F15" i="3" s="1"/>
  <c r="K7" i="16" s="1"/>
  <c r="E15" i="3" a="1"/>
  <c r="E15" i="3" s="1"/>
  <c r="K6" i="16" s="1"/>
  <c r="D10" i="16"/>
  <c r="E10" i="16"/>
  <c r="F10" i="16"/>
  <c r="G10" i="16"/>
  <c r="H10" i="16"/>
  <c r="I10" i="16"/>
  <c r="B10" i="16"/>
  <c r="H49" i="1" l="1"/>
  <c r="H55" i="1"/>
  <c r="H54" i="1"/>
  <c r="H56" i="1"/>
  <c r="H57" i="1"/>
  <c r="H8" i="1"/>
  <c r="H60" i="1"/>
  <c r="J49" i="1"/>
  <c r="J48" i="1"/>
  <c r="B3" i="14"/>
  <c r="B4" i="14"/>
  <c r="B5" i="14"/>
  <c r="B2" i="14"/>
  <c r="AH2" i="9"/>
  <c r="AX2" i="9"/>
  <c r="BN2" i="9" s="1"/>
  <c r="R2" i="9"/>
  <c r="B2" i="9"/>
  <c r="AX2" i="5"/>
  <c r="AH2" i="5"/>
  <c r="R2" i="5"/>
  <c r="I41" i="5" s="1"/>
  <c r="K47" i="5"/>
  <c r="K48" i="5"/>
  <c r="K50" i="5"/>
  <c r="K43" i="5"/>
  <c r="CD2" i="9" l="1"/>
  <c r="CT2" i="9" s="1"/>
  <c r="DJ2" i="9" s="1"/>
  <c r="DZ2" i="9" s="1"/>
  <c r="EP2" i="9" s="1"/>
  <c r="FF2" i="9" s="1"/>
  <c r="FV2" i="9" s="1"/>
  <c r="GL2" i="9" s="1"/>
  <c r="HB2" i="9" s="1"/>
  <c r="HR2" i="9" s="1"/>
  <c r="IH2" i="9" s="1"/>
  <c r="C33" i="9"/>
  <c r="B5" i="13"/>
  <c r="I4" i="13"/>
  <c r="H4" i="13"/>
  <c r="G4" i="13"/>
  <c r="E4" i="13"/>
  <c r="D4" i="13"/>
  <c r="C4" i="13"/>
  <c r="B4" i="13"/>
  <c r="GU6" i="9"/>
  <c r="HK6" i="9" s="1"/>
  <c r="IA6" i="9" s="1"/>
  <c r="IQ6" i="9" s="1"/>
  <c r="GV6" i="9"/>
  <c r="HL6" i="9" s="1"/>
  <c r="IB6" i="9" s="1"/>
  <c r="IR6" i="9" s="1"/>
  <c r="GW6" i="9"/>
  <c r="HM6" i="9" s="1"/>
  <c r="IC6" i="9" s="1"/>
  <c r="IS6" i="9" s="1"/>
  <c r="GX6" i="9"/>
  <c r="HN6" i="9" s="1"/>
  <c r="ID6" i="9" s="1"/>
  <c r="IT6" i="9" s="1"/>
  <c r="GY6" i="9"/>
  <c r="HO6" i="9" s="1"/>
  <c r="IE6" i="9" s="1"/>
  <c r="IU6" i="9" s="1"/>
  <c r="GZ6" i="9"/>
  <c r="HP6" i="9" s="1"/>
  <c r="IF6" i="9" s="1"/>
  <c r="IV6" i="9" s="1"/>
  <c r="HA6" i="9"/>
  <c r="HQ6" i="9" s="1"/>
  <c r="IG6" i="9" s="1"/>
  <c r="IW6" i="9" s="1"/>
  <c r="GU7" i="9"/>
  <c r="HK7" i="9" s="1"/>
  <c r="IA7" i="9" s="1"/>
  <c r="IQ7" i="9" s="1"/>
  <c r="GV7" i="9"/>
  <c r="HL7" i="9" s="1"/>
  <c r="IB7" i="9" s="1"/>
  <c r="IR7" i="9" s="1"/>
  <c r="GW7" i="9"/>
  <c r="HM7" i="9" s="1"/>
  <c r="IC7" i="9" s="1"/>
  <c r="IS7" i="9" s="1"/>
  <c r="GX7" i="9"/>
  <c r="HN7" i="9" s="1"/>
  <c r="ID7" i="9" s="1"/>
  <c r="IT7" i="9" s="1"/>
  <c r="GY7" i="9"/>
  <c r="HO7" i="9" s="1"/>
  <c r="IE7" i="9" s="1"/>
  <c r="IU7" i="9" s="1"/>
  <c r="GZ7" i="9"/>
  <c r="HP7" i="9" s="1"/>
  <c r="IF7" i="9" s="1"/>
  <c r="IV7" i="9" s="1"/>
  <c r="HA7" i="9"/>
  <c r="HQ7" i="9" s="1"/>
  <c r="IG7" i="9" s="1"/>
  <c r="IW7" i="9" s="1"/>
  <c r="GU8" i="9"/>
  <c r="HK8" i="9" s="1"/>
  <c r="IA8" i="9" s="1"/>
  <c r="IQ8" i="9" s="1"/>
  <c r="GV8" i="9"/>
  <c r="HL8" i="9" s="1"/>
  <c r="IB8" i="9" s="1"/>
  <c r="IR8" i="9" s="1"/>
  <c r="GW8" i="9"/>
  <c r="HM8" i="9" s="1"/>
  <c r="IC8" i="9" s="1"/>
  <c r="IS8" i="9" s="1"/>
  <c r="GX8" i="9"/>
  <c r="HN8" i="9" s="1"/>
  <c r="ID8" i="9" s="1"/>
  <c r="IT8" i="9" s="1"/>
  <c r="GY8" i="9"/>
  <c r="HO8" i="9" s="1"/>
  <c r="IE8" i="9" s="1"/>
  <c r="IU8" i="9" s="1"/>
  <c r="GZ8" i="9"/>
  <c r="HP8" i="9" s="1"/>
  <c r="IF8" i="9" s="1"/>
  <c r="IV8" i="9" s="1"/>
  <c r="HA8" i="9"/>
  <c r="HQ8" i="9" s="1"/>
  <c r="IG8" i="9" s="1"/>
  <c r="IW8" i="9" s="1"/>
  <c r="GU9" i="9"/>
  <c r="HK9" i="9" s="1"/>
  <c r="IA9" i="9" s="1"/>
  <c r="IQ9" i="9" s="1"/>
  <c r="GV9" i="9"/>
  <c r="HL9" i="9" s="1"/>
  <c r="IB9" i="9" s="1"/>
  <c r="IR9" i="9" s="1"/>
  <c r="GW9" i="9"/>
  <c r="HM9" i="9" s="1"/>
  <c r="IC9" i="9" s="1"/>
  <c r="IS9" i="9" s="1"/>
  <c r="GX9" i="9"/>
  <c r="HN9" i="9" s="1"/>
  <c r="ID9" i="9" s="1"/>
  <c r="IT9" i="9" s="1"/>
  <c r="GY9" i="9"/>
  <c r="HO9" i="9" s="1"/>
  <c r="IE9" i="9" s="1"/>
  <c r="IU9" i="9" s="1"/>
  <c r="GZ9" i="9"/>
  <c r="HP9" i="9" s="1"/>
  <c r="IF9" i="9" s="1"/>
  <c r="IV9" i="9" s="1"/>
  <c r="HA9" i="9"/>
  <c r="HQ9" i="9" s="1"/>
  <c r="IG9" i="9" s="1"/>
  <c r="IW9" i="9" s="1"/>
  <c r="GT6" i="9"/>
  <c r="HJ6" i="9" s="1"/>
  <c r="HZ6" i="9" s="1"/>
  <c r="IP6" i="9" s="1"/>
  <c r="GT7" i="9"/>
  <c r="HJ7" i="9" s="1"/>
  <c r="HZ7" i="9" s="1"/>
  <c r="IP7" i="9" s="1"/>
  <c r="GT8" i="9"/>
  <c r="HJ8" i="9" s="1"/>
  <c r="HZ8" i="9" s="1"/>
  <c r="IP8" i="9" s="1"/>
  <c r="GT9" i="9"/>
  <c r="HJ9" i="9" s="1"/>
  <c r="HZ9" i="9" s="1"/>
  <c r="IP9" i="9" s="1"/>
  <c r="EH6" i="9"/>
  <c r="EX6" i="9" s="1"/>
  <c r="FN6" i="9" s="1"/>
  <c r="GD6" i="9" s="1"/>
  <c r="EI6" i="9"/>
  <c r="EY6" i="9" s="1"/>
  <c r="FO6" i="9" s="1"/>
  <c r="GE6" i="9" s="1"/>
  <c r="EJ6" i="9"/>
  <c r="EZ6" i="9" s="1"/>
  <c r="FP6" i="9" s="1"/>
  <c r="GF6" i="9" s="1"/>
  <c r="EK6" i="9"/>
  <c r="FA6" i="9" s="1"/>
  <c r="FQ6" i="9" s="1"/>
  <c r="GG6" i="9" s="1"/>
  <c r="EL6" i="9"/>
  <c r="FB6" i="9" s="1"/>
  <c r="FR6" i="9" s="1"/>
  <c r="GH6" i="9" s="1"/>
  <c r="EM6" i="9"/>
  <c r="FC6" i="9" s="1"/>
  <c r="FS6" i="9" s="1"/>
  <c r="GI6" i="9" s="1"/>
  <c r="EN6" i="9"/>
  <c r="FD6" i="9" s="1"/>
  <c r="FT6" i="9" s="1"/>
  <c r="GJ6" i="9" s="1"/>
  <c r="EO6" i="9"/>
  <c r="FE6" i="9" s="1"/>
  <c r="FU6" i="9" s="1"/>
  <c r="GK6" i="9" s="1"/>
  <c r="EO7" i="9"/>
  <c r="FE7" i="9" s="1"/>
  <c r="FU7" i="9" s="1"/>
  <c r="GK7" i="9" s="1"/>
  <c r="EH8" i="9"/>
  <c r="EX8" i="9" s="1"/>
  <c r="FN8" i="9" s="1"/>
  <c r="GD8" i="9" s="1"/>
  <c r="EI8" i="9"/>
  <c r="EY8" i="9" s="1"/>
  <c r="FO8" i="9" s="1"/>
  <c r="GE8" i="9" s="1"/>
  <c r="EJ8" i="9"/>
  <c r="EZ8" i="9" s="1"/>
  <c r="FP8" i="9" s="1"/>
  <c r="GF8" i="9" s="1"/>
  <c r="EK8" i="9"/>
  <c r="FA8" i="9" s="1"/>
  <c r="FQ8" i="9" s="1"/>
  <c r="GG8" i="9" s="1"/>
  <c r="EL8" i="9"/>
  <c r="FB8" i="9" s="1"/>
  <c r="FR8" i="9" s="1"/>
  <c r="GH8" i="9" s="1"/>
  <c r="EM8" i="9"/>
  <c r="FC8" i="9" s="1"/>
  <c r="FS8" i="9" s="1"/>
  <c r="GI8" i="9" s="1"/>
  <c r="EN8" i="9"/>
  <c r="FD8" i="9" s="1"/>
  <c r="FT8" i="9" s="1"/>
  <c r="GJ8" i="9" s="1"/>
  <c r="EO8" i="9"/>
  <c r="FE8" i="9" s="1"/>
  <c r="FU8" i="9" s="1"/>
  <c r="GK8" i="9" s="1"/>
  <c r="EH9" i="9"/>
  <c r="EX9" i="9" s="1"/>
  <c r="FN9" i="9" s="1"/>
  <c r="GD9" i="9" s="1"/>
  <c r="EI9" i="9"/>
  <c r="EY9" i="9" s="1"/>
  <c r="FO9" i="9" s="1"/>
  <c r="GE9" i="9" s="1"/>
  <c r="EJ9" i="9"/>
  <c r="EZ9" i="9" s="1"/>
  <c r="FP9" i="9" s="1"/>
  <c r="GF9" i="9" s="1"/>
  <c r="EK9" i="9"/>
  <c r="FA9" i="9" s="1"/>
  <c r="FQ9" i="9" s="1"/>
  <c r="GG9" i="9" s="1"/>
  <c r="EL9" i="9"/>
  <c r="FB9" i="9" s="1"/>
  <c r="FR9" i="9" s="1"/>
  <c r="GH9" i="9" s="1"/>
  <c r="EM9" i="9"/>
  <c r="FC9" i="9" s="1"/>
  <c r="FS9" i="9" s="1"/>
  <c r="GI9" i="9" s="1"/>
  <c r="EN9" i="9"/>
  <c r="FD9" i="9" s="1"/>
  <c r="FT9" i="9" s="1"/>
  <c r="GJ9" i="9" s="1"/>
  <c r="EO9" i="9"/>
  <c r="FE9" i="9" s="1"/>
  <c r="FU9" i="9" s="1"/>
  <c r="GK9" i="9" s="1"/>
  <c r="BV6" i="9"/>
  <c r="CL6" i="9" s="1"/>
  <c r="DB6" i="9" s="1"/>
  <c r="DR6" i="9" s="1"/>
  <c r="BW6" i="9"/>
  <c r="CM6" i="9" s="1"/>
  <c r="DC6" i="9" s="1"/>
  <c r="DS6" i="9" s="1"/>
  <c r="BX6" i="9"/>
  <c r="CN6" i="9" s="1"/>
  <c r="DD6" i="9" s="1"/>
  <c r="DT6" i="9" s="1"/>
  <c r="BY6" i="9"/>
  <c r="CO6" i="9" s="1"/>
  <c r="DE6" i="9" s="1"/>
  <c r="DU6" i="9" s="1"/>
  <c r="BZ6" i="9"/>
  <c r="CP6" i="9" s="1"/>
  <c r="DF6" i="9" s="1"/>
  <c r="DV6" i="9" s="1"/>
  <c r="CA6" i="9"/>
  <c r="CQ6" i="9" s="1"/>
  <c r="DG6" i="9" s="1"/>
  <c r="DW6" i="9" s="1"/>
  <c r="CB6" i="9"/>
  <c r="CR6" i="9" s="1"/>
  <c r="DH6" i="9" s="1"/>
  <c r="DX6" i="9" s="1"/>
  <c r="CC6" i="9"/>
  <c r="CS6" i="9" s="1"/>
  <c r="DI6" i="9" s="1"/>
  <c r="DY6" i="9" s="1"/>
  <c r="BV7" i="9"/>
  <c r="CL7" i="9" s="1"/>
  <c r="DB7" i="9" s="1"/>
  <c r="DR7" i="9" s="1"/>
  <c r="BW7" i="9"/>
  <c r="CM7" i="9" s="1"/>
  <c r="DC7" i="9" s="1"/>
  <c r="DS7" i="9" s="1"/>
  <c r="BX7" i="9"/>
  <c r="CN7" i="9" s="1"/>
  <c r="DD7" i="9" s="1"/>
  <c r="DT7" i="9" s="1"/>
  <c r="BY7" i="9"/>
  <c r="CO7" i="9" s="1"/>
  <c r="DE7" i="9" s="1"/>
  <c r="DU7" i="9" s="1"/>
  <c r="BZ7" i="9"/>
  <c r="CP7" i="9" s="1"/>
  <c r="DF7" i="9" s="1"/>
  <c r="DV7" i="9" s="1"/>
  <c r="CA7" i="9"/>
  <c r="CQ7" i="9" s="1"/>
  <c r="DG7" i="9" s="1"/>
  <c r="DW7" i="9" s="1"/>
  <c r="CB7" i="9"/>
  <c r="CR7" i="9" s="1"/>
  <c r="DH7" i="9" s="1"/>
  <c r="DX7" i="9" s="1"/>
  <c r="CC7" i="9"/>
  <c r="CS7" i="9" s="1"/>
  <c r="DI7" i="9" s="1"/>
  <c r="DY7" i="9" s="1"/>
  <c r="BV8" i="9"/>
  <c r="CL8" i="9" s="1"/>
  <c r="DB8" i="9" s="1"/>
  <c r="DR8" i="9" s="1"/>
  <c r="BW8" i="9"/>
  <c r="CM8" i="9" s="1"/>
  <c r="DC8" i="9" s="1"/>
  <c r="DS8" i="9" s="1"/>
  <c r="BX8" i="9"/>
  <c r="CN8" i="9" s="1"/>
  <c r="DD8" i="9" s="1"/>
  <c r="DT8" i="9" s="1"/>
  <c r="BY8" i="9"/>
  <c r="CO8" i="9" s="1"/>
  <c r="DE8" i="9" s="1"/>
  <c r="DU8" i="9" s="1"/>
  <c r="BZ8" i="9"/>
  <c r="CP8" i="9" s="1"/>
  <c r="DF8" i="9" s="1"/>
  <c r="DV8" i="9" s="1"/>
  <c r="CA8" i="9"/>
  <c r="CQ8" i="9" s="1"/>
  <c r="DG8" i="9" s="1"/>
  <c r="DW8" i="9" s="1"/>
  <c r="CB8" i="9"/>
  <c r="CR8" i="9" s="1"/>
  <c r="DH8" i="9" s="1"/>
  <c r="DX8" i="9" s="1"/>
  <c r="CC8" i="9"/>
  <c r="CS8" i="9" s="1"/>
  <c r="DI8" i="9" s="1"/>
  <c r="DY8" i="9" s="1"/>
  <c r="BV9" i="9"/>
  <c r="CL9" i="9" s="1"/>
  <c r="DB9" i="9" s="1"/>
  <c r="DR9" i="9" s="1"/>
  <c r="BW9" i="9"/>
  <c r="CM9" i="9" s="1"/>
  <c r="DC9" i="9" s="1"/>
  <c r="DS9" i="9" s="1"/>
  <c r="BX9" i="9"/>
  <c r="CN9" i="9" s="1"/>
  <c r="DD9" i="9" s="1"/>
  <c r="DT9" i="9" s="1"/>
  <c r="BY9" i="9"/>
  <c r="CO9" i="9" s="1"/>
  <c r="DE9" i="9" s="1"/>
  <c r="DU9" i="9" s="1"/>
  <c r="BZ9" i="9"/>
  <c r="CP9" i="9" s="1"/>
  <c r="DF9" i="9" s="1"/>
  <c r="DV9" i="9" s="1"/>
  <c r="CA9" i="9"/>
  <c r="CQ9" i="9" s="1"/>
  <c r="DG9" i="9" s="1"/>
  <c r="DW9" i="9" s="1"/>
  <c r="CB9" i="9"/>
  <c r="CR9" i="9" s="1"/>
  <c r="DH9" i="9" s="1"/>
  <c r="DX9" i="9" s="1"/>
  <c r="CC9" i="9"/>
  <c r="CS9" i="9" s="1"/>
  <c r="DI9" i="9" s="1"/>
  <c r="DY9" i="9" s="1"/>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AX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R5" i="9"/>
  <c r="C5" i="9"/>
  <c r="D5" i="9"/>
  <c r="E5" i="9"/>
  <c r="F5" i="9"/>
  <c r="G5" i="9"/>
  <c r="H5" i="9"/>
  <c r="I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AX5" i="5"/>
  <c r="GL6" i="9" s="1"/>
  <c r="HB6" i="9" s="1"/>
  <c r="HR6" i="9" s="1"/>
  <c r="IH6" i="9" s="1"/>
  <c r="AH5" i="5"/>
  <c r="DZ6" i="9" s="1"/>
  <c r="EP6" i="9" s="1"/>
  <c r="FF6" i="9" s="1"/>
  <c r="FV6" i="9" s="1"/>
  <c r="AV6" i="5"/>
  <c r="EN7" i="9" s="1"/>
  <c r="FD7" i="9" s="1"/>
  <c r="FT7" i="9" s="1"/>
  <c r="GJ7" i="9" s="1"/>
  <c r="AU6" i="5"/>
  <c r="EM7" i="9" s="1"/>
  <c r="FC7" i="9" s="1"/>
  <c r="FS7" i="9" s="1"/>
  <c r="GI7" i="9" s="1"/>
  <c r="AT6" i="5"/>
  <c r="EL7" i="9" s="1"/>
  <c r="FB7" i="9" s="1"/>
  <c r="FR7" i="9" s="1"/>
  <c r="GH7" i="9" s="1"/>
  <c r="AS6" i="5"/>
  <c r="EK7" i="9" s="1"/>
  <c r="FA7" i="9" s="1"/>
  <c r="FQ7" i="9" s="1"/>
  <c r="GG7" i="9" s="1"/>
  <c r="BN6" i="9"/>
  <c r="CD6" i="9" s="1"/>
  <c r="CT6" i="9" s="1"/>
  <c r="DJ6" i="9" s="1"/>
  <c r="S4" i="5"/>
  <c r="AI4" i="5" s="1"/>
  <c r="AY4" i="5" s="1"/>
  <c r="GM5" i="9" s="1"/>
  <c r="HC5" i="9" s="1"/>
  <c r="HS5" i="9" s="1"/>
  <c r="II5" i="9" s="1"/>
  <c r="T4" i="5"/>
  <c r="AJ4" i="5" s="1"/>
  <c r="AZ4" i="5" s="1"/>
  <c r="GN5" i="9" s="1"/>
  <c r="HD5" i="9" s="1"/>
  <c r="HT5" i="9" s="1"/>
  <c r="IJ5" i="9" s="1"/>
  <c r="U4" i="5"/>
  <c r="AK4" i="5" s="1"/>
  <c r="EC5" i="9" s="1"/>
  <c r="ES5" i="9" s="1"/>
  <c r="FI5" i="9" s="1"/>
  <c r="FY5" i="9" s="1"/>
  <c r="V4" i="5"/>
  <c r="AL4" i="5" s="1"/>
  <c r="ED5" i="9" s="1"/>
  <c r="ET5" i="9" s="1"/>
  <c r="FJ5" i="9" s="1"/>
  <c r="FZ5" i="9" s="1"/>
  <c r="W4" i="5"/>
  <c r="AM4" i="5" s="1"/>
  <c r="EE5" i="9" s="1"/>
  <c r="EU5" i="9" s="1"/>
  <c r="FK5" i="9" s="1"/>
  <c r="GA5" i="9" s="1"/>
  <c r="X4" i="5"/>
  <c r="AN4" i="5" s="1"/>
  <c r="EF5" i="9" s="1"/>
  <c r="EV5" i="9" s="1"/>
  <c r="FL5" i="9" s="1"/>
  <c r="GB5" i="9" s="1"/>
  <c r="Y4" i="5"/>
  <c r="AO4" i="5" s="1"/>
  <c r="EG5" i="9" s="1"/>
  <c r="EW5" i="9" s="1"/>
  <c r="FM5" i="9" s="1"/>
  <c r="GC5" i="9" s="1"/>
  <c r="R4" i="5"/>
  <c r="AH4" i="5" s="1"/>
  <c r="DZ5" i="9" s="1"/>
  <c r="EP5" i="9" s="1"/>
  <c r="FF5" i="9" s="1"/>
  <c r="FV5" i="9" s="1"/>
  <c r="K4" i="5"/>
  <c r="AA4" i="5" s="1"/>
  <c r="AQ4" i="5" s="1"/>
  <c r="EI5" i="9" s="1"/>
  <c r="EY5" i="9" s="1"/>
  <c r="FO5" i="9" s="1"/>
  <c r="GE5" i="9" s="1"/>
  <c r="L4" i="5"/>
  <c r="AB4" i="5" s="1"/>
  <c r="AR4" i="5" s="1"/>
  <c r="BG4" i="5" s="1"/>
  <c r="GU5" i="9" s="1"/>
  <c r="HK5" i="9" s="1"/>
  <c r="IA5" i="9" s="1"/>
  <c r="IQ5" i="9" s="1"/>
  <c r="M4" i="5"/>
  <c r="AC4" i="5" s="1"/>
  <c r="AS4" i="5" s="1"/>
  <c r="EK5" i="9" s="1"/>
  <c r="FA5" i="9" s="1"/>
  <c r="FQ5" i="9" s="1"/>
  <c r="GG5" i="9" s="1"/>
  <c r="N4" i="5"/>
  <c r="AD4" i="5" s="1"/>
  <c r="AT4" i="5" s="1"/>
  <c r="BI4" i="5" s="1"/>
  <c r="GW5" i="9" s="1"/>
  <c r="HM5" i="9" s="1"/>
  <c r="IC5" i="9" s="1"/>
  <c r="IS5" i="9" s="1"/>
  <c r="O4" i="5"/>
  <c r="AE4" i="5" s="1"/>
  <c r="AU4" i="5" s="1"/>
  <c r="EM5" i="9" s="1"/>
  <c r="FC5" i="9" s="1"/>
  <c r="FS5" i="9" s="1"/>
  <c r="GI5" i="9" s="1"/>
  <c r="P4" i="5"/>
  <c r="AF4" i="5" s="1"/>
  <c r="AV4" i="5" s="1"/>
  <c r="EN5" i="9" s="1"/>
  <c r="FD5" i="9" s="1"/>
  <c r="FT5" i="9" s="1"/>
  <c r="GJ5" i="9" s="1"/>
  <c r="Q4" i="5"/>
  <c r="AG4" i="5" s="1"/>
  <c r="AW4" i="5" s="1"/>
  <c r="EO5" i="9" s="1"/>
  <c r="FE5" i="9" s="1"/>
  <c r="FU5" i="9" s="1"/>
  <c r="GK5" i="9" s="1"/>
  <c r="J4" i="5"/>
  <c r="Z4" i="5" s="1"/>
  <c r="AP4" i="5" s="1"/>
  <c r="EH5" i="9" s="1"/>
  <c r="EX5" i="9" s="1"/>
  <c r="FN5" i="9" s="1"/>
  <c r="GD5"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7" i="1"/>
  <c r="J2" i="1"/>
  <c r="L24" i="1"/>
  <c r="P24" i="1" s="1" a="1"/>
  <c r="P24" i="1" s="1"/>
  <c r="L25" i="1"/>
  <c r="P25" i="1" s="1" a="1"/>
  <c r="P25" i="1" s="1"/>
  <c r="L26" i="1"/>
  <c r="P26" i="1" s="1" a="1"/>
  <c r="P26" i="1" s="1"/>
  <c r="L27" i="1"/>
  <c r="P27" i="1" s="1" a="1"/>
  <c r="P27" i="1" s="1"/>
  <c r="L28" i="1"/>
  <c r="P28" i="1" s="1" a="1"/>
  <c r="P28" i="1" s="1"/>
  <c r="L29" i="1"/>
  <c r="P29" i="1" s="1" a="1"/>
  <c r="P29" i="1" s="1"/>
  <c r="L30" i="1"/>
  <c r="P30" i="1" s="1" a="1"/>
  <c r="P30" i="1" s="1"/>
  <c r="L31" i="1"/>
  <c r="P31" i="1" s="1" a="1"/>
  <c r="P31" i="1" s="1"/>
  <c r="L32" i="1"/>
  <c r="P32" i="1" s="1" a="1"/>
  <c r="P32" i="1" s="1"/>
  <c r="L33" i="1"/>
  <c r="P33" i="1" s="1" a="1"/>
  <c r="P33" i="1" s="1"/>
  <c r="L34" i="1"/>
  <c r="P34" i="1" s="1" a="1"/>
  <c r="P34" i="1" s="1"/>
  <c r="L35" i="1"/>
  <c r="P35" i="1" s="1" a="1"/>
  <c r="P35" i="1" s="1"/>
  <c r="L36" i="1"/>
  <c r="P36" i="1" s="1" a="1"/>
  <c r="P36" i="1" s="1"/>
  <c r="L37" i="1"/>
  <c r="P37" i="1" s="1" a="1"/>
  <c r="P37" i="1" s="1"/>
  <c r="L38" i="1"/>
  <c r="P38" i="1" s="1" a="1"/>
  <c r="P38" i="1" s="1"/>
  <c r="L39" i="1"/>
  <c r="P39" i="1" s="1" a="1"/>
  <c r="P39" i="1" s="1"/>
  <c r="L40" i="1"/>
  <c r="P40" i="1" s="1" a="1"/>
  <c r="P40" i="1" s="1"/>
  <c r="L41" i="1"/>
  <c r="P41" i="1" s="1" a="1"/>
  <c r="P41" i="1" s="1"/>
  <c r="L42" i="1"/>
  <c r="P42" i="1" s="1" a="1"/>
  <c r="P42" i="1" s="1"/>
  <c r="L43" i="1"/>
  <c r="P43" i="1" s="1" a="1"/>
  <c r="P43" i="1" s="1"/>
  <c r="L44" i="1"/>
  <c r="P44" i="1" s="1" a="1"/>
  <c r="P44" i="1" s="1"/>
  <c r="L45" i="1"/>
  <c r="P45" i="1" s="1" a="1"/>
  <c r="P45" i="1" s="1"/>
  <c r="L46" i="1"/>
  <c r="P46" i="1" s="1" a="1"/>
  <c r="P46" i="1" s="1"/>
  <c r="L47" i="1"/>
  <c r="P47" i="1" s="1" a="1"/>
  <c r="P47" i="1" s="1"/>
  <c r="L3" i="1"/>
  <c r="P3" i="1" s="1" a="1"/>
  <c r="P3" i="1" s="1"/>
  <c r="L4" i="1"/>
  <c r="P4" i="1" s="1" a="1"/>
  <c r="P4" i="1" s="1"/>
  <c r="L5" i="1"/>
  <c r="P5" i="1" s="1" a="1"/>
  <c r="P5" i="1" s="1"/>
  <c r="L6" i="1"/>
  <c r="P6" i="1" s="1" a="1"/>
  <c r="P6" i="1" s="1"/>
  <c r="L7" i="1"/>
  <c r="P7" i="1" s="1" a="1"/>
  <c r="P7" i="1" s="1"/>
  <c r="L9" i="1"/>
  <c r="P9" i="1" s="1" a="1"/>
  <c r="P9" i="1" s="1"/>
  <c r="L10" i="1"/>
  <c r="P10" i="1" s="1" a="1"/>
  <c r="P10" i="1" s="1"/>
  <c r="L11" i="1"/>
  <c r="P11" i="1" s="1" a="1"/>
  <c r="P11" i="1" s="1"/>
  <c r="L12" i="1"/>
  <c r="P12" i="1" s="1" a="1"/>
  <c r="P12" i="1" s="1"/>
  <c r="L13" i="1"/>
  <c r="P13" i="1" s="1" a="1"/>
  <c r="P13" i="1" s="1"/>
  <c r="L14" i="1"/>
  <c r="P14" i="1" s="1" a="1"/>
  <c r="P14" i="1" s="1"/>
  <c r="L15" i="1"/>
  <c r="P15" i="1" s="1" a="1"/>
  <c r="P15" i="1" s="1"/>
  <c r="L16" i="1"/>
  <c r="P16" i="1" s="1" a="1"/>
  <c r="P16" i="1" s="1"/>
  <c r="L17" i="1"/>
  <c r="P17" i="1" s="1" a="1"/>
  <c r="P17" i="1" s="1"/>
  <c r="L18" i="1"/>
  <c r="P18" i="1" s="1" a="1"/>
  <c r="P18" i="1" s="1"/>
  <c r="L19" i="1"/>
  <c r="P19" i="1" s="1" a="1"/>
  <c r="P19" i="1" s="1"/>
  <c r="L20" i="1"/>
  <c r="P20" i="1" s="1" a="1"/>
  <c r="P20" i="1" s="1"/>
  <c r="L21" i="1"/>
  <c r="P21" i="1" s="1" a="1"/>
  <c r="P21" i="1" s="1"/>
  <c r="L22" i="1"/>
  <c r="P22" i="1" s="1" a="1"/>
  <c r="P22" i="1" s="1"/>
  <c r="L23" i="1"/>
  <c r="P23" i="1" s="1" a="1"/>
  <c r="P23" i="1" s="1"/>
  <c r="L2" i="1"/>
  <c r="P2" i="1" s="1" a="1"/>
  <c r="P2" i="1" s="1"/>
  <c r="K24" i="1"/>
  <c r="K25" i="1"/>
  <c r="K26" i="1"/>
  <c r="K27" i="1"/>
  <c r="K28" i="1"/>
  <c r="K29" i="1"/>
  <c r="K30" i="1"/>
  <c r="K31" i="1"/>
  <c r="K32" i="1"/>
  <c r="K33" i="1"/>
  <c r="K34" i="1"/>
  <c r="K35" i="1"/>
  <c r="K36" i="1"/>
  <c r="K37" i="1"/>
  <c r="K38" i="1"/>
  <c r="K39" i="1"/>
  <c r="K40" i="1"/>
  <c r="K41" i="1"/>
  <c r="K42" i="1"/>
  <c r="K43" i="1"/>
  <c r="K44" i="1"/>
  <c r="K45" i="1"/>
  <c r="K46" i="1"/>
  <c r="K47" i="1"/>
  <c r="K3" i="1"/>
  <c r="K4" i="1"/>
  <c r="K5" i="1"/>
  <c r="K6" i="1"/>
  <c r="K7" i="1"/>
  <c r="K9" i="1"/>
  <c r="K10" i="1"/>
  <c r="K11" i="1"/>
  <c r="K12" i="1"/>
  <c r="K13" i="1"/>
  <c r="K14" i="1"/>
  <c r="K15" i="1"/>
  <c r="K16" i="1"/>
  <c r="K17" i="1"/>
  <c r="K18" i="1"/>
  <c r="K19" i="1"/>
  <c r="K20" i="1"/>
  <c r="K21" i="1"/>
  <c r="K22" i="1"/>
  <c r="K23" i="1"/>
  <c r="K2" i="1"/>
  <c r="AX4" i="5" l="1"/>
  <c r="BF4" i="5"/>
  <c r="GT5" i="9" s="1"/>
  <c r="HJ5" i="9" s="1"/>
  <c r="HZ5" i="9" s="1"/>
  <c r="IP5" i="9" s="1"/>
  <c r="Q5" i="9"/>
  <c r="AG5" i="9"/>
  <c r="AV5" i="9"/>
  <c r="BK5" i="9"/>
  <c r="BY5" i="9"/>
  <c r="CO5" i="9" s="1"/>
  <c r="DE5" i="9" s="1"/>
  <c r="DU5" i="9" s="1"/>
  <c r="BP5" i="9"/>
  <c r="CF5" i="9" s="1"/>
  <c r="CV5" i="9" s="1"/>
  <c r="DL5" i="9" s="1"/>
  <c r="EB5" i="9"/>
  <c r="ER5" i="9" s="1"/>
  <c r="FH5" i="9" s="1"/>
  <c r="FX5" i="9" s="1"/>
  <c r="EJ5" i="9"/>
  <c r="EZ5" i="9" s="1"/>
  <c r="FP5" i="9" s="1"/>
  <c r="GF5" i="9" s="1"/>
  <c r="P4" i="13"/>
  <c r="BE4" i="5"/>
  <c r="GS5" i="9" s="1"/>
  <c r="HI5" i="9" s="1"/>
  <c r="HY5" i="9" s="1"/>
  <c r="IO5" i="9" s="1"/>
  <c r="P5" i="9"/>
  <c r="AF5" i="9"/>
  <c r="AU5" i="9"/>
  <c r="BI5" i="9"/>
  <c r="BX5" i="9"/>
  <c r="CN5" i="9" s="1"/>
  <c r="DD5" i="9" s="1"/>
  <c r="DT5" i="9" s="1"/>
  <c r="BO5" i="9"/>
  <c r="CE5" i="9" s="1"/>
  <c r="CU5" i="9" s="1"/>
  <c r="DK5" i="9" s="1"/>
  <c r="BN5" i="9"/>
  <c r="CD5" i="9" s="1"/>
  <c r="CT5" i="9" s="1"/>
  <c r="DJ5" i="9" s="1"/>
  <c r="EA5" i="9"/>
  <c r="EQ5" i="9" s="1"/>
  <c r="FG5" i="9" s="1"/>
  <c r="FW5" i="9" s="1"/>
  <c r="Q4" i="13"/>
  <c r="BD4" i="5"/>
  <c r="GR5" i="9" s="1"/>
  <c r="HH5" i="9" s="1"/>
  <c r="HX5" i="9" s="1"/>
  <c r="IN5" i="9" s="1"/>
  <c r="BL4" i="5"/>
  <c r="GZ5" i="9" s="1"/>
  <c r="HP5" i="9" s="1"/>
  <c r="IF5" i="9" s="1"/>
  <c r="IV5" i="9" s="1"/>
  <c r="O5" i="9"/>
  <c r="AE5" i="9"/>
  <c r="AS5" i="9"/>
  <c r="BH5" i="9"/>
  <c r="BW5" i="9"/>
  <c r="CM5" i="9" s="1"/>
  <c r="DC5" i="9" s="1"/>
  <c r="DS5" i="9" s="1"/>
  <c r="BC4" i="5"/>
  <c r="GQ5" i="9" s="1"/>
  <c r="HG5" i="9" s="1"/>
  <c r="HW5" i="9" s="1"/>
  <c r="IM5" i="9" s="1"/>
  <c r="BK4" i="5"/>
  <c r="GY5" i="9" s="1"/>
  <c r="HO5" i="9" s="1"/>
  <c r="IE5" i="9" s="1"/>
  <c r="IU5" i="9" s="1"/>
  <c r="N5" i="9"/>
  <c r="AC5" i="9"/>
  <c r="AR5" i="9"/>
  <c r="BG5" i="9"/>
  <c r="BV5" i="9"/>
  <c r="CL5" i="9" s="1"/>
  <c r="DB5" i="9" s="1"/>
  <c r="DR5" i="9" s="1"/>
  <c r="J4" i="13"/>
  <c r="BB4" i="5"/>
  <c r="GP5" i="9" s="1"/>
  <c r="HF5" i="9" s="1"/>
  <c r="HV5" i="9" s="1"/>
  <c r="IL5" i="9" s="1"/>
  <c r="BJ4" i="5"/>
  <c r="GX5" i="9" s="1"/>
  <c r="HN5" i="9" s="1"/>
  <c r="ID5" i="9" s="1"/>
  <c r="IT5" i="9" s="1"/>
  <c r="M5" i="9"/>
  <c r="AB5" i="9"/>
  <c r="AQ5" i="9"/>
  <c r="BF5" i="9"/>
  <c r="CC5" i="9"/>
  <c r="CS5" i="9" s="1"/>
  <c r="DI5" i="9" s="1"/>
  <c r="DY5" i="9" s="1"/>
  <c r="BU5" i="9"/>
  <c r="CK5" i="9" s="1"/>
  <c r="DA5" i="9" s="1"/>
  <c r="DQ5" i="9" s="1"/>
  <c r="K4" i="13"/>
  <c r="BA4" i="5"/>
  <c r="GO5" i="9" s="1"/>
  <c r="HE5" i="9" s="1"/>
  <c r="HU5" i="9" s="1"/>
  <c r="IK5" i="9" s="1"/>
  <c r="BH4" i="5"/>
  <c r="GV5" i="9" s="1"/>
  <c r="HL5" i="9" s="1"/>
  <c r="IB5" i="9" s="1"/>
  <c r="IR5" i="9" s="1"/>
  <c r="L5" i="9"/>
  <c r="AA5" i="9"/>
  <c r="CB5" i="9"/>
  <c r="CR5" i="9" s="1"/>
  <c r="DH5" i="9" s="1"/>
  <c r="DX5" i="9" s="1"/>
  <c r="BT5" i="9"/>
  <c r="CJ5" i="9" s="1"/>
  <c r="CZ5" i="9" s="1"/>
  <c r="DP5" i="9" s="1"/>
  <c r="L4" i="13"/>
  <c r="K5" i="9"/>
  <c r="Z5" i="9"/>
  <c r="AP5" i="9"/>
  <c r="BM5" i="9"/>
  <c r="CA5" i="9"/>
  <c r="CQ5" i="9" s="1"/>
  <c r="DG5" i="9" s="1"/>
  <c r="DW5" i="9" s="1"/>
  <c r="BS5" i="9"/>
  <c r="CI5" i="9" s="1"/>
  <c r="CY5" i="9" s="1"/>
  <c r="DO5" i="9" s="1"/>
  <c r="EL5" i="9"/>
  <c r="FB5" i="9" s="1"/>
  <c r="FR5" i="9" s="1"/>
  <c r="GH5" i="9" s="1"/>
  <c r="M4" i="13"/>
  <c r="J5" i="9"/>
  <c r="AW5" i="9"/>
  <c r="BL5" i="9"/>
  <c r="BZ5" i="9"/>
  <c r="CP5" i="9" s="1"/>
  <c r="DF5" i="9" s="1"/>
  <c r="DV5" i="9" s="1"/>
  <c r="BQ5" i="9"/>
  <c r="CG5" i="9" s="1"/>
  <c r="CW5" i="9" s="1"/>
  <c r="DM5" i="9" s="1"/>
  <c r="O4" i="13"/>
  <c r="L3" i="16" a="1"/>
  <c r="L3" i="16" s="1"/>
  <c r="L5" i="16" a="1"/>
  <c r="L5" i="16" s="1"/>
  <c r="L6" i="16" a="1"/>
  <c r="L6" i="16" s="1"/>
  <c r="L7" i="16" a="1"/>
  <c r="L7" i="16" s="1"/>
  <c r="L8" i="16" a="1"/>
  <c r="L8" i="16" s="1"/>
  <c r="L9" i="16" a="1"/>
  <c r="L9" i="16" s="1"/>
  <c r="L2" i="16" a="1"/>
  <c r="L2" i="16" s="1"/>
  <c r="L4" i="16" a="1"/>
  <c r="L4" i="16" s="1"/>
  <c r="L10" i="16" a="1"/>
  <c r="L10" i="16" s="1"/>
  <c r="BR5" i="9"/>
  <c r="CH5" i="9" s="1"/>
  <c r="CX5" i="9" s="1"/>
  <c r="DN5" i="9" s="1"/>
  <c r="AD5" i="9"/>
  <c r="AT5" i="9"/>
  <c r="BJ5" i="9"/>
  <c r="O20" i="1" a="1"/>
  <c r="O20" i="1" s="1"/>
  <c r="Q20" i="1"/>
  <c r="Q40" i="1"/>
  <c r="O40" i="1" a="1"/>
  <c r="O40" i="1" s="1"/>
  <c r="O19" i="1" a="1"/>
  <c r="O19" i="1" s="1"/>
  <c r="Q19" i="1"/>
  <c r="Q11" i="1"/>
  <c r="O11" i="1" a="1"/>
  <c r="O11" i="1" s="1"/>
  <c r="Q47" i="1"/>
  <c r="O47" i="1" a="1"/>
  <c r="O47" i="1" s="1"/>
  <c r="Q39" i="1"/>
  <c r="O39" i="1" a="1"/>
  <c r="O39" i="1" s="1"/>
  <c r="Q31" i="1"/>
  <c r="O31" i="1" a="1"/>
  <c r="O31" i="1" s="1"/>
  <c r="O30" i="1" a="1"/>
  <c r="O30" i="1" s="1"/>
  <c r="Q30" i="1"/>
  <c r="O45" i="1" a="1"/>
  <c r="O45" i="1" s="1"/>
  <c r="Q45" i="1"/>
  <c r="Q28" i="1"/>
  <c r="O28" i="1" a="1"/>
  <c r="O28" i="1" s="1"/>
  <c r="H28" i="1" s="1"/>
  <c r="O46" i="1" a="1"/>
  <c r="O46" i="1" s="1"/>
  <c r="Q46" i="1"/>
  <c r="O29" i="1" a="1"/>
  <c r="O29" i="1" s="1"/>
  <c r="Q29" i="1"/>
  <c r="O16" i="1" a="1"/>
  <c r="O16" i="1" s="1"/>
  <c r="Q16" i="1"/>
  <c r="Q23" i="1"/>
  <c r="O23" i="1" a="1"/>
  <c r="O23" i="1" s="1"/>
  <c r="H23" i="1" s="1"/>
  <c r="Q15" i="1"/>
  <c r="O15" i="1" a="1"/>
  <c r="O15" i="1" s="1"/>
  <c r="Q6" i="1"/>
  <c r="O6" i="1" a="1"/>
  <c r="O6" i="1" s="1"/>
  <c r="Q43" i="1"/>
  <c r="O43" i="1" a="1"/>
  <c r="O43" i="1" s="1"/>
  <c r="O35" i="1" a="1"/>
  <c r="O35" i="1" s="1"/>
  <c r="Q35" i="1"/>
  <c r="Q27" i="1"/>
  <c r="O27" i="1" a="1"/>
  <c r="O27" i="1" s="1"/>
  <c r="Q7" i="1"/>
  <c r="O7" i="1" a="1"/>
  <c r="O7" i="1" s="1"/>
  <c r="H7" i="1" s="1"/>
  <c r="O36" i="1" a="1"/>
  <c r="O36" i="1" s="1"/>
  <c r="Q36" i="1"/>
  <c r="Q22" i="1"/>
  <c r="O22" i="1" a="1"/>
  <c r="O22" i="1" s="1"/>
  <c r="H22" i="1" s="1"/>
  <c r="O14" i="1" a="1"/>
  <c r="O14" i="1" s="1"/>
  <c r="Q14" i="1"/>
  <c r="O5" i="1" a="1"/>
  <c r="O5" i="1" s="1"/>
  <c r="Q5" i="1"/>
  <c r="O42" i="1" a="1"/>
  <c r="O42" i="1" s="1"/>
  <c r="Q42" i="1"/>
  <c r="Q34" i="1"/>
  <c r="O34" i="1" a="1"/>
  <c r="O34" i="1" s="1"/>
  <c r="H34" i="1" s="1"/>
  <c r="O26" i="1" a="1"/>
  <c r="O26" i="1" s="1"/>
  <c r="Q26" i="1"/>
  <c r="Q18" i="1"/>
  <c r="O18" i="1" a="1"/>
  <c r="O18" i="1" s="1"/>
  <c r="H18" i="1" s="1"/>
  <c r="Q17" i="1"/>
  <c r="O17" i="1" a="1"/>
  <c r="O17" i="1" s="1"/>
  <c r="Q9" i="1"/>
  <c r="O9" i="1" a="1"/>
  <c r="O9" i="1" s="1"/>
  <c r="H9" i="1" s="1"/>
  <c r="O37" i="1" a="1"/>
  <c r="O37" i="1" s="1"/>
  <c r="Q37" i="1"/>
  <c r="O2" i="1" a="1"/>
  <c r="O2" i="1" s="1"/>
  <c r="Q2" i="1"/>
  <c r="Q44" i="1"/>
  <c r="O44" i="1" a="1"/>
  <c r="O44" i="1" s="1"/>
  <c r="O21" i="1" a="1"/>
  <c r="O21" i="1" s="1"/>
  <c r="Q21" i="1"/>
  <c r="O13" i="1" a="1"/>
  <c r="O13" i="1" s="1"/>
  <c r="Q13" i="1"/>
  <c r="O4" i="1" a="1"/>
  <c r="O4" i="1" s="1"/>
  <c r="Q4" i="1"/>
  <c r="Q41" i="1"/>
  <c r="O41" i="1" a="1"/>
  <c r="O41" i="1" s="1"/>
  <c r="Q33" i="1"/>
  <c r="O33" i="1" a="1"/>
  <c r="O33" i="1" s="1"/>
  <c r="H33" i="1" s="1"/>
  <c r="Q25" i="1"/>
  <c r="O25" i="1" a="1"/>
  <c r="O25" i="1" s="1"/>
  <c r="O10" i="1" a="1"/>
  <c r="O10" i="1" s="1"/>
  <c r="Q10" i="1"/>
  <c r="Q38" i="1"/>
  <c r="O38" i="1" a="1"/>
  <c r="O38" i="1" s="1"/>
  <c r="Q12" i="1"/>
  <c r="O12" i="1" a="1"/>
  <c r="O12" i="1" s="1"/>
  <c r="H12" i="1" s="1"/>
  <c r="O3" i="1" a="1"/>
  <c r="O3" i="1" s="1"/>
  <c r="Q3" i="1"/>
  <c r="O32" i="1" a="1"/>
  <c r="O32" i="1" s="1"/>
  <c r="Q32" i="1"/>
  <c r="Q24" i="1"/>
  <c r="O24" i="1" a="1"/>
  <c r="O24" i="1" s="1"/>
  <c r="AX6" i="9"/>
  <c r="B6" i="9"/>
  <c r="AH6" i="9"/>
  <c r="R1" i="9"/>
  <c r="AH1" i="9" s="1"/>
  <c r="AX1" i="9" s="1"/>
  <c r="BN1" i="9" s="1"/>
  <c r="CD1" i="9" s="1"/>
  <c r="CT1" i="9" s="1"/>
  <c r="DJ1" i="9" s="1"/>
  <c r="DZ1" i="9" s="1"/>
  <c r="EP1" i="9" s="1"/>
  <c r="FF1" i="9" s="1"/>
  <c r="FV1" i="9" s="1"/>
  <c r="GL1" i="9" s="1"/>
  <c r="HB1" i="9" s="1"/>
  <c r="HR1" i="9" s="1"/>
  <c r="IH1" i="9" s="1"/>
  <c r="AR6" i="5"/>
  <c r="EJ7" i="9" s="1"/>
  <c r="EZ7" i="9" s="1"/>
  <c r="FP7" i="9" s="1"/>
  <c r="GF7" i="9" s="1"/>
  <c r="AQ6" i="5"/>
  <c r="EI7" i="9" s="1"/>
  <c r="EY7" i="9" s="1"/>
  <c r="FO7" i="9" s="1"/>
  <c r="GE7" i="9" s="1"/>
  <c r="AP6" i="5"/>
  <c r="EH7" i="9" s="1"/>
  <c r="EX7" i="9" s="1"/>
  <c r="FN7" i="9" s="1"/>
  <c r="GD7" i="9" s="1"/>
  <c r="R1" i="5"/>
  <c r="AH1" i="5" s="1"/>
  <c r="AX1" i="5" s="1"/>
  <c r="H39" i="1" l="1"/>
  <c r="H6" i="1"/>
  <c r="H40" i="1"/>
  <c r="H11" i="1"/>
  <c r="GL5" i="9"/>
  <c r="HB5" i="9" s="1"/>
  <c r="HR5" i="9" s="1"/>
  <c r="IH5" i="9" s="1"/>
  <c r="BM4" i="5"/>
  <c r="HA5" i="9" s="1"/>
  <c r="HQ5" i="9" s="1"/>
  <c r="IG5" i="9" s="1"/>
  <c r="IW5" i="9" s="1"/>
  <c r="H25" i="1"/>
  <c r="H27" i="1"/>
  <c r="H15" i="1"/>
  <c r="H31" i="1"/>
  <c r="H42" i="1"/>
  <c r="H36" i="1"/>
  <c r="H16" i="1"/>
  <c r="H45" i="1"/>
  <c r="H20" i="1"/>
  <c r="H2" i="1"/>
  <c r="H32" i="1"/>
  <c r="H3" i="1"/>
  <c r="H13" i="1"/>
  <c r="H37" i="1"/>
  <c r="H26" i="1"/>
  <c r="H14" i="1"/>
  <c r="H46" i="1"/>
  <c r="H19" i="1"/>
  <c r="H4" i="1"/>
  <c r="H30" i="1"/>
  <c r="H5" i="1"/>
  <c r="H21" i="1"/>
  <c r="H35" i="1"/>
  <c r="H29" i="1"/>
  <c r="H24" i="1"/>
  <c r="H38" i="1"/>
  <c r="H41" i="1"/>
  <c r="H44" i="1"/>
  <c r="H17" i="1"/>
  <c r="H43" i="1"/>
  <c r="H47" i="1"/>
  <c r="H10" i="1"/>
  <c r="A9" i="6"/>
  <c r="A8" i="6"/>
  <c r="A7" i="6"/>
  <c r="A6" i="6"/>
  <c r="A5" i="6"/>
  <c r="A4" i="6"/>
  <c r="A3" i="6"/>
  <c r="A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<sst xmlns="http://schemas.openxmlformats.org/spreadsheetml/2006/main" count="787" uniqueCount="345">
  <si>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</si>
  <si>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</si>
  <si>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</si>
  <si>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</si>
  <si>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</si>
  <si>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</si>
  <si>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</si>
  <si>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</si>
  <si>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</si>
  <si>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</si>
  <si>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</si>
  <si>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</si>
  <si>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</si>
  <si>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</si>
  <si>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</si>
  <si>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</si>
  <si>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</si>
  <si>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</si>
  <si>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</si>
  <si>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</si>
  <si>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</si>
  <si>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</si>
  <si>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</si>
  <si>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</si>
  <si>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</si>
  <si>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</si>
  <si>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</si>
  <si>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</si>
  <si>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</si>
  <si>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</si>
  <si>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</si>
  <si>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</si>
  <si>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</si>
  <si>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</si>
  <si>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</si>
  <si>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</si>
  <si>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</si>
  <si>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</si>
  <si>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</si>
  <si>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</si>
  <si>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</si>
  <si>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</si>
  <si>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</si>
  <si>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</si>
  <si>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</si>
  <si>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</si>
  <si>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</si>
  <si>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</si>
  <si>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</si>
  <si>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</si>
  <si>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</si>
  <si>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</si>
  <si>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</si>
  <si>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</si>
  <si>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</si>
  <si>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</si>
  <si>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</si>
  <si>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</si>
  <si>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</si>
  <si>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</si>
  <si>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</si>
  <si>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</si>
  <si>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</si>
  <si>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</si>
  <si>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</si>
  <si>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</si>
  <si>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</si>
  <si>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</si>
  <si>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</si>
  <si>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</si>
  <si>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</si>
  <si>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</si>
  <si>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</si>
  <si>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</si>
  <si>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</si>
  <si>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</si>
  <si>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</si>
  <si>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</si>
  <si>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</si>
  <si>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</si>
  <si>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</si>
  <si>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</si>
  <si>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</si>
  <si>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</si>
  <si>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</si>
  <si>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</si>
  <si>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</si>
  <si>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</si>
  <si>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</si>
  <si>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</si>
  <si>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</si>
  <si>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</si>
  <si>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</si>
  <si>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</si>
  <si>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</si>
  <si>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</si>
  <si>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</si>
  <si>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</si>
  <si>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</si>
  <si>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</si>
  <si>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</si>
  <si>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</si>
  <si>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</si>
  <si>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</si>
  <si>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</si>
  <si>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</si>
  <si>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</si>
  <si>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</si>
  <si>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</si>
  <si>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</si>
  <si>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</si>
  <si>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</si>
  <si>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</si>
  <si>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</si>
  <si>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</si>
  <si>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</si>
  <si>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</si>
  <si>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</si>
  <si>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</si>
  <si>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</si>
  <si>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</si>
  <si>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</si>
  <si>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</si>
  <si>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</si>
  <si>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</si>
  <si>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</si>
  <si>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</si>
  <si>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</si>
  <si>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</si>
  <si>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</si>
  <si>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</si>
  <si>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</si>
  <si>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</si>
  <si>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</si>
  <si>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</si>
  <si>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</si>
  <si>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</si>
  <si>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Draugen Gasseksport</t>
  </si>
  <si>
    <t>2000-10-10</t>
  </si>
  <si>
    <t>Gassco AS</t>
  </si>
  <si>
    <t>2000-10-04</t>
  </si>
  <si>
    <t>1995-10-01</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</si>
  <si>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</si>
  <si>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</si>
  <si>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</si>
  <si>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2004-09-26</t>
  </si>
  <si>
    <t>2007-09-13</t>
  </si>
  <si>
    <t>2006-10-01</t>
  </si>
  <si>
    <t>Norne Gasstransport</t>
  </si>
  <si>
    <t>2001-02-05</t>
  </si>
  <si>
    <t>Norpipe Gassledning</t>
  </si>
  <si>
    <t>1998-08-18</t>
  </si>
  <si>
    <t>1977-09-17</t>
  </si>
  <si>
    <t>Oseberg Gasstransport</t>
  </si>
  <si>
    <t>2001-09-30</t>
  </si>
  <si>
    <t>1985-10-01</t>
  </si>
  <si>
    <t>1985-10-15</t>
  </si>
  <si>
    <t>2007-10-12</t>
  </si>
  <si>
    <t>Zeepipe I</t>
  </si>
  <si>
    <t>1993-10-01</t>
  </si>
  <si>
    <t>1996-10-01</t>
  </si>
  <si>
    <t>1997-10-01</t>
  </si>
  <si>
    <t>2010-10-10</t>
  </si>
  <si>
    <t>Equinor Energy AS</t>
  </si>
  <si>
    <t>2003-09-23</t>
  </si>
  <si>
    <t>2014-04-07</t>
  </si>
  <si>
    <t>Haltenpipe</t>
  </si>
  <si>
    <t>1996-11-11</t>
  </si>
  <si>
    <t>Heidrun Gasstransport</t>
  </si>
  <si>
    <t>2019-10-05</t>
  </si>
  <si>
    <t>2021-06-30</t>
  </si>
  <si>
    <t>Ormen Lange PL-A</t>
  </si>
  <si>
    <t>A/S Norske Shell</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</si>
  <si>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</si>
  <si>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</si>
  <si>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</si>
  <si>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</si>
  <si>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Aker BP ASA</t>
  </si>
  <si>
    <t>2012-11-10</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</si>
  <si>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</si>
  <si>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</si>
  <si>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</si>
  <si>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</si>
  <si>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CATS</t>
  </si>
  <si>
    <t>FLAGS</t>
  </si>
  <si>
    <t>Kvitebjorn Gassror</t>
  </si>
  <si>
    <t>KVITEBJoRN</t>
  </si>
  <si>
    <t>Gjoa Gassror</t>
  </si>
  <si>
    <t>GJoA</t>
  </si>
  <si>
    <t>GJoA-T</t>
  </si>
  <si>
    <t>Grane Gassror</t>
  </si>
  <si>
    <t>Gudrun Gassror</t>
  </si>
  <si>
    <t>Johan Sverdrup Gassror</t>
  </si>
  <si>
    <t>Martin Linge Gassror</t>
  </si>
  <si>
    <t>Skarv Gassror</t>
  </si>
  <si>
    <t>SNoHVIT PLEM-1</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</si>
  <si>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</si>
  <si>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</si>
  <si>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</si>
  <si>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</si>
  <si>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</si>
  <si>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</si>
  <si>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</si>
  <si>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</si>
  <si>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</si>
  <si>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</si>
  <si>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</si>
  <si>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</si>
  <si>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</si>
  <si>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</si>
  <si>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</si>
  <si>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</si>
  <si>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</si>
  <si>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</si>
  <si>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</si>
  <si>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</si>
  <si>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</si>
  <si>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</si>
  <si>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</si>
  <si>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</si>
  <si>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</si>
  <si>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</si>
  <si>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</si>
  <si>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</si>
  <si>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</si>
  <si>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</si>
  <si>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</si>
  <si>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</si>
  <si>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</si>
  <si>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</si>
  <si>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</si>
  <si>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</si>
  <si>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</si>
  <si>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</si>
  <si>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</si>
  <si>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</si>
  <si>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</si>
  <si>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</si>
  <si>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</si>
  <si>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</si>
  <si>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</si>
  <si>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</si>
  <si>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</si>
  <si>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</si>
  <si>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</si>
  <si>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</si>
  <si>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</si>
  <si>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</si>
  <si>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</si>
  <si>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</si>
  <si>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</si>
  <si>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</si>
  <si>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</si>
  <si>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</si>
  <si>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</si>
  <si>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</si>
  <si>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</si>
  <si>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</si>
  <si>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</si>
  <si>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</si>
  <si>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</si>
  <si>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</si>
  <si>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</si>
  <si>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</si>
  <si>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</si>
  <si>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</si>
  <si>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</si>
  <si>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</si>
  <si>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</si>
  <si>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</si>
  <si>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</si>
  <si>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</si>
  <si>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</si>
  <si>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</si>
  <si>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</si>
  <si>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</si>
  <si>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</si>
  <si>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</si>
  <si>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</si>
  <si>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</si>
  <si>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</si>
  <si>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</si>
  <si>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</si>
  <si>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</si>
  <si>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</si>
  <si>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</si>
  <si>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</si>
  <si>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</si>
  <si>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</si>
  <si>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</si>
  <si>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</si>
  <si>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</si>
  <si>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</si>
  <si>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</si>
  <si>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</si>
  <si>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</si>
  <si>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</si>
  <si>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</si>
  <si>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</si>
  <si>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</si>
  <si>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</si>
  <si>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</si>
  <si>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</si>
  <si>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Baltic Pipe 1</t>
  </si>
  <si>
    <t>Baltic Pipe 2</t>
  </si>
  <si>
    <t>Baltic Pipe 3</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</si>
  <si>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</si>
  <si>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</si>
  <si>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</si>
  <si>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</si>
  <si>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</si>
  <si>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</si>
  <si>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</si>
  <si>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</si>
  <si>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</si>
  <si>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</si>
  <si>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</si>
  <si>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</si>
  <si>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</si>
  <si>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</si>
  <si>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</si>
  <si>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</si>
  <si>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</si>
  <si>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</si>
  <si>
    <t>Dummy pipe 8</t>
  </si>
  <si>
    <t>Dummy pipe 9</t>
  </si>
  <si>
    <t>Dummy pipe 10</t>
  </si>
  <si>
    <t>Dummy pipe 11</t>
  </si>
  <si>
    <t>Dummy pipe 12</t>
  </si>
  <si>
    <t>Dummy pipe 13</t>
  </si>
  <si>
    <t>Dummy pipe 14</t>
  </si>
  <si>
    <t>Coordinate Source</t>
  </si>
  <si>
    <t>Coordinate Sink</t>
  </si>
  <si>
    <t>Coordinate Middle</t>
  </si>
  <si>
    <t>DORNUM</t>
  </si>
  <si>
    <t>Market</t>
  </si>
  <si>
    <t>Gemiddelde</t>
  </si>
  <si>
    <t>Aangepast</t>
  </si>
  <si>
    <t>GJOA-T &gt; GJOA</t>
  </si>
  <si>
    <t>NORNE/HEIDRUN T &gt; NORNE ERB</t>
  </si>
  <si>
    <t>BRAGE-T &gt; BRAGE</t>
  </si>
  <si>
    <t>Dummy pipe gjoa</t>
  </si>
  <si>
    <t>Number scenarios hydrogen</t>
  </si>
  <si>
    <t>Increase storage costs stage 2</t>
  </si>
  <si>
    <t>Increase storage costs stage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</si>
</sst>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
      <sz val="11"/>
      <color rgb="FF00000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
      <left style="thin">
        <color indexed="64"/>
      </left>
      <right/>
      <top/>
      <bottom/>
      <diagonal/>
    </border>
    <border>
      <left/>
      <right style="thin">
        <color indexed="64"/>
      </right>
      <top/>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8">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11" fillId="5" borderId="1" xfId="0" applyFont="1" applyFill="1" applyBorder="1"/>
    <xf numFmtId="0" fontId="0" fillId="5" borderId="0" xfId="0" applyFill="1" applyAlignment="1">
      <alignment horizontal="left"/>
    </xf>
    <xf numFmtId="0" fontId="12" fillId="0" borderId="11" xfId="0" applyFont="1" applyBorder="1"/>
    <xf numFmtId="0" fontId="12" fillId="0" borderId="12" xfId="0" applyFont="1" applyBorder="1"/>
    <xf numFmtId="0" fontId="4" fillId="0" borderId="11" xfId="0" applyFont="1" applyBorder="1"/>
    <xf numFmtId="0" fontId="19" fillId="0" borderId="0" xfId="0" applyFont="1"/>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38100</xdr:colOff>
      <xdr:row>3</xdr:row>
      <xdr:rowOff>114300</xdr:rowOff>
    </xdr:from>
    <xdr:to>
      <xdr:col>7</xdr:col>
      <xdr:colOff>596900</xdr:colOff>
      <xdr:row>9</xdr:row>
      <xdr:rowOff>50800</xdr:rowOff>
    </xdr:to>
    <xdr:sp macro="" textlink="">
      <xdr:nvSpPr>
        <xdr:cNvPr id="2" name="Tekstvak 1">
          <a:extLst>
            <a:ext uri="{FF2B5EF4-FFF2-40B4-BE49-F238E27FC236}">
              <a16:creationId xmlns:a16="http://schemas.microsoft.com/office/drawing/2014/main" id="{36E8FDCF-3183-B6A1-39F7-433D67DC9B04}"/>
            </a:ext>
          </a:extLst>
        </xdr:cNvPr>
        <xdr:cNvSpPr txBox="1"/>
      </xdr:nvSpPr>
      <xdr:spPr>
        <a:xfrm>
          <a:off x="4152900" y="723900"/>
          <a:ext cx="3035300" cy="1155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0" i="0" u="none" strike="noStrike">
              <a:solidFill>
                <a:schemeClr val="dk1"/>
              </a:solidFill>
              <a:effectLst/>
              <a:latin typeface="+mn-lt"/>
              <a:ea typeface="+mn-ea"/>
              <a:cs typeface="+mn-cs"/>
            </a:rPr>
            <a:t>STATFJORD B</a:t>
          </a:r>
          <a:r>
            <a:rPr lang="nl-NL"/>
            <a:t> Ligt dichtbij Gullfaks (Hywind Tampen)</a:t>
          </a:r>
        </a:p>
        <a:p>
          <a:r>
            <a:rPr lang="nl-NL" sz="1100" b="0" i="0" u="none" strike="noStrike">
              <a:solidFill>
                <a:schemeClr val="dk1"/>
              </a:solidFill>
              <a:effectLst/>
              <a:latin typeface="+mn-lt"/>
              <a:ea typeface="+mn-ea"/>
              <a:cs typeface="+mn-cs"/>
            </a:rPr>
            <a:t>JOHAN SVERDRUP RP ligt dicthbij Utsira Nord</a:t>
          </a:r>
          <a:r>
            <a:rPr lang="nl-NL"/>
            <a:t> </a:t>
          </a:r>
        </a:p>
        <a:p>
          <a:r>
            <a:rPr lang="nl-NL" sz="1100" b="0" i="0" u="none" strike="noStrike">
              <a:solidFill>
                <a:schemeClr val="dk1"/>
              </a:solidFill>
              <a:effectLst/>
              <a:latin typeface="+mn-lt"/>
              <a:ea typeface="+mn-ea"/>
              <a:cs typeface="+mn-cs"/>
            </a:rPr>
            <a:t>EKOFISK J (ligt dicthbij Sorlige Norsdjo II)</a:t>
          </a:r>
          <a:r>
            <a:rPr lang="nl-NL"/>
            <a:t> </a:t>
          </a:r>
          <a:endParaRPr lang="nl-NL" sz="1100"/>
        </a:p>
      </xdr:txBody>
    </xdr:sp>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4"/>
  <sheetViews>
    <sheetView zoomScale="108" zoomScaleNormal="108" workbookViewId="0">
      <selection activeCell="I3" sqref="I3"/>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6" t="s">
        <v>136</v>
      </c>
      <c r="H1" s="56"/>
      <c r="I1" s="56"/>
      <c r="J1" s="56"/>
      <c r="K1" s="56"/>
      <c r="L1" s="56"/>
      <c r="M1" s="56"/>
      <c r="N1" s="56"/>
      <c r="O1" s="56"/>
      <c r="P1" s="56"/>
      <c r="Q1" s="56"/>
      <c r="R1" s="56"/>
      <c r="S1" s="56"/>
      <c r="T1" s="56"/>
      <c r="U1" s="56"/>
      <c r="V1" s="57" t="s">
        <v>215</v>
      </c>
      <c r="W1" s="57"/>
      <c r="X1" s="57"/>
      <c r="Y1" s="57"/>
      <c r="Z1" s="57"/>
      <c r="AA1" s="57"/>
      <c r="AB1" s="57"/>
      <c r="AC1" s="57"/>
      <c r="AD1" s="57"/>
      <c r="AE1" s="57"/>
      <c r="AF1" s="57"/>
      <c r="AG1" s="57"/>
      <c r="AH1" s="57"/>
      <c r="AI1" s="57"/>
    </row>
    <row r="2" spans="1:35" x14ac:dyDescent="0.2">
      <c r="A2" s="4" t="s">
        <v>0</v>
      </c>
      <c r="B2" s="4" t="s">
        <v>1</v>
      </c>
      <c r="C2" s="4" t="s">
        <v>4</v>
      </c>
      <c r="D2" s="15" t="s">
        <v>66</v>
      </c>
      <c r="E2" s="15" t="s">
        <v>67</v>
      </c>
      <c r="F2" s="4" t="s">
        <v>128</v>
      </c>
      <c r="G2" s="5" t="s">
        <v>69</v>
      </c>
      <c r="H2" s="5" t="s">
        <v>70</v>
      </c>
      <c r="I2" s="5" t="s">
        <v>37</v>
      </c>
      <c r="J2" s="5" t="s">
        <v>276</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1</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10</v>
      </c>
      <c r="N3" s="2">
        <f>IF(C3="Market",100,0)</f>
        <v>0</v>
      </c>
      <c r="O3" s="2">
        <f>IF(C3="Market",0.749,0.75)</f>
        <v>0.75</v>
      </c>
      <c r="P3" s="2">
        <v>5</v>
      </c>
      <c r="Q3" s="2">
        <v>5</v>
      </c>
      <c r="R3" s="2">
        <v>5.2</v>
      </c>
      <c r="S3" s="2">
        <v>5.2</v>
      </c>
      <c r="T3" s="2">
        <v>5.4</v>
      </c>
      <c r="U3" s="2">
        <v>5.4</v>
      </c>
      <c r="V3" s="3">
        <v>5</v>
      </c>
      <c r="W3" s="3">
        <v>5</v>
      </c>
      <c r="X3" s="3">
        <v>100</v>
      </c>
      <c r="Y3" s="3">
        <v>0</v>
      </c>
      <c r="Z3" s="3">
        <v>0</v>
      </c>
      <c r="AA3" s="3">
        <f>M3</f>
        <v>10</v>
      </c>
      <c r="AB3" s="3">
        <v>0</v>
      </c>
      <c r="AC3" s="3">
        <f>O3</f>
        <v>0.75</v>
      </c>
      <c r="AD3" s="3">
        <f t="shared" ref="AD3:AI3" si="0">P3</f>
        <v>5</v>
      </c>
      <c r="AE3" s="3">
        <f t="shared" si="0"/>
        <v>5</v>
      </c>
      <c r="AF3" s="3">
        <f t="shared" si="0"/>
        <v>5.2</v>
      </c>
      <c r="AG3" s="3">
        <f t="shared" si="0"/>
        <v>5.2</v>
      </c>
      <c r="AH3" s="3">
        <f t="shared" si="0"/>
        <v>5.4</v>
      </c>
      <c r="AI3" s="3">
        <f t="shared" si="0"/>
        <v>5.4</v>
      </c>
    </row>
    <row r="4" spans="1:35" x14ac:dyDescent="0.2">
      <c r="A4" s="1">
        <v>2</v>
      </c>
      <c r="B4" s="1" t="s">
        <v>206</v>
      </c>
      <c r="C4" s="1"/>
      <c r="D4" s="16">
        <v>4.6885411271899056</v>
      </c>
      <c r="E4" s="16">
        <v>62.302728638549418</v>
      </c>
      <c r="F4" s="1"/>
      <c r="G4" s="2">
        <v>5</v>
      </c>
      <c r="H4" s="2">
        <v>5</v>
      </c>
      <c r="I4" s="2">
        <f>SUMIFS(ProductionCapacities!$F$2:$F$51,ProductionCapacities!$E$2:$E$51,Nodes!B4)</f>
        <v>0</v>
      </c>
      <c r="J4" s="2">
        <v>0</v>
      </c>
      <c r="K4" s="11">
        <v>500</v>
      </c>
      <c r="L4" s="11">
        <v>500</v>
      </c>
      <c r="M4" s="2">
        <v>10</v>
      </c>
      <c r="N4" s="2">
        <f t="shared" ref="N4:N61" si="1">IF(C4="Market",100,0)</f>
        <v>0</v>
      </c>
      <c r="O4" s="2">
        <f t="shared" ref="O4:O61" si="2">IF(C4="Market",0.749,0.75)</f>
        <v>0.75</v>
      </c>
      <c r="P4" s="2">
        <v>5</v>
      </c>
      <c r="Q4" s="2">
        <v>5</v>
      </c>
      <c r="R4" s="2">
        <v>5.2</v>
      </c>
      <c r="S4" s="2">
        <v>5.2</v>
      </c>
      <c r="T4" s="2">
        <v>5.4</v>
      </c>
      <c r="U4" s="2">
        <v>5.4</v>
      </c>
      <c r="V4" s="3">
        <v>5</v>
      </c>
      <c r="W4" s="3">
        <v>5</v>
      </c>
      <c r="X4" s="3">
        <v>100</v>
      </c>
      <c r="Y4" s="3">
        <v>0</v>
      </c>
      <c r="Z4" s="3">
        <v>0</v>
      </c>
      <c r="AA4" s="3">
        <f t="shared" ref="AA4:AA61" si="3">M4</f>
        <v>10</v>
      </c>
      <c r="AB4" s="3">
        <v>0</v>
      </c>
      <c r="AC4" s="3">
        <f t="shared" ref="AC4:AC61" si="4">O4</f>
        <v>0.75</v>
      </c>
      <c r="AD4" s="3">
        <f t="shared" ref="AD4:AD61" si="5">P4</f>
        <v>5</v>
      </c>
      <c r="AE4" s="3">
        <f t="shared" ref="AE4:AE61" si="6">Q4</f>
        <v>5</v>
      </c>
      <c r="AF4" s="3">
        <f t="shared" ref="AF4:AF61" si="7">R4</f>
        <v>5.2</v>
      </c>
      <c r="AG4" s="3">
        <f t="shared" ref="AG4:AG61" si="8">S4</f>
        <v>5.2</v>
      </c>
      <c r="AH4" s="3">
        <f t="shared" ref="AH4:AH61" si="9">T4</f>
        <v>5.4</v>
      </c>
      <c r="AI4" s="3">
        <f t="shared" ref="AI4:AI61" si="10">U4</f>
        <v>5.4</v>
      </c>
    </row>
    <row r="5" spans="1:35" x14ac:dyDescent="0.2">
      <c r="A5" s="1">
        <v>3</v>
      </c>
      <c r="B5" s="1" t="s">
        <v>205</v>
      </c>
      <c r="C5" s="1"/>
      <c r="D5" s="16">
        <v>6.8036598360000653</v>
      </c>
      <c r="E5" s="16">
        <v>65.094471500000054</v>
      </c>
      <c r="F5" s="1" t="s">
        <v>322</v>
      </c>
      <c r="G5" s="2">
        <v>5</v>
      </c>
      <c r="H5" s="2">
        <v>5</v>
      </c>
      <c r="I5" s="2">
        <f>SUMIFS(ProductionCapacities!$F$2:$F$51,ProductionCapacities!$E$2:$E$51,Nodes!B5)</f>
        <v>28.969463013698629</v>
      </c>
      <c r="J5" s="2">
        <v>0</v>
      </c>
      <c r="K5" s="11">
        <v>500</v>
      </c>
      <c r="L5" s="11">
        <v>500</v>
      </c>
      <c r="M5" s="2">
        <v>10</v>
      </c>
      <c r="N5" s="2">
        <f t="shared" si="1"/>
        <v>0</v>
      </c>
      <c r="O5" s="2">
        <f t="shared" si="2"/>
        <v>0.75</v>
      </c>
      <c r="P5" s="2">
        <v>5</v>
      </c>
      <c r="Q5" s="2">
        <v>5</v>
      </c>
      <c r="R5" s="2">
        <v>5.2</v>
      </c>
      <c r="S5" s="2">
        <v>5.2</v>
      </c>
      <c r="T5" s="2">
        <v>5.4</v>
      </c>
      <c r="U5" s="2">
        <v>5.4</v>
      </c>
      <c r="V5" s="3">
        <v>5</v>
      </c>
      <c r="W5" s="3">
        <v>5</v>
      </c>
      <c r="X5" s="3">
        <v>100</v>
      </c>
      <c r="Y5" s="3">
        <v>0</v>
      </c>
      <c r="Z5" s="3">
        <v>0</v>
      </c>
      <c r="AA5" s="3">
        <f t="shared" si="3"/>
        <v>10</v>
      </c>
      <c r="AB5" s="3">
        <v>0</v>
      </c>
      <c r="AC5" s="3">
        <f t="shared" si="4"/>
        <v>0.75</v>
      </c>
      <c r="AD5" s="3">
        <f t="shared" si="5"/>
        <v>5</v>
      </c>
      <c r="AE5" s="3">
        <f t="shared" si="6"/>
        <v>5</v>
      </c>
      <c r="AF5" s="3">
        <f t="shared" si="7"/>
        <v>5.2</v>
      </c>
      <c r="AG5" s="3">
        <f t="shared" si="8"/>
        <v>5.2</v>
      </c>
      <c r="AH5" s="3">
        <f t="shared" si="9"/>
        <v>5.4</v>
      </c>
      <c r="AI5" s="3">
        <f t="shared" si="10"/>
        <v>5.4</v>
      </c>
    </row>
    <row r="6" spans="1:35" x14ac:dyDescent="0.2">
      <c r="A6" s="1">
        <v>4</v>
      </c>
      <c r="B6" s="1" t="s">
        <v>113</v>
      </c>
      <c r="C6" s="1"/>
      <c r="D6" s="22">
        <v>4.5569471181611378</v>
      </c>
      <c r="E6" s="22">
        <v>55.458982371638299</v>
      </c>
      <c r="F6" s="1"/>
      <c r="G6" s="2">
        <v>5</v>
      </c>
      <c r="H6" s="2">
        <v>5</v>
      </c>
      <c r="I6" s="2">
        <f>SUMIFS(ProductionCapacities!$F$2:$F$51,ProductionCapacities!$E$2:$E$51,Nodes!B6)</f>
        <v>0</v>
      </c>
      <c r="J6" s="2">
        <v>0</v>
      </c>
      <c r="K6" s="11">
        <v>500</v>
      </c>
      <c r="L6" s="11">
        <v>500</v>
      </c>
      <c r="M6" s="2">
        <v>10</v>
      </c>
      <c r="N6" s="2">
        <f t="shared" si="1"/>
        <v>0</v>
      </c>
      <c r="O6" s="2">
        <f t="shared" si="2"/>
        <v>0.75</v>
      </c>
      <c r="P6" s="2">
        <v>5</v>
      </c>
      <c r="Q6" s="2">
        <v>5</v>
      </c>
      <c r="R6" s="2">
        <v>5.2</v>
      </c>
      <c r="S6" s="2">
        <v>5.2</v>
      </c>
      <c r="T6" s="2">
        <v>5.4</v>
      </c>
      <c r="U6" s="2">
        <v>5.4</v>
      </c>
      <c r="V6" s="3">
        <v>5</v>
      </c>
      <c r="W6" s="3">
        <v>5</v>
      </c>
      <c r="X6" s="3">
        <v>100</v>
      </c>
      <c r="Y6" s="3">
        <v>0</v>
      </c>
      <c r="Z6" s="3">
        <v>0</v>
      </c>
      <c r="AA6" s="3">
        <f t="shared" si="3"/>
        <v>10</v>
      </c>
      <c r="AB6" s="3">
        <v>0</v>
      </c>
      <c r="AC6" s="3">
        <f t="shared" si="4"/>
        <v>0.75</v>
      </c>
      <c r="AD6" s="3">
        <f t="shared" si="5"/>
        <v>5</v>
      </c>
      <c r="AE6" s="3">
        <f t="shared" si="6"/>
        <v>5</v>
      </c>
      <c r="AF6" s="3">
        <f t="shared" si="7"/>
        <v>5.2</v>
      </c>
      <c r="AG6" s="3">
        <f t="shared" si="8"/>
        <v>5.2</v>
      </c>
      <c r="AH6" s="3">
        <f t="shared" si="9"/>
        <v>5.4</v>
      </c>
      <c r="AI6" s="3">
        <f t="shared" si="10"/>
        <v>5.4</v>
      </c>
    </row>
    <row r="7" spans="1:35" x14ac:dyDescent="0.2">
      <c r="A7" s="1">
        <v>5</v>
      </c>
      <c r="B7" s="1" t="s">
        <v>112</v>
      </c>
      <c r="C7" s="1"/>
      <c r="D7" s="22">
        <v>6.5038</v>
      </c>
      <c r="E7" s="22">
        <v>55.71</v>
      </c>
      <c r="F7" s="1"/>
      <c r="G7" s="2">
        <v>5</v>
      </c>
      <c r="H7" s="2">
        <v>5</v>
      </c>
      <c r="I7" s="2">
        <f>SUMIFS(ProductionCapacities!$F$2:$F$51,ProductionCapacities!$E$2:$E$51,Nodes!B7)</f>
        <v>0</v>
      </c>
      <c r="J7" s="29">
        <v>0</v>
      </c>
      <c r="K7" s="11">
        <v>500</v>
      </c>
      <c r="L7" s="11">
        <v>500</v>
      </c>
      <c r="M7" s="2">
        <v>10</v>
      </c>
      <c r="N7" s="2">
        <f t="shared" si="1"/>
        <v>0</v>
      </c>
      <c r="O7" s="2">
        <f t="shared" si="2"/>
        <v>0.75</v>
      </c>
      <c r="P7" s="2">
        <v>5</v>
      </c>
      <c r="Q7" s="2">
        <v>5</v>
      </c>
      <c r="R7" s="2">
        <v>5.2</v>
      </c>
      <c r="S7" s="2">
        <v>5.2</v>
      </c>
      <c r="T7" s="2">
        <v>5.4</v>
      </c>
      <c r="U7" s="2">
        <v>5.4</v>
      </c>
      <c r="V7" s="3">
        <v>5</v>
      </c>
      <c r="W7" s="3">
        <v>5</v>
      </c>
      <c r="X7" s="3">
        <v>100</v>
      </c>
      <c r="Y7" s="3">
        <v>0</v>
      </c>
      <c r="Z7" s="3">
        <v>0</v>
      </c>
      <c r="AA7" s="3">
        <f t="shared" si="3"/>
        <v>10</v>
      </c>
      <c r="AB7" s="3">
        <v>0</v>
      </c>
      <c r="AC7" s="3">
        <f t="shared" si="4"/>
        <v>0.75</v>
      </c>
      <c r="AD7" s="3">
        <f t="shared" si="5"/>
        <v>5</v>
      </c>
      <c r="AE7" s="3">
        <f t="shared" si="6"/>
        <v>5</v>
      </c>
      <c r="AF7" s="3">
        <f t="shared" si="7"/>
        <v>5.2</v>
      </c>
      <c r="AG7" s="3">
        <f t="shared" si="8"/>
        <v>5.2</v>
      </c>
      <c r="AH7" s="3">
        <f t="shared" si="9"/>
        <v>5.4</v>
      </c>
      <c r="AI7" s="3">
        <f t="shared" si="10"/>
        <v>5.4</v>
      </c>
    </row>
    <row r="8" spans="1:35" x14ac:dyDescent="0.2">
      <c r="A8" s="1">
        <v>6</v>
      </c>
      <c r="B8" s="1" t="s">
        <v>89</v>
      </c>
      <c r="C8" s="1"/>
      <c r="D8" s="16">
        <v>2.8980550000000558</v>
      </c>
      <c r="E8" s="16">
        <v>60.560633000000053</v>
      </c>
      <c r="F8" s="1" t="s">
        <v>322</v>
      </c>
      <c r="G8" s="2">
        <v>5</v>
      </c>
      <c r="H8" s="2">
        <v>5</v>
      </c>
      <c r="I8" s="2">
        <f>SUMIFS(ProductionCapacities!$F$2:$F$51,ProductionCapacities!$E$2:$E$51,Nodes!B8)</f>
        <v>0.35852054794520549</v>
      </c>
      <c r="J8" s="2">
        <v>0</v>
      </c>
      <c r="K8" s="11">
        <v>500</v>
      </c>
      <c r="L8" s="11">
        <v>500</v>
      </c>
      <c r="M8" s="2">
        <v>10</v>
      </c>
      <c r="N8" s="2">
        <f t="shared" si="1"/>
        <v>0</v>
      </c>
      <c r="O8" s="2">
        <f t="shared" si="2"/>
        <v>0.75</v>
      </c>
      <c r="P8" s="2">
        <v>5</v>
      </c>
      <c r="Q8" s="2">
        <v>5</v>
      </c>
      <c r="R8" s="2">
        <v>5.2</v>
      </c>
      <c r="S8" s="2">
        <v>5.2</v>
      </c>
      <c r="T8" s="2">
        <v>5.4</v>
      </c>
      <c r="U8" s="2">
        <v>5.4</v>
      </c>
      <c r="V8" s="3">
        <v>5</v>
      </c>
      <c r="W8" s="3">
        <v>5</v>
      </c>
      <c r="X8" s="3">
        <v>100</v>
      </c>
      <c r="Y8" s="3">
        <v>0</v>
      </c>
      <c r="Z8" s="3">
        <v>0</v>
      </c>
      <c r="AA8" s="3">
        <f t="shared" si="3"/>
        <v>10</v>
      </c>
      <c r="AB8" s="3">
        <v>0</v>
      </c>
      <c r="AC8" s="3">
        <f t="shared" si="4"/>
        <v>0.75</v>
      </c>
      <c r="AD8" s="3">
        <f t="shared" si="5"/>
        <v>5</v>
      </c>
      <c r="AE8" s="3">
        <f t="shared" si="6"/>
        <v>5</v>
      </c>
      <c r="AF8" s="3">
        <f t="shared" si="7"/>
        <v>5.2</v>
      </c>
      <c r="AG8" s="3">
        <f t="shared" si="8"/>
        <v>5.2</v>
      </c>
      <c r="AH8" s="3">
        <f t="shared" si="9"/>
        <v>5.4</v>
      </c>
      <c r="AI8" s="3">
        <f t="shared" si="10"/>
        <v>5.4</v>
      </c>
    </row>
    <row r="9" spans="1:35" x14ac:dyDescent="0.2">
      <c r="A9" s="1">
        <v>7</v>
      </c>
      <c r="B9" s="1" t="s">
        <v>92</v>
      </c>
      <c r="C9" s="1"/>
      <c r="D9" s="16">
        <v>3.037825494927695</v>
      </c>
      <c r="E9" s="16">
        <v>60.543328997897447</v>
      </c>
      <c r="F9" s="1" t="s">
        <v>322</v>
      </c>
      <c r="G9" s="2">
        <v>5</v>
      </c>
      <c r="H9" s="2">
        <v>5</v>
      </c>
      <c r="I9" s="2">
        <f>SUMIFS(ProductionCapacities!$F$2:$F$51,ProductionCapacities!$E$2:$E$51,Nodes!B9)</f>
        <v>0</v>
      </c>
      <c r="J9" s="2">
        <v>48.064999999999998</v>
      </c>
      <c r="K9" s="11">
        <v>500</v>
      </c>
      <c r="L9" s="11">
        <v>500</v>
      </c>
      <c r="M9" s="2">
        <v>10</v>
      </c>
      <c r="N9" s="2">
        <f t="shared" si="1"/>
        <v>0</v>
      </c>
      <c r="O9" s="2">
        <f t="shared" si="2"/>
        <v>0.75</v>
      </c>
      <c r="P9" s="2">
        <v>5</v>
      </c>
      <c r="Q9" s="2">
        <v>5</v>
      </c>
      <c r="R9" s="2">
        <v>5.2</v>
      </c>
      <c r="S9" s="2">
        <v>5.2</v>
      </c>
      <c r="T9" s="2">
        <v>5.4</v>
      </c>
      <c r="U9" s="2">
        <v>5.4</v>
      </c>
      <c r="V9" s="3">
        <v>5</v>
      </c>
      <c r="W9" s="3">
        <v>5</v>
      </c>
      <c r="X9" s="3">
        <v>100</v>
      </c>
      <c r="Y9" s="3">
        <v>0</v>
      </c>
      <c r="Z9" s="3">
        <v>0</v>
      </c>
      <c r="AA9" s="3">
        <f t="shared" si="3"/>
        <v>10</v>
      </c>
      <c r="AB9" s="3">
        <v>0</v>
      </c>
      <c r="AC9" s="3">
        <f t="shared" si="4"/>
        <v>0.75</v>
      </c>
      <c r="AD9" s="3">
        <f t="shared" si="5"/>
        <v>5</v>
      </c>
      <c r="AE9" s="3">
        <f t="shared" si="6"/>
        <v>5</v>
      </c>
      <c r="AF9" s="3">
        <f t="shared" si="7"/>
        <v>5.2</v>
      </c>
      <c r="AG9" s="3">
        <f t="shared" si="8"/>
        <v>5.2</v>
      </c>
      <c r="AH9" s="3">
        <f t="shared" si="9"/>
        <v>5.4</v>
      </c>
      <c r="AI9" s="3">
        <f t="shared" si="10"/>
        <v>5.4</v>
      </c>
    </row>
    <row r="10" spans="1:35" x14ac:dyDescent="0.2">
      <c r="A10" s="1">
        <v>8</v>
      </c>
      <c r="B10" s="1" t="s">
        <v>108</v>
      </c>
      <c r="C10" s="1"/>
      <c r="D10" s="22">
        <v>1.803328</v>
      </c>
      <c r="E10" s="22">
        <v>57.758068999999999</v>
      </c>
      <c r="F10" s="1"/>
      <c r="G10" s="2">
        <v>5</v>
      </c>
      <c r="H10" s="2">
        <v>5</v>
      </c>
      <c r="I10" s="29">
        <v>48</v>
      </c>
      <c r="J10" s="2">
        <v>1282.3420000000001</v>
      </c>
      <c r="K10" s="11">
        <v>500</v>
      </c>
      <c r="L10" s="11">
        <v>500</v>
      </c>
      <c r="M10" s="2">
        <v>10</v>
      </c>
      <c r="N10" s="2">
        <f t="shared" si="1"/>
        <v>0</v>
      </c>
      <c r="O10" s="2">
        <f t="shared" si="2"/>
        <v>0.75</v>
      </c>
      <c r="P10" s="2">
        <v>5</v>
      </c>
      <c r="Q10" s="2">
        <v>5</v>
      </c>
      <c r="R10" s="2">
        <v>5.2</v>
      </c>
      <c r="S10" s="2">
        <v>5.2</v>
      </c>
      <c r="T10" s="2">
        <v>5.4</v>
      </c>
      <c r="U10" s="2">
        <v>5.4</v>
      </c>
      <c r="V10" s="3">
        <v>5</v>
      </c>
      <c r="W10" s="3">
        <v>5</v>
      </c>
      <c r="X10" s="3">
        <v>100</v>
      </c>
      <c r="Y10" s="3">
        <v>0</v>
      </c>
      <c r="Z10" s="3">
        <v>0</v>
      </c>
      <c r="AA10" s="3">
        <f t="shared" si="3"/>
        <v>10</v>
      </c>
      <c r="AB10" s="3">
        <v>0</v>
      </c>
      <c r="AC10" s="3">
        <f t="shared" si="4"/>
        <v>0.75</v>
      </c>
      <c r="AD10" s="3">
        <f t="shared" si="5"/>
        <v>5</v>
      </c>
      <c r="AE10" s="3">
        <f t="shared" si="6"/>
        <v>5</v>
      </c>
      <c r="AF10" s="3">
        <f t="shared" si="7"/>
        <v>5.2</v>
      </c>
      <c r="AG10" s="3">
        <f t="shared" si="8"/>
        <v>5.2</v>
      </c>
      <c r="AH10" s="3">
        <f t="shared" si="9"/>
        <v>5.4</v>
      </c>
      <c r="AI10" s="3">
        <f t="shared" si="10"/>
        <v>5.4</v>
      </c>
    </row>
    <row r="11" spans="1:35" x14ac:dyDescent="0.2">
      <c r="A11" s="1">
        <v>9</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10</v>
      </c>
      <c r="N11" s="2">
        <f t="shared" si="1"/>
        <v>0</v>
      </c>
      <c r="O11" s="2">
        <f t="shared" si="2"/>
        <v>0.75</v>
      </c>
      <c r="P11" s="2">
        <v>5</v>
      </c>
      <c r="Q11" s="2">
        <v>5</v>
      </c>
      <c r="R11" s="2">
        <v>5.2</v>
      </c>
      <c r="S11" s="2">
        <v>5.2</v>
      </c>
      <c r="T11" s="2">
        <v>5.4</v>
      </c>
      <c r="U11" s="2">
        <v>5.4</v>
      </c>
      <c r="V11" s="3">
        <v>5</v>
      </c>
      <c r="W11" s="3">
        <v>5</v>
      </c>
      <c r="X11" s="3">
        <v>100</v>
      </c>
      <c r="Y11" s="3">
        <v>0</v>
      </c>
      <c r="Z11" s="3">
        <v>0</v>
      </c>
      <c r="AA11" s="3">
        <f t="shared" si="3"/>
        <v>10</v>
      </c>
      <c r="AB11" s="3">
        <v>0</v>
      </c>
      <c r="AC11" s="3">
        <f t="shared" si="4"/>
        <v>0.75</v>
      </c>
      <c r="AD11" s="3">
        <f t="shared" si="5"/>
        <v>5</v>
      </c>
      <c r="AE11" s="3">
        <f t="shared" si="6"/>
        <v>5</v>
      </c>
      <c r="AF11" s="3">
        <f t="shared" si="7"/>
        <v>5.2</v>
      </c>
      <c r="AG11" s="3">
        <f t="shared" si="8"/>
        <v>5.2</v>
      </c>
      <c r="AH11" s="3">
        <f t="shared" si="9"/>
        <v>5.4</v>
      </c>
      <c r="AI11" s="3">
        <f t="shared" si="10"/>
        <v>5.4</v>
      </c>
    </row>
    <row r="12" spans="1:35" x14ac:dyDescent="0.2">
      <c r="A12" s="1">
        <v>10</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10</v>
      </c>
      <c r="N12" s="2">
        <f t="shared" si="1"/>
        <v>0</v>
      </c>
      <c r="O12" s="2">
        <f t="shared" si="2"/>
        <v>0.75</v>
      </c>
      <c r="P12" s="2">
        <v>5</v>
      </c>
      <c r="Q12" s="2">
        <v>5</v>
      </c>
      <c r="R12" s="2">
        <v>5.2</v>
      </c>
      <c r="S12" s="2">
        <v>5.2</v>
      </c>
      <c r="T12" s="2">
        <v>5.4</v>
      </c>
      <c r="U12" s="2">
        <v>5.4</v>
      </c>
      <c r="V12" s="3">
        <v>5</v>
      </c>
      <c r="W12" s="3">
        <v>5</v>
      </c>
      <c r="X12" s="3">
        <v>100</v>
      </c>
      <c r="Y12" s="3">
        <v>0</v>
      </c>
      <c r="Z12" s="3">
        <v>0</v>
      </c>
      <c r="AA12" s="3">
        <f t="shared" si="3"/>
        <v>10</v>
      </c>
      <c r="AB12" s="3">
        <v>0</v>
      </c>
      <c r="AC12" s="3">
        <f t="shared" si="4"/>
        <v>0.75</v>
      </c>
      <c r="AD12" s="3">
        <f t="shared" si="5"/>
        <v>5</v>
      </c>
      <c r="AE12" s="3">
        <f t="shared" si="6"/>
        <v>5</v>
      </c>
      <c r="AF12" s="3">
        <f t="shared" si="7"/>
        <v>5.2</v>
      </c>
      <c r="AG12" s="3">
        <f t="shared" si="8"/>
        <v>5.2</v>
      </c>
      <c r="AH12" s="3">
        <f t="shared" si="9"/>
        <v>5.4</v>
      </c>
      <c r="AI12" s="3">
        <f t="shared" si="10"/>
        <v>5.4</v>
      </c>
    </row>
    <row r="13" spans="1:35" x14ac:dyDescent="0.2">
      <c r="A13" s="1">
        <v>11</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10</v>
      </c>
      <c r="N13" s="2">
        <f t="shared" si="1"/>
        <v>0</v>
      </c>
      <c r="O13" s="2">
        <f t="shared" si="2"/>
        <v>0.75</v>
      </c>
      <c r="P13" s="2">
        <v>5</v>
      </c>
      <c r="Q13" s="2">
        <v>5</v>
      </c>
      <c r="R13" s="2">
        <v>5.2</v>
      </c>
      <c r="S13" s="2">
        <v>5.2</v>
      </c>
      <c r="T13" s="2">
        <v>5.4</v>
      </c>
      <c r="U13" s="2">
        <v>5.4</v>
      </c>
      <c r="V13" s="3">
        <v>5</v>
      </c>
      <c r="W13" s="3">
        <v>5</v>
      </c>
      <c r="X13" s="3">
        <v>100</v>
      </c>
      <c r="Y13" s="3">
        <v>0</v>
      </c>
      <c r="Z13" s="3">
        <v>0</v>
      </c>
      <c r="AA13" s="3">
        <f t="shared" si="3"/>
        <v>10</v>
      </c>
      <c r="AB13" s="3">
        <v>0</v>
      </c>
      <c r="AC13" s="3">
        <f t="shared" si="4"/>
        <v>0.75</v>
      </c>
      <c r="AD13" s="3">
        <f t="shared" si="5"/>
        <v>5</v>
      </c>
      <c r="AE13" s="3">
        <f t="shared" si="6"/>
        <v>5</v>
      </c>
      <c r="AF13" s="3">
        <f t="shared" si="7"/>
        <v>5.2</v>
      </c>
      <c r="AG13" s="3">
        <f t="shared" si="8"/>
        <v>5.2</v>
      </c>
      <c r="AH13" s="3">
        <f t="shared" si="9"/>
        <v>5.4</v>
      </c>
      <c r="AI13" s="3">
        <f t="shared" si="10"/>
        <v>5.4</v>
      </c>
    </row>
    <row r="14" spans="1:35" x14ac:dyDescent="0.2">
      <c r="A14" s="1">
        <v>12</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10</v>
      </c>
      <c r="N14" s="2">
        <f t="shared" si="1"/>
        <v>0</v>
      </c>
      <c r="O14" s="2">
        <f t="shared" si="2"/>
        <v>0.75</v>
      </c>
      <c r="P14" s="2">
        <v>5</v>
      </c>
      <c r="Q14" s="2">
        <v>5</v>
      </c>
      <c r="R14" s="2">
        <v>5.2</v>
      </c>
      <c r="S14" s="2">
        <v>5.2</v>
      </c>
      <c r="T14" s="2">
        <v>5.4</v>
      </c>
      <c r="U14" s="2">
        <v>5.4</v>
      </c>
      <c r="V14" s="3">
        <v>5</v>
      </c>
      <c r="W14" s="3">
        <v>5</v>
      </c>
      <c r="X14" s="3">
        <v>100</v>
      </c>
      <c r="Y14" s="3">
        <v>0</v>
      </c>
      <c r="Z14" s="3">
        <v>0</v>
      </c>
      <c r="AA14" s="3">
        <f t="shared" si="3"/>
        <v>10</v>
      </c>
      <c r="AB14" s="3">
        <v>0</v>
      </c>
      <c r="AC14" s="3">
        <f t="shared" si="4"/>
        <v>0.75</v>
      </c>
      <c r="AD14" s="3">
        <f t="shared" si="5"/>
        <v>5</v>
      </c>
      <c r="AE14" s="3">
        <f t="shared" si="6"/>
        <v>5</v>
      </c>
      <c r="AF14" s="3">
        <f t="shared" si="7"/>
        <v>5.2</v>
      </c>
      <c r="AG14" s="3">
        <f t="shared" si="8"/>
        <v>5.2</v>
      </c>
      <c r="AH14" s="3">
        <f t="shared" si="9"/>
        <v>5.4</v>
      </c>
      <c r="AI14" s="3">
        <f t="shared" si="10"/>
        <v>5.4</v>
      </c>
    </row>
    <row r="15" spans="1:35" x14ac:dyDescent="0.2">
      <c r="A15" s="1">
        <v>13</v>
      </c>
      <c r="B15" s="1" t="s">
        <v>80</v>
      </c>
      <c r="C15" s="1"/>
      <c r="D15" s="16">
        <v>6.4412580000000617</v>
      </c>
      <c r="E15" s="16">
        <v>64.233255000000042</v>
      </c>
      <c r="F15" s="1" t="s">
        <v>322</v>
      </c>
      <c r="G15" s="2">
        <v>5</v>
      </c>
      <c r="H15" s="2">
        <v>5</v>
      </c>
      <c r="I15" s="2">
        <f>SUMIFS(ProductionCapacities!$F$2:$F$51,ProductionCapacities!$E$2:$E$51,Nodes!B15)</f>
        <v>1.0191780821917809E-2</v>
      </c>
      <c r="J15" s="2">
        <v>48.064999999999998</v>
      </c>
      <c r="K15" s="11">
        <v>500</v>
      </c>
      <c r="L15" s="11">
        <v>500</v>
      </c>
      <c r="M15" s="2">
        <v>10</v>
      </c>
      <c r="N15" s="2">
        <f t="shared" si="1"/>
        <v>0</v>
      </c>
      <c r="O15" s="2">
        <f t="shared" si="2"/>
        <v>0.75</v>
      </c>
      <c r="P15" s="2">
        <v>5</v>
      </c>
      <c r="Q15" s="2">
        <v>5</v>
      </c>
      <c r="R15" s="2">
        <v>5.2</v>
      </c>
      <c r="S15" s="2">
        <v>5.2</v>
      </c>
      <c r="T15" s="2">
        <v>5.4</v>
      </c>
      <c r="U15" s="2">
        <v>5.4</v>
      </c>
      <c r="V15" s="3">
        <v>5</v>
      </c>
      <c r="W15" s="3">
        <v>5</v>
      </c>
      <c r="X15" s="3">
        <v>100</v>
      </c>
      <c r="Y15" s="3">
        <v>0</v>
      </c>
      <c r="Z15" s="3">
        <v>0</v>
      </c>
      <c r="AA15" s="3">
        <f t="shared" si="3"/>
        <v>10</v>
      </c>
      <c r="AB15" s="3">
        <v>0</v>
      </c>
      <c r="AC15" s="3">
        <f t="shared" si="4"/>
        <v>0.75</v>
      </c>
      <c r="AD15" s="3">
        <f t="shared" si="5"/>
        <v>5</v>
      </c>
      <c r="AE15" s="3">
        <f t="shared" si="6"/>
        <v>5</v>
      </c>
      <c r="AF15" s="3">
        <f t="shared" si="7"/>
        <v>5.2</v>
      </c>
      <c r="AG15" s="3">
        <f t="shared" si="8"/>
        <v>5.2</v>
      </c>
      <c r="AH15" s="3">
        <f t="shared" si="9"/>
        <v>5.4</v>
      </c>
      <c r="AI15" s="3">
        <f t="shared" si="10"/>
        <v>5.4</v>
      </c>
    </row>
    <row r="16" spans="1:35" x14ac:dyDescent="0.2">
      <c r="A16" s="1">
        <v>14</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10</v>
      </c>
      <c r="N16" s="2">
        <f t="shared" si="1"/>
        <v>0</v>
      </c>
      <c r="O16" s="2">
        <f t="shared" si="2"/>
        <v>0.75</v>
      </c>
      <c r="P16" s="2">
        <v>5</v>
      </c>
      <c r="Q16" s="2">
        <v>5</v>
      </c>
      <c r="R16" s="2">
        <v>5.2</v>
      </c>
      <c r="S16" s="2">
        <v>5.2</v>
      </c>
      <c r="T16" s="2">
        <v>5.4</v>
      </c>
      <c r="U16" s="2">
        <v>5.4</v>
      </c>
      <c r="V16" s="3">
        <v>5</v>
      </c>
      <c r="W16" s="3">
        <v>5</v>
      </c>
      <c r="X16" s="3">
        <v>100</v>
      </c>
      <c r="Y16" s="3">
        <v>0</v>
      </c>
      <c r="Z16" s="3">
        <v>0</v>
      </c>
      <c r="AA16" s="3">
        <f t="shared" si="3"/>
        <v>10</v>
      </c>
      <c r="AB16" s="3">
        <v>0</v>
      </c>
      <c r="AC16" s="3">
        <f t="shared" si="4"/>
        <v>0.75</v>
      </c>
      <c r="AD16" s="3">
        <f t="shared" si="5"/>
        <v>5</v>
      </c>
      <c r="AE16" s="3">
        <f t="shared" si="6"/>
        <v>5</v>
      </c>
      <c r="AF16" s="3">
        <f t="shared" si="7"/>
        <v>5.2</v>
      </c>
      <c r="AG16" s="3">
        <f t="shared" si="8"/>
        <v>5.2</v>
      </c>
      <c r="AH16" s="3">
        <f t="shared" si="9"/>
        <v>5.4</v>
      </c>
      <c r="AI16" s="3">
        <f t="shared" si="10"/>
        <v>5.4</v>
      </c>
    </row>
    <row r="17" spans="1:35" x14ac:dyDescent="0.2">
      <c r="A17" s="1">
        <v>15</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10</v>
      </c>
      <c r="N17" s="2">
        <f t="shared" si="1"/>
        <v>0</v>
      </c>
      <c r="O17" s="2">
        <f t="shared" si="2"/>
        <v>0.75</v>
      </c>
      <c r="P17" s="2">
        <v>5</v>
      </c>
      <c r="Q17" s="2">
        <v>5</v>
      </c>
      <c r="R17" s="2">
        <v>5.2</v>
      </c>
      <c r="S17" s="2">
        <v>5.2</v>
      </c>
      <c r="T17" s="2">
        <v>5.4</v>
      </c>
      <c r="U17" s="2">
        <v>5.4</v>
      </c>
      <c r="V17" s="3">
        <v>5</v>
      </c>
      <c r="W17" s="3">
        <v>5</v>
      </c>
      <c r="X17" s="3">
        <v>100</v>
      </c>
      <c r="Y17" s="3">
        <v>0</v>
      </c>
      <c r="Z17" s="3">
        <v>0</v>
      </c>
      <c r="AA17" s="3">
        <f t="shared" si="3"/>
        <v>10</v>
      </c>
      <c r="AB17" s="3">
        <v>0</v>
      </c>
      <c r="AC17" s="3">
        <f t="shared" si="4"/>
        <v>0.75</v>
      </c>
      <c r="AD17" s="3">
        <f t="shared" si="5"/>
        <v>5</v>
      </c>
      <c r="AE17" s="3">
        <f t="shared" si="6"/>
        <v>5</v>
      </c>
      <c r="AF17" s="3">
        <f t="shared" si="7"/>
        <v>5.2</v>
      </c>
      <c r="AG17" s="3">
        <f t="shared" si="8"/>
        <v>5.2</v>
      </c>
      <c r="AH17" s="3">
        <f t="shared" si="9"/>
        <v>5.4</v>
      </c>
      <c r="AI17" s="3">
        <f t="shared" si="10"/>
        <v>5.4</v>
      </c>
    </row>
    <row r="18" spans="1:35" x14ac:dyDescent="0.2">
      <c r="A18" s="1">
        <v>16</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10</v>
      </c>
      <c r="N18" s="2">
        <f t="shared" si="1"/>
        <v>0</v>
      </c>
      <c r="O18" s="2">
        <f t="shared" si="2"/>
        <v>0.75</v>
      </c>
      <c r="P18" s="2">
        <v>5</v>
      </c>
      <c r="Q18" s="2">
        <v>5</v>
      </c>
      <c r="R18" s="2">
        <v>5.2</v>
      </c>
      <c r="S18" s="2">
        <v>5.2</v>
      </c>
      <c r="T18" s="2">
        <v>5.4</v>
      </c>
      <c r="U18" s="2">
        <v>5.4</v>
      </c>
      <c r="V18" s="3">
        <v>5</v>
      </c>
      <c r="W18" s="3">
        <v>5</v>
      </c>
      <c r="X18" s="3">
        <v>100</v>
      </c>
      <c r="Y18" s="3">
        <v>0</v>
      </c>
      <c r="Z18" s="3">
        <v>0</v>
      </c>
      <c r="AA18" s="3">
        <f t="shared" si="3"/>
        <v>10</v>
      </c>
      <c r="AB18" s="3">
        <v>0</v>
      </c>
      <c r="AC18" s="3">
        <f t="shared" si="4"/>
        <v>0.75</v>
      </c>
      <c r="AD18" s="3">
        <f t="shared" si="5"/>
        <v>5</v>
      </c>
      <c r="AE18" s="3">
        <f t="shared" si="6"/>
        <v>5</v>
      </c>
      <c r="AF18" s="3">
        <f t="shared" si="7"/>
        <v>5.2</v>
      </c>
      <c r="AG18" s="3">
        <f t="shared" si="8"/>
        <v>5.2</v>
      </c>
      <c r="AH18" s="3">
        <f t="shared" si="9"/>
        <v>5.4</v>
      </c>
      <c r="AI18" s="3">
        <f t="shared" si="10"/>
        <v>5.4</v>
      </c>
    </row>
    <row r="19" spans="1:35" x14ac:dyDescent="0.2">
      <c r="A19" s="1">
        <v>17</v>
      </c>
      <c r="B19" s="1" t="s">
        <v>122</v>
      </c>
      <c r="C19" s="1" t="s">
        <v>335</v>
      </c>
      <c r="D19" s="22">
        <v>2.252709000000038</v>
      </c>
      <c r="E19" s="22">
        <v>51.046406000000047</v>
      </c>
      <c r="F19" s="1"/>
      <c r="G19" s="2">
        <v>5</v>
      </c>
      <c r="H19" s="2">
        <v>5</v>
      </c>
      <c r="I19" s="2">
        <f>SUMIFS(ProductionCapacities!$F$2:$F$51,ProductionCapacities!$E$2:$E$51,Nodes!B19)</f>
        <v>0</v>
      </c>
      <c r="J19" s="29">
        <v>1214.5999999999999</v>
      </c>
      <c r="K19" s="11">
        <v>500</v>
      </c>
      <c r="L19" s="11">
        <v>500</v>
      </c>
      <c r="M19" s="2">
        <v>10</v>
      </c>
      <c r="N19" s="2">
        <f t="shared" si="1"/>
        <v>100</v>
      </c>
      <c r="O19" s="2">
        <f t="shared" si="2"/>
        <v>0.749</v>
      </c>
      <c r="P19" s="2">
        <v>5</v>
      </c>
      <c r="Q19" s="2">
        <v>5</v>
      </c>
      <c r="R19" s="2">
        <v>5.2</v>
      </c>
      <c r="S19" s="2">
        <v>5.2</v>
      </c>
      <c r="T19" s="2">
        <v>5.4</v>
      </c>
      <c r="U19" s="2">
        <v>5.4</v>
      </c>
      <c r="V19" s="3">
        <v>5</v>
      </c>
      <c r="W19" s="3">
        <v>5</v>
      </c>
      <c r="X19" s="3">
        <v>100</v>
      </c>
      <c r="Y19" s="3">
        <v>0</v>
      </c>
      <c r="Z19" s="3">
        <v>0</v>
      </c>
      <c r="AA19" s="3">
        <f t="shared" si="3"/>
        <v>10</v>
      </c>
      <c r="AB19" s="3">
        <v>0</v>
      </c>
      <c r="AC19" s="3">
        <f t="shared" si="4"/>
        <v>0.749</v>
      </c>
      <c r="AD19" s="3">
        <f t="shared" si="5"/>
        <v>5</v>
      </c>
      <c r="AE19" s="3">
        <f t="shared" si="6"/>
        <v>5</v>
      </c>
      <c r="AF19" s="3">
        <f t="shared" si="7"/>
        <v>5.2</v>
      </c>
      <c r="AG19" s="3">
        <f t="shared" si="8"/>
        <v>5.2</v>
      </c>
      <c r="AH19" s="3">
        <f t="shared" si="9"/>
        <v>5.4</v>
      </c>
      <c r="AI19" s="3">
        <f t="shared" si="10"/>
        <v>5.4</v>
      </c>
    </row>
    <row r="20" spans="1:35" x14ac:dyDescent="0.2">
      <c r="A20" s="1">
        <v>18</v>
      </c>
      <c r="B20" s="1" t="s">
        <v>119</v>
      </c>
      <c r="C20" s="1" t="s">
        <v>335</v>
      </c>
      <c r="D20" s="22">
        <v>0.1160310000000209</v>
      </c>
      <c r="E20" s="22">
        <v>53.659231000000027</v>
      </c>
      <c r="F20" s="1"/>
      <c r="G20" s="2">
        <v>5</v>
      </c>
      <c r="H20" s="2">
        <v>5</v>
      </c>
      <c r="I20" s="2">
        <f>SUMIFS(ProductionCapacities!$F$2:$F$51,ProductionCapacities!$E$2:$E$51,Nodes!B20)</f>
        <v>0</v>
      </c>
      <c r="J20" s="2">
        <v>0</v>
      </c>
      <c r="K20" s="11">
        <v>500</v>
      </c>
      <c r="L20" s="11">
        <v>500</v>
      </c>
      <c r="M20" s="2">
        <v>10</v>
      </c>
      <c r="N20" s="2">
        <f t="shared" si="1"/>
        <v>100</v>
      </c>
      <c r="O20" s="2">
        <f t="shared" si="2"/>
        <v>0.749</v>
      </c>
      <c r="P20" s="2">
        <v>5</v>
      </c>
      <c r="Q20" s="2">
        <v>5</v>
      </c>
      <c r="R20" s="2">
        <v>5.2</v>
      </c>
      <c r="S20" s="2">
        <v>5.2</v>
      </c>
      <c r="T20" s="2">
        <v>5.4</v>
      </c>
      <c r="U20" s="2">
        <v>5.4</v>
      </c>
      <c r="V20" s="3">
        <v>5</v>
      </c>
      <c r="W20" s="3">
        <v>5</v>
      </c>
      <c r="X20" s="3">
        <v>100</v>
      </c>
      <c r="Y20" s="3">
        <v>0</v>
      </c>
      <c r="Z20" s="3">
        <v>0</v>
      </c>
      <c r="AA20" s="3">
        <f t="shared" si="3"/>
        <v>10</v>
      </c>
      <c r="AB20" s="3">
        <v>0</v>
      </c>
      <c r="AC20" s="3">
        <f t="shared" si="4"/>
        <v>0.749</v>
      </c>
      <c r="AD20" s="3">
        <f t="shared" si="5"/>
        <v>5</v>
      </c>
      <c r="AE20" s="3">
        <f t="shared" si="6"/>
        <v>5</v>
      </c>
      <c r="AF20" s="3">
        <f t="shared" si="7"/>
        <v>5.2</v>
      </c>
      <c r="AG20" s="3">
        <f t="shared" si="8"/>
        <v>5.2</v>
      </c>
      <c r="AH20" s="3">
        <f t="shared" si="9"/>
        <v>5.4</v>
      </c>
      <c r="AI20" s="3">
        <f t="shared" si="10"/>
        <v>5.4</v>
      </c>
    </row>
    <row r="21" spans="1:35" x14ac:dyDescent="0.2">
      <c r="A21" s="1">
        <v>19</v>
      </c>
      <c r="B21" s="1" t="s">
        <v>98</v>
      </c>
      <c r="C21" s="1"/>
      <c r="D21" s="16">
        <v>1.3911370790000319</v>
      </c>
      <c r="E21" s="16">
        <v>59.47797846900005</v>
      </c>
      <c r="F21" s="1" t="s">
        <v>322</v>
      </c>
      <c r="G21" s="2">
        <v>5</v>
      </c>
      <c r="H21" s="2">
        <v>5</v>
      </c>
      <c r="I21" s="2">
        <f>SUMIFS(ProductionCapacities!$F$2:$F$51,ProductionCapacities!$E$2:$E$51,Nodes!B21)</f>
        <v>4.0645178082191773</v>
      </c>
      <c r="J21" s="2">
        <v>48.064999999999998</v>
      </c>
      <c r="K21" s="11">
        <v>500</v>
      </c>
      <c r="L21" s="11">
        <v>500</v>
      </c>
      <c r="M21" s="2">
        <v>10</v>
      </c>
      <c r="N21" s="2">
        <f t="shared" si="1"/>
        <v>0</v>
      </c>
      <c r="O21" s="2">
        <f t="shared" si="2"/>
        <v>0.75</v>
      </c>
      <c r="P21" s="2">
        <v>5</v>
      </c>
      <c r="Q21" s="2">
        <v>5</v>
      </c>
      <c r="R21" s="2">
        <v>5.2</v>
      </c>
      <c r="S21" s="2">
        <v>5.2</v>
      </c>
      <c r="T21" s="2">
        <v>5.4</v>
      </c>
      <c r="U21" s="2">
        <v>5.4</v>
      </c>
      <c r="V21" s="3">
        <v>5</v>
      </c>
      <c r="W21" s="3">
        <v>5</v>
      </c>
      <c r="X21" s="3">
        <v>100</v>
      </c>
      <c r="Y21" s="3">
        <v>0</v>
      </c>
      <c r="Z21" s="3">
        <v>0</v>
      </c>
      <c r="AA21" s="3">
        <f t="shared" si="3"/>
        <v>10</v>
      </c>
      <c r="AB21" s="3">
        <v>0</v>
      </c>
      <c r="AC21" s="3">
        <f t="shared" si="4"/>
        <v>0.75</v>
      </c>
      <c r="AD21" s="3">
        <f t="shared" si="5"/>
        <v>5</v>
      </c>
      <c r="AE21" s="3">
        <f t="shared" si="6"/>
        <v>5</v>
      </c>
      <c r="AF21" s="3">
        <f t="shared" si="7"/>
        <v>5.2</v>
      </c>
      <c r="AG21" s="3">
        <f t="shared" si="8"/>
        <v>5.2</v>
      </c>
      <c r="AH21" s="3">
        <f t="shared" si="9"/>
        <v>5.4</v>
      </c>
      <c r="AI21" s="3">
        <f t="shared" si="10"/>
        <v>5.4</v>
      </c>
    </row>
    <row r="22" spans="1:35" x14ac:dyDescent="0.2">
      <c r="A22" s="1">
        <v>20</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10</v>
      </c>
      <c r="N22" s="2">
        <f t="shared" si="1"/>
        <v>0</v>
      </c>
      <c r="O22" s="2">
        <f t="shared" si="2"/>
        <v>0.75</v>
      </c>
      <c r="P22" s="2">
        <v>5</v>
      </c>
      <c r="Q22" s="2">
        <v>5</v>
      </c>
      <c r="R22" s="2">
        <v>5.2</v>
      </c>
      <c r="S22" s="2">
        <v>5.2</v>
      </c>
      <c r="T22" s="2">
        <v>5.4</v>
      </c>
      <c r="U22" s="2">
        <v>5.4</v>
      </c>
      <c r="V22" s="3">
        <v>5</v>
      </c>
      <c r="W22" s="3">
        <v>5</v>
      </c>
      <c r="X22" s="3">
        <v>100</v>
      </c>
      <c r="Y22" s="3">
        <v>0</v>
      </c>
      <c r="Z22" s="3">
        <v>0</v>
      </c>
      <c r="AA22" s="3">
        <f t="shared" si="3"/>
        <v>10</v>
      </c>
      <c r="AB22" s="3">
        <v>0</v>
      </c>
      <c r="AC22" s="3">
        <f t="shared" si="4"/>
        <v>0.75</v>
      </c>
      <c r="AD22" s="3">
        <f t="shared" si="5"/>
        <v>5</v>
      </c>
      <c r="AE22" s="3">
        <f t="shared" si="6"/>
        <v>5</v>
      </c>
      <c r="AF22" s="3">
        <f t="shared" si="7"/>
        <v>5.2</v>
      </c>
      <c r="AG22" s="3">
        <f t="shared" si="8"/>
        <v>5.2</v>
      </c>
      <c r="AH22" s="3">
        <f t="shared" si="9"/>
        <v>5.4</v>
      </c>
      <c r="AI22" s="3">
        <f t="shared" si="10"/>
        <v>5.4</v>
      </c>
    </row>
    <row r="23" spans="1:35" x14ac:dyDescent="0.2">
      <c r="A23" s="1">
        <v>21</v>
      </c>
      <c r="B23" s="1" t="s">
        <v>334</v>
      </c>
      <c r="C23" s="1" t="s">
        <v>335</v>
      </c>
      <c r="D23" s="22">
        <v>7.3264200000000406</v>
      </c>
      <c r="E23" s="22">
        <v>53.679700000000082</v>
      </c>
      <c r="F23" s="1"/>
      <c r="G23" s="2">
        <v>5</v>
      </c>
      <c r="H23" s="2">
        <v>5</v>
      </c>
      <c r="I23" s="2">
        <f>SUMIFS(ProductionCapacities!$F$2:$F$51,ProductionCapacities!$E$2:$E$51,Nodes!B23)</f>
        <v>0</v>
      </c>
      <c r="J23" s="2">
        <v>0</v>
      </c>
      <c r="K23" s="11">
        <v>500</v>
      </c>
      <c r="L23" s="11">
        <v>500</v>
      </c>
      <c r="M23" s="2">
        <v>10</v>
      </c>
      <c r="N23" s="2">
        <f t="shared" si="1"/>
        <v>100</v>
      </c>
      <c r="O23" s="2">
        <f t="shared" si="2"/>
        <v>0.749</v>
      </c>
      <c r="P23" s="2">
        <v>5</v>
      </c>
      <c r="Q23" s="2">
        <v>5</v>
      </c>
      <c r="R23" s="2">
        <v>5.2</v>
      </c>
      <c r="S23" s="2">
        <v>5.2</v>
      </c>
      <c r="T23" s="2">
        <v>5.4</v>
      </c>
      <c r="U23" s="2">
        <v>5.4</v>
      </c>
      <c r="V23" s="3">
        <v>5</v>
      </c>
      <c r="W23" s="3">
        <v>5</v>
      </c>
      <c r="X23" s="3">
        <v>100</v>
      </c>
      <c r="Y23" s="3">
        <v>0</v>
      </c>
      <c r="Z23" s="3">
        <v>0</v>
      </c>
      <c r="AA23" s="3">
        <f t="shared" si="3"/>
        <v>10</v>
      </c>
      <c r="AB23" s="3">
        <v>0</v>
      </c>
      <c r="AC23" s="3">
        <f t="shared" si="4"/>
        <v>0.749</v>
      </c>
      <c r="AD23" s="3">
        <f t="shared" si="5"/>
        <v>5</v>
      </c>
      <c r="AE23" s="3">
        <f t="shared" si="6"/>
        <v>5</v>
      </c>
      <c r="AF23" s="3">
        <f t="shared" si="7"/>
        <v>5.2</v>
      </c>
      <c r="AG23" s="3">
        <f t="shared" si="8"/>
        <v>5.2</v>
      </c>
      <c r="AH23" s="3">
        <f t="shared" si="9"/>
        <v>5.4</v>
      </c>
      <c r="AI23" s="3">
        <f t="shared" si="10"/>
        <v>5.4</v>
      </c>
    </row>
    <row r="24" spans="1:35" x14ac:dyDescent="0.2">
      <c r="A24" s="1">
        <v>22</v>
      </c>
      <c r="B24" s="1" t="s">
        <v>120</v>
      </c>
      <c r="C24" s="1" t="s">
        <v>335</v>
      </c>
      <c r="D24" s="16">
        <v>7.1892900000000282</v>
      </c>
      <c r="E24" s="16">
        <v>53.346200000000067</v>
      </c>
      <c r="F24" s="1"/>
      <c r="G24" s="2">
        <v>5</v>
      </c>
      <c r="H24" s="2">
        <v>5</v>
      </c>
      <c r="I24" s="2">
        <f>SUMIFS(ProductionCapacities!$F$2:$F$51,ProductionCapacities!$E$2:$E$51,Nodes!B24)</f>
        <v>0</v>
      </c>
      <c r="J24" s="2">
        <v>0</v>
      </c>
      <c r="K24" s="11">
        <v>500</v>
      </c>
      <c r="L24" s="11">
        <v>500</v>
      </c>
      <c r="M24" s="2">
        <v>10</v>
      </c>
      <c r="N24" s="2">
        <f t="shared" si="1"/>
        <v>100</v>
      </c>
      <c r="O24" s="2">
        <f t="shared" si="2"/>
        <v>0.749</v>
      </c>
      <c r="P24" s="2">
        <v>5</v>
      </c>
      <c r="Q24" s="2">
        <v>5</v>
      </c>
      <c r="R24" s="2">
        <v>5.2</v>
      </c>
      <c r="S24" s="2">
        <v>5.2</v>
      </c>
      <c r="T24" s="2">
        <v>5.4</v>
      </c>
      <c r="U24" s="2">
        <v>5.4</v>
      </c>
      <c r="V24" s="3">
        <v>5</v>
      </c>
      <c r="W24" s="3">
        <v>5</v>
      </c>
      <c r="X24" s="3">
        <v>100</v>
      </c>
      <c r="Y24" s="3">
        <v>0</v>
      </c>
      <c r="Z24" s="3">
        <v>0</v>
      </c>
      <c r="AA24" s="3">
        <f t="shared" si="3"/>
        <v>10</v>
      </c>
      <c r="AB24" s="3">
        <v>0</v>
      </c>
      <c r="AC24" s="3">
        <f t="shared" si="4"/>
        <v>0.749</v>
      </c>
      <c r="AD24" s="3">
        <f t="shared" si="5"/>
        <v>5</v>
      </c>
      <c r="AE24" s="3">
        <f t="shared" si="6"/>
        <v>5</v>
      </c>
      <c r="AF24" s="3">
        <f t="shared" si="7"/>
        <v>5.2</v>
      </c>
      <c r="AG24" s="3">
        <f t="shared" si="8"/>
        <v>5.2</v>
      </c>
      <c r="AH24" s="3">
        <f t="shared" si="9"/>
        <v>5.4</v>
      </c>
      <c r="AI24" s="3">
        <f t="shared" si="10"/>
        <v>5.4</v>
      </c>
    </row>
    <row r="25" spans="1:35" x14ac:dyDescent="0.2">
      <c r="A25" s="1">
        <v>23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10</v>
      </c>
      <c r="N25" s="2">
        <f t="shared" si="1"/>
        <v>0</v>
      </c>
      <c r="O25" s="2">
        <f t="shared" si="2"/>
        <v>0.75</v>
      </c>
      <c r="P25" s="2">
        <v>5</v>
      </c>
      <c r="Q25" s="2">
        <v>5</v>
      </c>
      <c r="R25" s="2">
        <v>5.2</v>
      </c>
      <c r="S25" s="2">
        <v>5.2</v>
      </c>
      <c r="T25" s="2">
        <v>5.4</v>
      </c>
      <c r="U25" s="2">
        <v>5.4</v>
      </c>
      <c r="V25" s="3">
        <v>5</v>
      </c>
      <c r="W25" s="3">
        <v>5</v>
      </c>
      <c r="X25" s="3">
        <v>100</v>
      </c>
      <c r="Y25" s="3">
        <v>0</v>
      </c>
      <c r="Z25" s="3">
        <v>0</v>
      </c>
      <c r="AA25" s="3">
        <f t="shared" si="3"/>
        <v>10</v>
      </c>
      <c r="AB25" s="3">
        <v>0</v>
      </c>
      <c r="AC25" s="3">
        <f t="shared" si="4"/>
        <v>0.75</v>
      </c>
      <c r="AD25" s="3">
        <f t="shared" si="5"/>
        <v>5</v>
      </c>
      <c r="AE25" s="3">
        <f t="shared" si="6"/>
        <v>5</v>
      </c>
      <c r="AF25" s="3">
        <f t="shared" si="7"/>
        <v>5.2</v>
      </c>
      <c r="AG25" s="3">
        <f t="shared" si="8"/>
        <v>5.2</v>
      </c>
      <c r="AH25" s="3">
        <f t="shared" si="9"/>
        <v>5.4</v>
      </c>
      <c r="AI25" s="3">
        <f t="shared" si="10"/>
        <v>5.4</v>
      </c>
    </row>
    <row r="26" spans="1:35" x14ac:dyDescent="0.2">
      <c r="A26" s="1">
        <v>24</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10</v>
      </c>
      <c r="N26" s="2">
        <f t="shared" si="1"/>
        <v>0</v>
      </c>
      <c r="O26" s="2">
        <f t="shared" si="2"/>
        <v>0.75</v>
      </c>
      <c r="P26" s="2">
        <v>5</v>
      </c>
      <c r="Q26" s="2">
        <v>5</v>
      </c>
      <c r="R26" s="2">
        <v>5.2</v>
      </c>
      <c r="S26" s="2">
        <v>5.2</v>
      </c>
      <c r="T26" s="2">
        <v>5.4</v>
      </c>
      <c r="U26" s="2">
        <v>5.4</v>
      </c>
      <c r="V26" s="3">
        <v>5</v>
      </c>
      <c r="W26" s="3">
        <v>5</v>
      </c>
      <c r="X26" s="3">
        <v>100</v>
      </c>
      <c r="Y26" s="3">
        <v>0</v>
      </c>
      <c r="Z26" s="3">
        <v>0</v>
      </c>
      <c r="AA26" s="3">
        <f t="shared" si="3"/>
        <v>10</v>
      </c>
      <c r="AB26" s="3">
        <v>0</v>
      </c>
      <c r="AC26" s="3">
        <f t="shared" si="4"/>
        <v>0.75</v>
      </c>
      <c r="AD26" s="3">
        <f t="shared" si="5"/>
        <v>5</v>
      </c>
      <c r="AE26" s="3">
        <f t="shared" si="6"/>
        <v>5</v>
      </c>
      <c r="AF26" s="3">
        <f t="shared" si="7"/>
        <v>5.2</v>
      </c>
      <c r="AG26" s="3">
        <f t="shared" si="8"/>
        <v>5.2</v>
      </c>
      <c r="AH26" s="3">
        <f t="shared" si="9"/>
        <v>5.4</v>
      </c>
      <c r="AI26" s="3">
        <f t="shared" si="10"/>
        <v>5.4</v>
      </c>
    </row>
    <row r="27" spans="1:35" x14ac:dyDescent="0.2">
      <c r="A27" s="1">
        <v>25</v>
      </c>
      <c r="B27" s="1" t="s">
        <v>93</v>
      </c>
      <c r="C27" s="1"/>
      <c r="D27" s="16">
        <v>2.011387666028313</v>
      </c>
      <c r="E27" s="16">
        <v>60.502035307044537</v>
      </c>
      <c r="F27" s="1" t="s">
        <v>322</v>
      </c>
      <c r="G27" s="2">
        <v>5</v>
      </c>
      <c r="H27" s="2">
        <v>5</v>
      </c>
      <c r="I27" s="2">
        <f>SUMIFS(ProductionCapacities!$F$2:$F$51,ProductionCapacities!$E$2:$E$51,Nodes!B27)</f>
        <v>0</v>
      </c>
      <c r="J27" s="2">
        <v>0</v>
      </c>
      <c r="K27" s="11">
        <v>500</v>
      </c>
      <c r="L27" s="11">
        <v>500</v>
      </c>
      <c r="M27" s="2">
        <v>10</v>
      </c>
      <c r="N27" s="2">
        <f t="shared" si="1"/>
        <v>0</v>
      </c>
      <c r="O27" s="2">
        <f t="shared" si="2"/>
        <v>0.75</v>
      </c>
      <c r="P27" s="2">
        <v>5</v>
      </c>
      <c r="Q27" s="2">
        <v>5</v>
      </c>
      <c r="R27" s="2">
        <v>5.2</v>
      </c>
      <c r="S27" s="2">
        <v>5.2</v>
      </c>
      <c r="T27" s="2">
        <v>5.4</v>
      </c>
      <c r="U27" s="2">
        <v>5.4</v>
      </c>
      <c r="V27" s="3">
        <v>5</v>
      </c>
      <c r="W27" s="3">
        <v>5</v>
      </c>
      <c r="X27" s="3">
        <v>100</v>
      </c>
      <c r="Y27" s="3">
        <v>0</v>
      </c>
      <c r="Z27" s="3">
        <v>0</v>
      </c>
      <c r="AA27" s="3">
        <f t="shared" si="3"/>
        <v>10</v>
      </c>
      <c r="AB27" s="3">
        <v>0</v>
      </c>
      <c r="AC27" s="3">
        <f t="shared" si="4"/>
        <v>0.75</v>
      </c>
      <c r="AD27" s="3">
        <f t="shared" si="5"/>
        <v>5</v>
      </c>
      <c r="AE27" s="3">
        <f t="shared" si="6"/>
        <v>5</v>
      </c>
      <c r="AF27" s="3">
        <f t="shared" si="7"/>
        <v>5.2</v>
      </c>
      <c r="AG27" s="3">
        <f t="shared" si="8"/>
        <v>5.2</v>
      </c>
      <c r="AH27" s="3">
        <f t="shared" si="9"/>
        <v>5.4</v>
      </c>
      <c r="AI27" s="3">
        <f t="shared" si="10"/>
        <v>5.4</v>
      </c>
    </row>
    <row r="28" spans="1:35" x14ac:dyDescent="0.2">
      <c r="A28" s="1">
        <v>26</v>
      </c>
      <c r="B28" s="1" t="s">
        <v>188</v>
      </c>
      <c r="C28" s="1"/>
      <c r="D28" s="16">
        <v>1.6999852660000561</v>
      </c>
      <c r="E28" s="16">
        <v>61.020797730000027</v>
      </c>
      <c r="F28" s="1" t="s">
        <v>322</v>
      </c>
      <c r="G28" s="2">
        <v>5</v>
      </c>
      <c r="H28" s="2">
        <v>5</v>
      </c>
      <c r="I28" s="2">
        <f>SUMIFS(ProductionCapacities!$F$2:$F$51,ProductionCapacities!$E$2:$E$51,Nodes!B28)</f>
        <v>10.738131506849314</v>
      </c>
      <c r="J28" s="2">
        <v>2588.0810000000001</v>
      </c>
      <c r="K28" s="11">
        <v>500</v>
      </c>
      <c r="L28" s="11">
        <v>500</v>
      </c>
      <c r="M28" s="2">
        <v>10</v>
      </c>
      <c r="N28" s="2">
        <f t="shared" si="1"/>
        <v>0</v>
      </c>
      <c r="O28" s="2">
        <f t="shared" si="2"/>
        <v>0.75</v>
      </c>
      <c r="P28" s="2">
        <v>5</v>
      </c>
      <c r="Q28" s="2">
        <v>5</v>
      </c>
      <c r="R28" s="2">
        <v>5.2</v>
      </c>
      <c r="S28" s="2">
        <v>5.2</v>
      </c>
      <c r="T28" s="2">
        <v>5.4</v>
      </c>
      <c r="U28" s="2">
        <v>5.4</v>
      </c>
      <c r="V28" s="3">
        <v>5</v>
      </c>
      <c r="W28" s="3">
        <v>5</v>
      </c>
      <c r="X28" s="3">
        <v>100</v>
      </c>
      <c r="Y28" s="3">
        <v>0</v>
      </c>
      <c r="Z28" s="3">
        <v>0</v>
      </c>
      <c r="AA28" s="3">
        <f t="shared" si="3"/>
        <v>10</v>
      </c>
      <c r="AB28" s="3">
        <v>0</v>
      </c>
      <c r="AC28" s="3">
        <f t="shared" si="4"/>
        <v>0.75</v>
      </c>
      <c r="AD28" s="3">
        <f t="shared" si="5"/>
        <v>5</v>
      </c>
      <c r="AE28" s="3">
        <f t="shared" si="6"/>
        <v>5</v>
      </c>
      <c r="AF28" s="3">
        <f t="shared" si="7"/>
        <v>5.2</v>
      </c>
      <c r="AG28" s="3">
        <f t="shared" si="8"/>
        <v>5.2</v>
      </c>
      <c r="AH28" s="3">
        <f t="shared" si="9"/>
        <v>5.4</v>
      </c>
      <c r="AI28" s="3">
        <f t="shared" si="10"/>
        <v>5.4</v>
      </c>
    </row>
    <row r="29" spans="1:35" x14ac:dyDescent="0.2">
      <c r="A29" s="1">
        <v>27</v>
      </c>
      <c r="B29" s="1" t="s">
        <v>189</v>
      </c>
      <c r="C29" s="1"/>
      <c r="D29" s="16">
        <v>3.9049897926673558</v>
      </c>
      <c r="E29" s="16">
        <v>61.330193776287437</v>
      </c>
      <c r="F29" s="1" t="s">
        <v>322</v>
      </c>
      <c r="G29" s="2">
        <v>5</v>
      </c>
      <c r="H29" s="2">
        <v>5</v>
      </c>
      <c r="I29" s="2">
        <f>SUMIFS(ProductionCapacities!$F$2:$F$51,ProductionCapacities!$E$2:$E$51,Nodes!B29)</f>
        <v>0</v>
      </c>
      <c r="J29" s="2">
        <v>2588.0810000000001</v>
      </c>
      <c r="K29" s="11">
        <v>500</v>
      </c>
      <c r="L29" s="11">
        <v>500</v>
      </c>
      <c r="M29" s="2">
        <v>10</v>
      </c>
      <c r="N29" s="2">
        <f t="shared" si="1"/>
        <v>0</v>
      </c>
      <c r="O29" s="2">
        <f t="shared" si="2"/>
        <v>0.75</v>
      </c>
      <c r="P29" s="2">
        <v>5</v>
      </c>
      <c r="Q29" s="2">
        <v>5</v>
      </c>
      <c r="R29" s="2">
        <v>5.2</v>
      </c>
      <c r="S29" s="2">
        <v>5.2</v>
      </c>
      <c r="T29" s="2">
        <v>5.4</v>
      </c>
      <c r="U29" s="2">
        <v>5.4</v>
      </c>
      <c r="V29" s="3">
        <v>5</v>
      </c>
      <c r="W29" s="3">
        <v>5</v>
      </c>
      <c r="X29" s="3">
        <v>100</v>
      </c>
      <c r="Y29" s="3">
        <v>0</v>
      </c>
      <c r="Z29" s="3">
        <v>0</v>
      </c>
      <c r="AA29" s="3">
        <f t="shared" si="3"/>
        <v>10</v>
      </c>
      <c r="AB29" s="3">
        <v>0</v>
      </c>
      <c r="AC29" s="3">
        <f t="shared" si="4"/>
        <v>0.75</v>
      </c>
      <c r="AD29" s="3">
        <f t="shared" si="5"/>
        <v>5</v>
      </c>
      <c r="AE29" s="3">
        <f t="shared" si="6"/>
        <v>5</v>
      </c>
      <c r="AF29" s="3">
        <f t="shared" si="7"/>
        <v>5.2</v>
      </c>
      <c r="AG29" s="3">
        <f t="shared" si="8"/>
        <v>5.2</v>
      </c>
      <c r="AH29" s="3">
        <f t="shared" si="9"/>
        <v>5.4</v>
      </c>
      <c r="AI29" s="3">
        <f t="shared" si="10"/>
        <v>5.4</v>
      </c>
    </row>
    <row r="30" spans="1:35" x14ac:dyDescent="0.2">
      <c r="A30" s="1">
        <v>28</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10</v>
      </c>
      <c r="N30" s="2">
        <f t="shared" si="1"/>
        <v>0</v>
      </c>
      <c r="O30" s="2">
        <f t="shared" si="2"/>
        <v>0.75</v>
      </c>
      <c r="P30" s="2">
        <v>5</v>
      </c>
      <c r="Q30" s="2">
        <v>5</v>
      </c>
      <c r="R30" s="2">
        <v>5.2</v>
      </c>
      <c r="S30" s="2">
        <v>5.2</v>
      </c>
      <c r="T30" s="2">
        <v>5.4</v>
      </c>
      <c r="U30" s="2">
        <v>5.4</v>
      </c>
      <c r="V30" s="3">
        <v>5</v>
      </c>
      <c r="W30" s="3">
        <v>5</v>
      </c>
      <c r="X30" s="3">
        <v>100</v>
      </c>
      <c r="Y30" s="3">
        <v>0</v>
      </c>
      <c r="Z30" s="3">
        <v>0</v>
      </c>
      <c r="AA30" s="3">
        <f t="shared" si="3"/>
        <v>10</v>
      </c>
      <c r="AB30" s="3">
        <v>0</v>
      </c>
      <c r="AC30" s="3">
        <f t="shared" si="4"/>
        <v>0.75</v>
      </c>
      <c r="AD30" s="3">
        <f t="shared" si="5"/>
        <v>5</v>
      </c>
      <c r="AE30" s="3">
        <f t="shared" si="6"/>
        <v>5</v>
      </c>
      <c r="AF30" s="3">
        <f t="shared" si="7"/>
        <v>5.2</v>
      </c>
      <c r="AG30" s="3">
        <f t="shared" si="8"/>
        <v>5.2</v>
      </c>
      <c r="AH30" s="3">
        <f t="shared" si="9"/>
        <v>5.4</v>
      </c>
      <c r="AI30" s="3">
        <f t="shared" si="10"/>
        <v>5.4</v>
      </c>
    </row>
    <row r="31" spans="1:35" x14ac:dyDescent="0.2">
      <c r="A31" s="1">
        <v>29</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10</v>
      </c>
      <c r="N31" s="2">
        <f t="shared" si="1"/>
        <v>0</v>
      </c>
      <c r="O31" s="2">
        <f t="shared" si="2"/>
        <v>0.75</v>
      </c>
      <c r="P31" s="2">
        <v>5</v>
      </c>
      <c r="Q31" s="2">
        <v>5</v>
      </c>
      <c r="R31" s="2">
        <v>5.2</v>
      </c>
      <c r="S31" s="2">
        <v>5.2</v>
      </c>
      <c r="T31" s="2">
        <v>5.4</v>
      </c>
      <c r="U31" s="2">
        <v>5.4</v>
      </c>
      <c r="V31" s="3">
        <v>5</v>
      </c>
      <c r="W31" s="3">
        <v>5</v>
      </c>
      <c r="X31" s="3">
        <v>100</v>
      </c>
      <c r="Y31" s="3">
        <v>0</v>
      </c>
      <c r="Z31" s="3">
        <v>0</v>
      </c>
      <c r="AA31" s="3">
        <f t="shared" si="3"/>
        <v>10</v>
      </c>
      <c r="AB31" s="3">
        <v>0</v>
      </c>
      <c r="AC31" s="3">
        <f t="shared" si="4"/>
        <v>0.75</v>
      </c>
      <c r="AD31" s="3">
        <f t="shared" si="5"/>
        <v>5</v>
      </c>
      <c r="AE31" s="3">
        <f t="shared" si="6"/>
        <v>5</v>
      </c>
      <c r="AF31" s="3">
        <f t="shared" si="7"/>
        <v>5.2</v>
      </c>
      <c r="AG31" s="3">
        <f t="shared" si="8"/>
        <v>5.2</v>
      </c>
      <c r="AH31" s="3">
        <f t="shared" si="9"/>
        <v>5.4</v>
      </c>
      <c r="AI31" s="3">
        <f t="shared" si="10"/>
        <v>5.4</v>
      </c>
    </row>
    <row r="32" spans="1:35" x14ac:dyDescent="0.2">
      <c r="A32" s="1">
        <v>30</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10</v>
      </c>
      <c r="N32" s="2">
        <f t="shared" si="1"/>
        <v>0</v>
      </c>
      <c r="O32" s="2">
        <f t="shared" si="2"/>
        <v>0.75</v>
      </c>
      <c r="P32" s="2">
        <v>5</v>
      </c>
      <c r="Q32" s="2">
        <v>5</v>
      </c>
      <c r="R32" s="2">
        <v>5.2</v>
      </c>
      <c r="S32" s="2">
        <v>5.2</v>
      </c>
      <c r="T32" s="2">
        <v>5.4</v>
      </c>
      <c r="U32" s="2">
        <v>5.4</v>
      </c>
      <c r="V32" s="3">
        <v>5</v>
      </c>
      <c r="W32" s="3">
        <v>5</v>
      </c>
      <c r="X32" s="3">
        <v>100</v>
      </c>
      <c r="Y32" s="3">
        <v>0</v>
      </c>
      <c r="Z32" s="3">
        <v>0</v>
      </c>
      <c r="AA32" s="3">
        <f t="shared" si="3"/>
        <v>10</v>
      </c>
      <c r="AB32" s="3">
        <v>0</v>
      </c>
      <c r="AC32" s="3">
        <f t="shared" si="4"/>
        <v>0.75</v>
      </c>
      <c r="AD32" s="3">
        <f t="shared" si="5"/>
        <v>5</v>
      </c>
      <c r="AE32" s="3">
        <f t="shared" si="6"/>
        <v>5</v>
      </c>
      <c r="AF32" s="3">
        <f t="shared" si="7"/>
        <v>5.2</v>
      </c>
      <c r="AG32" s="3">
        <f t="shared" si="8"/>
        <v>5.2</v>
      </c>
      <c r="AH32" s="3">
        <f t="shared" si="9"/>
        <v>5.4</v>
      </c>
      <c r="AI32" s="3">
        <f t="shared" si="10"/>
        <v>5.4</v>
      </c>
    </row>
    <row r="33" spans="1:35" x14ac:dyDescent="0.2">
      <c r="A33" s="1">
        <v>31</v>
      </c>
      <c r="B33" s="1" t="s">
        <v>77</v>
      </c>
      <c r="C33" s="1"/>
      <c r="D33" s="16">
        <v>7.3202454238671333</v>
      </c>
      <c r="E33" s="16">
        <v>65.321499578632455</v>
      </c>
      <c r="F33" s="1" t="s">
        <v>322</v>
      </c>
      <c r="G33" s="2">
        <v>5</v>
      </c>
      <c r="H33" s="2">
        <v>5</v>
      </c>
      <c r="I33" s="2">
        <f>SUMIFS(ProductionCapacities!$F$2:$F$51,ProductionCapacities!$E$2:$E$51,Nodes!B33)</f>
        <v>4.2217397260273968</v>
      </c>
      <c r="J33" s="2">
        <v>1214.5999999999999</v>
      </c>
      <c r="K33" s="11">
        <v>500</v>
      </c>
      <c r="L33" s="11">
        <v>500</v>
      </c>
      <c r="M33" s="2">
        <v>10</v>
      </c>
      <c r="N33" s="2">
        <f t="shared" si="1"/>
        <v>0</v>
      </c>
      <c r="O33" s="2">
        <f t="shared" si="2"/>
        <v>0.75</v>
      </c>
      <c r="P33" s="2">
        <v>5</v>
      </c>
      <c r="Q33" s="2">
        <v>5</v>
      </c>
      <c r="R33" s="2">
        <v>5.2</v>
      </c>
      <c r="S33" s="2">
        <v>5.2</v>
      </c>
      <c r="T33" s="2">
        <v>5.4</v>
      </c>
      <c r="U33" s="2">
        <v>5.4</v>
      </c>
      <c r="V33" s="3">
        <v>5</v>
      </c>
      <c r="W33" s="3">
        <v>5</v>
      </c>
      <c r="X33" s="3">
        <v>100</v>
      </c>
      <c r="Y33" s="3">
        <v>0</v>
      </c>
      <c r="Z33" s="3">
        <v>0</v>
      </c>
      <c r="AA33" s="3">
        <f t="shared" si="3"/>
        <v>10</v>
      </c>
      <c r="AB33" s="3">
        <v>0</v>
      </c>
      <c r="AC33" s="3">
        <f t="shared" si="4"/>
        <v>0.75</v>
      </c>
      <c r="AD33" s="3">
        <f t="shared" si="5"/>
        <v>5</v>
      </c>
      <c r="AE33" s="3">
        <f t="shared" si="6"/>
        <v>5</v>
      </c>
      <c r="AF33" s="3">
        <f t="shared" si="7"/>
        <v>5.2</v>
      </c>
      <c r="AG33" s="3">
        <f t="shared" si="8"/>
        <v>5.2</v>
      </c>
      <c r="AH33" s="3">
        <f t="shared" si="9"/>
        <v>5.4</v>
      </c>
      <c r="AI33" s="3">
        <f t="shared" si="10"/>
        <v>5.4</v>
      </c>
    </row>
    <row r="34" spans="1:35" x14ac:dyDescent="0.2">
      <c r="A34" s="1">
        <v>32</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10</v>
      </c>
      <c r="N34" s="2">
        <f t="shared" si="1"/>
        <v>0</v>
      </c>
      <c r="O34" s="2">
        <f t="shared" si="2"/>
        <v>0.75</v>
      </c>
      <c r="P34" s="2">
        <v>5</v>
      </c>
      <c r="Q34" s="2">
        <v>5</v>
      </c>
      <c r="R34" s="2">
        <v>5.2</v>
      </c>
      <c r="S34" s="2">
        <v>5.2</v>
      </c>
      <c r="T34" s="2">
        <v>5.4</v>
      </c>
      <c r="U34" s="2">
        <v>5.4</v>
      </c>
      <c r="V34" s="3">
        <v>5</v>
      </c>
      <c r="W34" s="3">
        <v>5</v>
      </c>
      <c r="X34" s="3">
        <v>100</v>
      </c>
      <c r="Y34" s="3">
        <v>0</v>
      </c>
      <c r="Z34" s="3">
        <v>0</v>
      </c>
      <c r="AA34" s="3">
        <f t="shared" si="3"/>
        <v>10</v>
      </c>
      <c r="AB34" s="3">
        <v>0</v>
      </c>
      <c r="AC34" s="3">
        <f t="shared" si="4"/>
        <v>0.75</v>
      </c>
      <c r="AD34" s="3">
        <f t="shared" si="5"/>
        <v>5</v>
      </c>
      <c r="AE34" s="3">
        <f t="shared" si="6"/>
        <v>5</v>
      </c>
      <c r="AF34" s="3">
        <f t="shared" si="7"/>
        <v>5.2</v>
      </c>
      <c r="AG34" s="3">
        <f t="shared" si="8"/>
        <v>5.2</v>
      </c>
      <c r="AH34" s="3">
        <f t="shared" si="9"/>
        <v>5.4</v>
      </c>
      <c r="AI34" s="3">
        <f t="shared" si="10"/>
        <v>5.4</v>
      </c>
    </row>
    <row r="35" spans="1:35" x14ac:dyDescent="0.2">
      <c r="A35" s="1">
        <v>33</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10</v>
      </c>
      <c r="N35" s="2">
        <f t="shared" si="1"/>
        <v>0</v>
      </c>
      <c r="O35" s="2">
        <f t="shared" si="2"/>
        <v>0.75</v>
      </c>
      <c r="P35" s="2">
        <v>5</v>
      </c>
      <c r="Q35" s="2">
        <v>5</v>
      </c>
      <c r="R35" s="2">
        <v>5.2</v>
      </c>
      <c r="S35" s="2">
        <v>5.2</v>
      </c>
      <c r="T35" s="2">
        <v>5.4</v>
      </c>
      <c r="U35" s="2">
        <v>5.4</v>
      </c>
      <c r="V35" s="3">
        <v>5</v>
      </c>
      <c r="W35" s="3">
        <v>5</v>
      </c>
      <c r="X35" s="3">
        <v>100</v>
      </c>
      <c r="Y35" s="3">
        <v>0</v>
      </c>
      <c r="Z35" s="3">
        <v>0</v>
      </c>
      <c r="AA35" s="3">
        <f t="shared" si="3"/>
        <v>10</v>
      </c>
      <c r="AB35" s="3">
        <v>0</v>
      </c>
      <c r="AC35" s="3">
        <f t="shared" si="4"/>
        <v>0.75</v>
      </c>
      <c r="AD35" s="3">
        <f t="shared" si="5"/>
        <v>5</v>
      </c>
      <c r="AE35" s="3">
        <f t="shared" si="6"/>
        <v>5</v>
      </c>
      <c r="AF35" s="3">
        <f t="shared" si="7"/>
        <v>5.2</v>
      </c>
      <c r="AG35" s="3">
        <f t="shared" si="8"/>
        <v>5.2</v>
      </c>
      <c r="AH35" s="3">
        <f t="shared" si="9"/>
        <v>5.4</v>
      </c>
      <c r="AI35" s="3">
        <f t="shared" si="10"/>
        <v>5.4</v>
      </c>
    </row>
    <row r="36" spans="1:35" x14ac:dyDescent="0.2">
      <c r="A36" s="1">
        <v>34</v>
      </c>
      <c r="B36" s="1" t="s">
        <v>99</v>
      </c>
      <c r="C36" s="1"/>
      <c r="D36" s="16">
        <v>5.0541760000000409</v>
      </c>
      <c r="E36" s="16">
        <v>59.326808000000028</v>
      </c>
      <c r="F36" s="1" t="s">
        <v>322</v>
      </c>
      <c r="G36" s="2">
        <v>5</v>
      </c>
      <c r="H36" s="2">
        <v>5</v>
      </c>
      <c r="I36" s="2">
        <f>SUMIFS(ProductionCapacities!$F$2:$F$51,ProductionCapacities!$E$2:$E$51,Nodes!B36)</f>
        <v>2.3047890410958907</v>
      </c>
      <c r="J36" s="2">
        <v>8889.5949999999993</v>
      </c>
      <c r="K36" s="11">
        <v>500</v>
      </c>
      <c r="L36" s="11">
        <v>500</v>
      </c>
      <c r="M36" s="2">
        <v>10</v>
      </c>
      <c r="N36" s="2">
        <f t="shared" si="1"/>
        <v>0</v>
      </c>
      <c r="O36" s="2">
        <f t="shared" si="2"/>
        <v>0.75</v>
      </c>
      <c r="P36" s="2">
        <v>5</v>
      </c>
      <c r="Q36" s="2">
        <v>5</v>
      </c>
      <c r="R36" s="2">
        <v>5.2</v>
      </c>
      <c r="S36" s="2">
        <v>5.2</v>
      </c>
      <c r="T36" s="2">
        <v>5.4</v>
      </c>
      <c r="U36" s="2">
        <v>5.4</v>
      </c>
      <c r="V36" s="3">
        <v>5</v>
      </c>
      <c r="W36" s="3">
        <v>5</v>
      </c>
      <c r="X36" s="3">
        <v>100</v>
      </c>
      <c r="Y36" s="3">
        <v>0</v>
      </c>
      <c r="Z36" s="3">
        <v>0</v>
      </c>
      <c r="AA36" s="3">
        <f t="shared" si="3"/>
        <v>10</v>
      </c>
      <c r="AB36" s="3">
        <v>0</v>
      </c>
      <c r="AC36" s="3">
        <f t="shared" si="4"/>
        <v>0.75</v>
      </c>
      <c r="AD36" s="3">
        <f t="shared" si="5"/>
        <v>5</v>
      </c>
      <c r="AE36" s="3">
        <f t="shared" si="6"/>
        <v>5</v>
      </c>
      <c r="AF36" s="3">
        <f t="shared" si="7"/>
        <v>5.2</v>
      </c>
      <c r="AG36" s="3">
        <f t="shared" si="8"/>
        <v>5.2</v>
      </c>
      <c r="AH36" s="3">
        <f t="shared" si="9"/>
        <v>5.4</v>
      </c>
      <c r="AI36" s="3">
        <f t="shared" si="10"/>
        <v>5.4</v>
      </c>
    </row>
    <row r="37" spans="1:35" x14ac:dyDescent="0.2">
      <c r="A37" s="1">
        <v>35</v>
      </c>
      <c r="B37" s="1" t="s">
        <v>102</v>
      </c>
      <c r="C37" s="1"/>
      <c r="D37" s="16">
        <v>2.5577715130093028</v>
      </c>
      <c r="E37" s="16">
        <v>58.841931072335058</v>
      </c>
      <c r="F37" s="1" t="s">
        <v>322</v>
      </c>
      <c r="G37" s="2">
        <v>5</v>
      </c>
      <c r="H37" s="2">
        <v>5</v>
      </c>
      <c r="I37" s="2">
        <f>SUMIFS(ProductionCapacities!$F$2:$F$51,ProductionCapacities!$E$2:$E$51,Nodes!B37)</f>
        <v>0</v>
      </c>
      <c r="J37" s="2">
        <v>8889.5949999999993</v>
      </c>
      <c r="K37" s="11">
        <v>500</v>
      </c>
      <c r="L37" s="11">
        <v>500</v>
      </c>
      <c r="M37" s="2">
        <v>10</v>
      </c>
      <c r="N37" s="2">
        <f t="shared" si="1"/>
        <v>0</v>
      </c>
      <c r="O37" s="2">
        <f t="shared" si="2"/>
        <v>0.75</v>
      </c>
      <c r="P37" s="2">
        <v>5</v>
      </c>
      <c r="Q37" s="2">
        <v>5</v>
      </c>
      <c r="R37" s="2">
        <v>5.2</v>
      </c>
      <c r="S37" s="2">
        <v>5.2</v>
      </c>
      <c r="T37" s="2">
        <v>5.4</v>
      </c>
      <c r="U37" s="2">
        <v>5.4</v>
      </c>
      <c r="V37" s="3">
        <v>5</v>
      </c>
      <c r="W37" s="3">
        <v>5</v>
      </c>
      <c r="X37" s="3">
        <v>100</v>
      </c>
      <c r="Y37" s="3">
        <v>0</v>
      </c>
      <c r="Z37" s="3">
        <v>0</v>
      </c>
      <c r="AA37" s="3">
        <f t="shared" si="3"/>
        <v>10</v>
      </c>
      <c r="AB37" s="3">
        <v>0</v>
      </c>
      <c r="AC37" s="3">
        <f t="shared" si="4"/>
        <v>0.75</v>
      </c>
      <c r="AD37" s="3">
        <f t="shared" si="5"/>
        <v>5</v>
      </c>
      <c r="AE37" s="3">
        <f t="shared" si="6"/>
        <v>5</v>
      </c>
      <c r="AF37" s="3">
        <f t="shared" si="7"/>
        <v>5.2</v>
      </c>
      <c r="AG37" s="3">
        <f t="shared" si="8"/>
        <v>5.2</v>
      </c>
      <c r="AH37" s="3">
        <f t="shared" si="9"/>
        <v>5.4</v>
      </c>
      <c r="AI37" s="3">
        <f t="shared" si="10"/>
        <v>5.4</v>
      </c>
    </row>
    <row r="38" spans="1:35" x14ac:dyDescent="0.2">
      <c r="A38" s="1">
        <v>36</v>
      </c>
      <c r="B38" s="1" t="s">
        <v>207</v>
      </c>
      <c r="C38" s="1"/>
      <c r="D38" s="16">
        <v>5.5129213334435638</v>
      </c>
      <c r="E38" s="16">
        <v>59.272115627836378</v>
      </c>
      <c r="F38" s="1"/>
      <c r="G38" s="2">
        <v>5</v>
      </c>
      <c r="H38" s="2">
        <v>5</v>
      </c>
      <c r="I38" s="2">
        <f>SUMIFS(ProductionCapacities!$F$2:$F$51,ProductionCapacities!$E$2:$E$51,Nodes!B38)</f>
        <v>0</v>
      </c>
      <c r="J38" s="2">
        <v>0</v>
      </c>
      <c r="K38" s="11">
        <v>500</v>
      </c>
      <c r="L38" s="11">
        <v>500</v>
      </c>
      <c r="M38" s="2">
        <v>10</v>
      </c>
      <c r="N38" s="2">
        <f t="shared" si="1"/>
        <v>0</v>
      </c>
      <c r="O38" s="2">
        <f t="shared" si="2"/>
        <v>0.75</v>
      </c>
      <c r="P38" s="2">
        <v>5</v>
      </c>
      <c r="Q38" s="2">
        <v>5</v>
      </c>
      <c r="R38" s="2">
        <v>5.2</v>
      </c>
      <c r="S38" s="2">
        <v>5.2</v>
      </c>
      <c r="T38" s="2">
        <v>5.4</v>
      </c>
      <c r="U38" s="2">
        <v>5.4</v>
      </c>
      <c r="V38" s="3">
        <v>5</v>
      </c>
      <c r="W38" s="3">
        <v>5</v>
      </c>
      <c r="X38" s="3">
        <v>100</v>
      </c>
      <c r="Y38" s="3">
        <v>0</v>
      </c>
      <c r="Z38" s="3">
        <v>0</v>
      </c>
      <c r="AA38" s="3">
        <f t="shared" si="3"/>
        <v>10</v>
      </c>
      <c r="AB38" s="3">
        <v>0</v>
      </c>
      <c r="AC38" s="3">
        <f t="shared" si="4"/>
        <v>0.75</v>
      </c>
      <c r="AD38" s="3">
        <f t="shared" si="5"/>
        <v>5</v>
      </c>
      <c r="AE38" s="3">
        <f t="shared" si="6"/>
        <v>5</v>
      </c>
      <c r="AF38" s="3">
        <f t="shared" si="7"/>
        <v>5.2</v>
      </c>
      <c r="AG38" s="3">
        <f t="shared" si="8"/>
        <v>5.2</v>
      </c>
      <c r="AH38" s="3">
        <f t="shared" si="9"/>
        <v>5.4</v>
      </c>
      <c r="AI38" s="3">
        <f t="shared" si="10"/>
        <v>5.4</v>
      </c>
    </row>
    <row r="39" spans="1:35" x14ac:dyDescent="0.2">
      <c r="A39" s="1">
        <v>37</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10</v>
      </c>
      <c r="N39" s="2">
        <f t="shared" si="1"/>
        <v>0</v>
      </c>
      <c r="O39" s="2">
        <f t="shared" si="2"/>
        <v>0.75</v>
      </c>
      <c r="P39" s="2">
        <v>5</v>
      </c>
      <c r="Q39" s="2">
        <v>5</v>
      </c>
      <c r="R39" s="2">
        <v>5.2</v>
      </c>
      <c r="S39" s="2">
        <v>5.2</v>
      </c>
      <c r="T39" s="2">
        <v>5.4</v>
      </c>
      <c r="U39" s="2">
        <v>5.4</v>
      </c>
      <c r="V39" s="3">
        <v>5</v>
      </c>
      <c r="W39" s="3">
        <v>5</v>
      </c>
      <c r="X39" s="3">
        <v>100</v>
      </c>
      <c r="Y39" s="3">
        <v>0</v>
      </c>
      <c r="Z39" s="3">
        <v>0</v>
      </c>
      <c r="AA39" s="3">
        <f t="shared" si="3"/>
        <v>10</v>
      </c>
      <c r="AB39" s="3">
        <v>0</v>
      </c>
      <c r="AC39" s="3">
        <f t="shared" si="4"/>
        <v>0.75</v>
      </c>
      <c r="AD39" s="3">
        <f t="shared" si="5"/>
        <v>5</v>
      </c>
      <c r="AE39" s="3">
        <f t="shared" si="6"/>
        <v>5</v>
      </c>
      <c r="AF39" s="3">
        <f t="shared" si="7"/>
        <v>5.2</v>
      </c>
      <c r="AG39" s="3">
        <f t="shared" si="8"/>
        <v>5.2</v>
      </c>
      <c r="AH39" s="3">
        <f t="shared" si="9"/>
        <v>5.4</v>
      </c>
      <c r="AI39" s="3">
        <f t="shared" si="10"/>
        <v>5.4</v>
      </c>
    </row>
    <row r="40" spans="1:35" x14ac:dyDescent="0.2">
      <c r="A40" s="1">
        <v>38</v>
      </c>
      <c r="B40" s="1" t="s">
        <v>186</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10</v>
      </c>
      <c r="N40" s="2">
        <f t="shared" si="1"/>
        <v>0</v>
      </c>
      <c r="O40" s="2">
        <f t="shared" si="2"/>
        <v>0.75</v>
      </c>
      <c r="P40" s="2">
        <v>5</v>
      </c>
      <c r="Q40" s="2">
        <v>5</v>
      </c>
      <c r="R40" s="2">
        <v>5.2</v>
      </c>
      <c r="S40" s="2">
        <v>5.2</v>
      </c>
      <c r="T40" s="2">
        <v>5.4</v>
      </c>
      <c r="U40" s="2">
        <v>5.4</v>
      </c>
      <c r="V40" s="3">
        <v>5</v>
      </c>
      <c r="W40" s="3">
        <v>5</v>
      </c>
      <c r="X40" s="3">
        <v>100</v>
      </c>
      <c r="Y40" s="3">
        <v>0</v>
      </c>
      <c r="Z40" s="3">
        <v>0</v>
      </c>
      <c r="AA40" s="3">
        <f t="shared" si="3"/>
        <v>10</v>
      </c>
      <c r="AB40" s="3">
        <v>0</v>
      </c>
      <c r="AC40" s="3">
        <f t="shared" si="4"/>
        <v>0.75</v>
      </c>
      <c r="AD40" s="3">
        <f t="shared" si="5"/>
        <v>5</v>
      </c>
      <c r="AE40" s="3">
        <f t="shared" si="6"/>
        <v>5</v>
      </c>
      <c r="AF40" s="3">
        <f t="shared" si="7"/>
        <v>5.2</v>
      </c>
      <c r="AG40" s="3">
        <f t="shared" si="8"/>
        <v>5.2</v>
      </c>
      <c r="AH40" s="3">
        <f t="shared" si="9"/>
        <v>5.4</v>
      </c>
      <c r="AI40" s="3">
        <f t="shared" si="10"/>
        <v>5.4</v>
      </c>
    </row>
    <row r="41" spans="1:35" x14ac:dyDescent="0.2">
      <c r="A41" s="1">
        <v>39</v>
      </c>
      <c r="B41" s="1" t="s">
        <v>95</v>
      </c>
      <c r="C41" s="1"/>
      <c r="D41" s="16">
        <v>2.0175154810000322</v>
      </c>
      <c r="E41" s="16">
        <v>59.894961973000079</v>
      </c>
      <c r="F41" s="1" t="s">
        <v>322</v>
      </c>
      <c r="G41" s="2">
        <v>5</v>
      </c>
      <c r="H41" s="2">
        <v>5</v>
      </c>
      <c r="I41" s="2">
        <f>SUMIFS(ProductionCapacities!$F$2:$F$51,ProductionCapacities!$E$2:$E$51,Nodes!B41)</f>
        <v>0</v>
      </c>
      <c r="J41" s="2">
        <v>48.064999999999998</v>
      </c>
      <c r="K41" s="11">
        <v>500</v>
      </c>
      <c r="L41" s="11">
        <v>500</v>
      </c>
      <c r="M41" s="2">
        <v>10</v>
      </c>
      <c r="N41" s="2">
        <f t="shared" si="1"/>
        <v>0</v>
      </c>
      <c r="O41" s="2">
        <f t="shared" si="2"/>
        <v>0.75</v>
      </c>
      <c r="P41" s="2">
        <v>5</v>
      </c>
      <c r="Q41" s="2">
        <v>5</v>
      </c>
      <c r="R41" s="2">
        <v>5.2</v>
      </c>
      <c r="S41" s="2">
        <v>5.2</v>
      </c>
      <c r="T41" s="2">
        <v>5.4</v>
      </c>
      <c r="U41" s="2">
        <v>5.4</v>
      </c>
      <c r="V41" s="3">
        <v>5</v>
      </c>
      <c r="W41" s="3">
        <v>5</v>
      </c>
      <c r="X41" s="3">
        <v>100</v>
      </c>
      <c r="Y41" s="3">
        <v>0</v>
      </c>
      <c r="Z41" s="3">
        <v>0</v>
      </c>
      <c r="AA41" s="3">
        <f t="shared" si="3"/>
        <v>10</v>
      </c>
      <c r="AB41" s="3">
        <v>0</v>
      </c>
      <c r="AC41" s="3">
        <f t="shared" si="4"/>
        <v>0.75</v>
      </c>
      <c r="AD41" s="3">
        <f t="shared" si="5"/>
        <v>5</v>
      </c>
      <c r="AE41" s="3">
        <f t="shared" si="6"/>
        <v>5</v>
      </c>
      <c r="AF41" s="3">
        <f t="shared" si="7"/>
        <v>5.2</v>
      </c>
      <c r="AG41" s="3">
        <f t="shared" si="8"/>
        <v>5.2</v>
      </c>
      <c r="AH41" s="3">
        <f t="shared" si="9"/>
        <v>5.4</v>
      </c>
      <c r="AI41" s="3">
        <f t="shared" si="10"/>
        <v>5.4</v>
      </c>
    </row>
    <row r="42" spans="1:35" x14ac:dyDescent="0.2">
      <c r="A42" s="1">
        <v>40</v>
      </c>
      <c r="B42" s="1" t="s">
        <v>87</v>
      </c>
      <c r="C42" s="1"/>
      <c r="D42" s="16">
        <v>1.7050129999999999</v>
      </c>
      <c r="E42" s="16">
        <v>61.034477000000003</v>
      </c>
      <c r="F42" s="1"/>
      <c r="G42" s="2">
        <v>5</v>
      </c>
      <c r="H42" s="2">
        <v>5</v>
      </c>
      <c r="I42" s="2">
        <f>SUMIFS(ProductionCapacities!$F$2:$F$51,ProductionCapacities!$E$2:$E$51,Nodes!B42)</f>
        <v>0</v>
      </c>
      <c r="J42" s="2">
        <v>68.573999999999998</v>
      </c>
      <c r="K42" s="11">
        <v>500</v>
      </c>
      <c r="L42" s="11">
        <v>500</v>
      </c>
      <c r="M42" s="2">
        <v>10</v>
      </c>
      <c r="N42" s="2">
        <f t="shared" si="1"/>
        <v>0</v>
      </c>
      <c r="O42" s="2">
        <f t="shared" si="2"/>
        <v>0.75</v>
      </c>
      <c r="P42" s="2">
        <v>5</v>
      </c>
      <c r="Q42" s="2">
        <v>5</v>
      </c>
      <c r="R42" s="2">
        <v>5.2</v>
      </c>
      <c r="S42" s="2">
        <v>5.2</v>
      </c>
      <c r="T42" s="2">
        <v>5.4</v>
      </c>
      <c r="U42" s="2">
        <v>5.4</v>
      </c>
      <c r="V42" s="3">
        <v>5</v>
      </c>
      <c r="W42" s="3">
        <v>5</v>
      </c>
      <c r="X42" s="3">
        <v>100</v>
      </c>
      <c r="Y42" s="3">
        <v>0</v>
      </c>
      <c r="Z42" s="3">
        <v>0</v>
      </c>
      <c r="AA42" s="3">
        <f t="shared" si="3"/>
        <v>10</v>
      </c>
      <c r="AB42" s="3">
        <v>0</v>
      </c>
      <c r="AC42" s="3">
        <f t="shared" si="4"/>
        <v>0.75</v>
      </c>
      <c r="AD42" s="3">
        <f t="shared" si="5"/>
        <v>5</v>
      </c>
      <c r="AE42" s="3">
        <f t="shared" si="6"/>
        <v>5</v>
      </c>
      <c r="AF42" s="3">
        <f t="shared" si="7"/>
        <v>5.2</v>
      </c>
      <c r="AG42" s="3">
        <f t="shared" si="8"/>
        <v>5.2</v>
      </c>
      <c r="AH42" s="3">
        <f t="shared" si="9"/>
        <v>5.4</v>
      </c>
      <c r="AI42" s="3">
        <f t="shared" si="10"/>
        <v>5.4</v>
      </c>
    </row>
    <row r="43" spans="1:35" x14ac:dyDescent="0.2">
      <c r="A43" s="1">
        <v>41</v>
      </c>
      <c r="B43" s="1" t="s">
        <v>75</v>
      </c>
      <c r="C43" s="1"/>
      <c r="D43" s="16">
        <v>8.0785441179034034</v>
      </c>
      <c r="E43" s="16">
        <v>66.029330899408933</v>
      </c>
      <c r="F43" s="1" t="s">
        <v>322</v>
      </c>
      <c r="G43" s="2">
        <v>5</v>
      </c>
      <c r="H43" s="2">
        <v>5</v>
      </c>
      <c r="I43" s="2">
        <f>SUMIFS(ProductionCapacities!$F$2:$F$51,ProductionCapacities!$E$2:$E$51,Nodes!B43)</f>
        <v>1.5822602739726026</v>
      </c>
      <c r="J43" s="2">
        <v>1041.0509999999999</v>
      </c>
      <c r="K43" s="11">
        <v>500</v>
      </c>
      <c r="L43" s="11">
        <v>500</v>
      </c>
      <c r="M43" s="2">
        <v>10</v>
      </c>
      <c r="N43" s="2">
        <f t="shared" si="1"/>
        <v>0</v>
      </c>
      <c r="O43" s="2">
        <f t="shared" si="2"/>
        <v>0.75</v>
      </c>
      <c r="P43" s="2">
        <v>5</v>
      </c>
      <c r="Q43" s="2">
        <v>5</v>
      </c>
      <c r="R43" s="2">
        <v>5.2</v>
      </c>
      <c r="S43" s="2">
        <v>5.2</v>
      </c>
      <c r="T43" s="2">
        <v>5.4</v>
      </c>
      <c r="U43" s="2">
        <v>5.4</v>
      </c>
      <c r="V43" s="3">
        <v>5</v>
      </c>
      <c r="W43" s="3">
        <v>5</v>
      </c>
      <c r="X43" s="3">
        <v>100</v>
      </c>
      <c r="Y43" s="3">
        <v>0</v>
      </c>
      <c r="Z43" s="3">
        <v>0</v>
      </c>
      <c r="AA43" s="3">
        <f t="shared" si="3"/>
        <v>10</v>
      </c>
      <c r="AB43" s="3">
        <v>0</v>
      </c>
      <c r="AC43" s="3">
        <f t="shared" si="4"/>
        <v>0.75</v>
      </c>
      <c r="AD43" s="3">
        <f t="shared" si="5"/>
        <v>5</v>
      </c>
      <c r="AE43" s="3">
        <f t="shared" si="6"/>
        <v>5</v>
      </c>
      <c r="AF43" s="3">
        <f t="shared" si="7"/>
        <v>5.2</v>
      </c>
      <c r="AG43" s="3">
        <f t="shared" si="8"/>
        <v>5.2</v>
      </c>
      <c r="AH43" s="3">
        <f t="shared" si="9"/>
        <v>5.4</v>
      </c>
      <c r="AI43" s="3">
        <f t="shared" si="10"/>
        <v>5.4</v>
      </c>
    </row>
    <row r="44" spans="1:35" x14ac:dyDescent="0.2">
      <c r="A44" s="1">
        <v>42</v>
      </c>
      <c r="B44" s="1" t="s">
        <v>78</v>
      </c>
      <c r="C44" s="1"/>
      <c r="D44" s="16">
        <v>6.8014610000000744</v>
      </c>
      <c r="E44" s="16">
        <v>65.084516000000065</v>
      </c>
      <c r="F44" s="1" t="s">
        <v>322</v>
      </c>
      <c r="G44" s="2">
        <v>5</v>
      </c>
      <c r="H44" s="2">
        <v>5</v>
      </c>
      <c r="I44" s="2">
        <f>SUMIFS(ProductionCapacities!$F$2:$F$51,ProductionCapacities!$E$2:$E$51,Nodes!B44)</f>
        <v>0</v>
      </c>
      <c r="J44" s="2">
        <v>1214.5999999999999</v>
      </c>
      <c r="K44" s="11">
        <v>500</v>
      </c>
      <c r="L44" s="11">
        <v>500</v>
      </c>
      <c r="M44" s="2">
        <v>10</v>
      </c>
      <c r="N44" s="2">
        <f t="shared" si="1"/>
        <v>0</v>
      </c>
      <c r="O44" s="2">
        <f t="shared" si="2"/>
        <v>0.75</v>
      </c>
      <c r="P44" s="2">
        <v>5</v>
      </c>
      <c r="Q44" s="2">
        <v>5</v>
      </c>
      <c r="R44" s="2">
        <v>5.2</v>
      </c>
      <c r="S44" s="2">
        <v>5.2</v>
      </c>
      <c r="T44" s="2">
        <v>5.4</v>
      </c>
      <c r="U44" s="2">
        <v>5.4</v>
      </c>
      <c r="V44" s="3">
        <v>5</v>
      </c>
      <c r="W44" s="3">
        <v>5</v>
      </c>
      <c r="X44" s="3">
        <v>100</v>
      </c>
      <c r="Y44" s="3">
        <v>0</v>
      </c>
      <c r="Z44" s="3">
        <v>0</v>
      </c>
      <c r="AA44" s="3">
        <f t="shared" si="3"/>
        <v>10</v>
      </c>
      <c r="AB44" s="3">
        <v>0</v>
      </c>
      <c r="AC44" s="3">
        <f t="shared" si="4"/>
        <v>0.75</v>
      </c>
      <c r="AD44" s="3">
        <f t="shared" si="5"/>
        <v>5</v>
      </c>
      <c r="AE44" s="3">
        <f t="shared" si="6"/>
        <v>5</v>
      </c>
      <c r="AF44" s="3">
        <f t="shared" si="7"/>
        <v>5.2</v>
      </c>
      <c r="AG44" s="3">
        <f t="shared" si="8"/>
        <v>5.2</v>
      </c>
      <c r="AH44" s="3">
        <f t="shared" si="9"/>
        <v>5.4</v>
      </c>
      <c r="AI44" s="3">
        <f t="shared" si="10"/>
        <v>5.4</v>
      </c>
    </row>
    <row r="45" spans="1:35" x14ac:dyDescent="0.2">
      <c r="A45" s="1">
        <v>43</v>
      </c>
      <c r="B45" s="1" t="s">
        <v>111</v>
      </c>
      <c r="C45" s="1"/>
      <c r="D45" s="22">
        <v>3.330503000000022</v>
      </c>
      <c r="E45" s="22">
        <v>56.490369000000037</v>
      </c>
      <c r="F45" s="1"/>
      <c r="G45" s="2">
        <v>5</v>
      </c>
      <c r="H45" s="2">
        <v>5</v>
      </c>
      <c r="I45" s="2">
        <f>SUMIFS(ProductionCapacities!$F$2:$F$51,ProductionCapacities!$E$2:$E$51,Nodes!B45)</f>
        <v>0</v>
      </c>
      <c r="J45" s="2">
        <v>933.85500000000002</v>
      </c>
      <c r="K45" s="11">
        <v>500</v>
      </c>
      <c r="L45" s="11">
        <v>500</v>
      </c>
      <c r="M45" s="2">
        <v>10</v>
      </c>
      <c r="N45" s="2">
        <f t="shared" si="1"/>
        <v>0</v>
      </c>
      <c r="O45" s="2">
        <f t="shared" si="2"/>
        <v>0.75</v>
      </c>
      <c r="P45" s="2">
        <v>5</v>
      </c>
      <c r="Q45" s="2">
        <v>5</v>
      </c>
      <c r="R45" s="2">
        <v>5.2</v>
      </c>
      <c r="S45" s="2">
        <v>5.2</v>
      </c>
      <c r="T45" s="2">
        <v>5.4</v>
      </c>
      <c r="U45" s="2">
        <v>5.4</v>
      </c>
      <c r="V45" s="3">
        <v>5</v>
      </c>
      <c r="W45" s="3">
        <v>5</v>
      </c>
      <c r="X45" s="3">
        <v>100</v>
      </c>
      <c r="Y45" s="3">
        <v>0</v>
      </c>
      <c r="Z45" s="3">
        <v>0</v>
      </c>
      <c r="AA45" s="3">
        <f t="shared" si="3"/>
        <v>10</v>
      </c>
      <c r="AB45" s="3">
        <v>0</v>
      </c>
      <c r="AC45" s="3">
        <f t="shared" si="4"/>
        <v>0.75</v>
      </c>
      <c r="AD45" s="3">
        <f t="shared" si="5"/>
        <v>5</v>
      </c>
      <c r="AE45" s="3">
        <f t="shared" si="6"/>
        <v>5</v>
      </c>
      <c r="AF45" s="3">
        <f t="shared" si="7"/>
        <v>5.2</v>
      </c>
      <c r="AG45" s="3">
        <f t="shared" si="8"/>
        <v>5.2</v>
      </c>
      <c r="AH45" s="3">
        <f t="shared" si="9"/>
        <v>5.4</v>
      </c>
      <c r="AI45" s="3">
        <f t="shared" si="10"/>
        <v>5.4</v>
      </c>
    </row>
    <row r="46" spans="1:35" x14ac:dyDescent="0.2">
      <c r="A46" s="1">
        <v>44</v>
      </c>
      <c r="B46" s="1" t="s">
        <v>84</v>
      </c>
      <c r="C46" s="1"/>
      <c r="D46" s="49">
        <v>6.9457712170000718</v>
      </c>
      <c r="E46" s="49">
        <v>62.851558685000043</v>
      </c>
      <c r="F46" s="1"/>
      <c r="G46" s="2">
        <v>5</v>
      </c>
      <c r="H46" s="2">
        <v>5</v>
      </c>
      <c r="I46" s="2">
        <f>SUMIFS(ProductionCapacities!$F$2:$F$51,ProductionCapacities!$E$2:$E$51,Nodes!B46)</f>
        <v>0</v>
      </c>
      <c r="J46" s="2">
        <v>3093.8470000000002</v>
      </c>
      <c r="K46" s="11">
        <v>500</v>
      </c>
      <c r="L46" s="11">
        <v>500</v>
      </c>
      <c r="M46" s="2">
        <v>10</v>
      </c>
      <c r="N46" s="2">
        <f t="shared" si="1"/>
        <v>0</v>
      </c>
      <c r="O46" s="2">
        <f t="shared" si="2"/>
        <v>0.75</v>
      </c>
      <c r="P46" s="2">
        <v>5</v>
      </c>
      <c r="Q46" s="2">
        <v>5</v>
      </c>
      <c r="R46" s="2">
        <v>5.2</v>
      </c>
      <c r="S46" s="2">
        <v>5.2</v>
      </c>
      <c r="T46" s="2">
        <v>5.4</v>
      </c>
      <c r="U46" s="2">
        <v>5.4</v>
      </c>
      <c r="V46" s="3">
        <v>5</v>
      </c>
      <c r="W46" s="3">
        <v>5</v>
      </c>
      <c r="X46" s="3">
        <v>100</v>
      </c>
      <c r="Y46" s="3">
        <v>0</v>
      </c>
      <c r="Z46" s="3">
        <v>0</v>
      </c>
      <c r="AA46" s="3">
        <f t="shared" si="3"/>
        <v>10</v>
      </c>
      <c r="AB46" s="3">
        <v>0</v>
      </c>
      <c r="AC46" s="3">
        <f t="shared" si="4"/>
        <v>0.75</v>
      </c>
      <c r="AD46" s="3">
        <f t="shared" si="5"/>
        <v>5</v>
      </c>
      <c r="AE46" s="3">
        <f t="shared" si="6"/>
        <v>5</v>
      </c>
      <c r="AF46" s="3">
        <f t="shared" si="7"/>
        <v>5.2</v>
      </c>
      <c r="AG46" s="3">
        <f t="shared" si="8"/>
        <v>5.2</v>
      </c>
      <c r="AH46" s="3">
        <f t="shared" si="9"/>
        <v>5.4</v>
      </c>
      <c r="AI46" s="3">
        <f t="shared" si="10"/>
        <v>5.4</v>
      </c>
    </row>
    <row r="47" spans="1:35" x14ac:dyDescent="0.2">
      <c r="A47" s="1">
        <v>45</v>
      </c>
      <c r="B47" s="1" t="s">
        <v>81</v>
      </c>
      <c r="C47" s="1"/>
      <c r="D47" s="16">
        <v>5.3867635720000644</v>
      </c>
      <c r="E47" s="16">
        <v>63.528081670000063</v>
      </c>
      <c r="F47" s="1"/>
      <c r="G47" s="2">
        <v>5</v>
      </c>
      <c r="H47" s="2">
        <v>5</v>
      </c>
      <c r="I47" s="2">
        <f>SUMIFS(ProductionCapacities!$F$2:$F$51,ProductionCapacities!$E$2:$E$51,Nodes!B47)</f>
        <v>32.633767123287676</v>
      </c>
      <c r="J47" s="2">
        <v>48.064999999999998</v>
      </c>
      <c r="K47" s="11">
        <v>500</v>
      </c>
      <c r="L47" s="11">
        <v>500</v>
      </c>
      <c r="M47" s="2">
        <v>10</v>
      </c>
      <c r="N47" s="2">
        <f t="shared" si="1"/>
        <v>0</v>
      </c>
      <c r="O47" s="2">
        <f t="shared" si="2"/>
        <v>0.75</v>
      </c>
      <c r="P47" s="2">
        <v>5</v>
      </c>
      <c r="Q47" s="2">
        <v>5</v>
      </c>
      <c r="R47" s="2">
        <v>5.2</v>
      </c>
      <c r="S47" s="2">
        <v>5.2</v>
      </c>
      <c r="T47" s="2">
        <v>5.4</v>
      </c>
      <c r="U47" s="2">
        <v>5.4</v>
      </c>
      <c r="V47" s="3">
        <v>5</v>
      </c>
      <c r="W47" s="3">
        <v>5</v>
      </c>
      <c r="X47" s="3">
        <v>100</v>
      </c>
      <c r="Y47" s="3">
        <v>0</v>
      </c>
      <c r="Z47" s="3">
        <v>0</v>
      </c>
      <c r="AA47" s="3">
        <f t="shared" si="3"/>
        <v>10</v>
      </c>
      <c r="AB47" s="3">
        <v>0</v>
      </c>
      <c r="AC47" s="3">
        <f t="shared" si="4"/>
        <v>0.75</v>
      </c>
      <c r="AD47" s="3">
        <f t="shared" si="5"/>
        <v>5</v>
      </c>
      <c r="AE47" s="3">
        <f t="shared" si="6"/>
        <v>5</v>
      </c>
      <c r="AF47" s="3">
        <f t="shared" si="7"/>
        <v>5.2</v>
      </c>
      <c r="AG47" s="3">
        <f t="shared" si="8"/>
        <v>5.2</v>
      </c>
      <c r="AH47" s="3">
        <f t="shared" si="9"/>
        <v>5.4</v>
      </c>
      <c r="AI47" s="3">
        <f t="shared" si="10"/>
        <v>5.4</v>
      </c>
    </row>
    <row r="48" spans="1:35" x14ac:dyDescent="0.2">
      <c r="A48" s="1">
        <v>46</v>
      </c>
      <c r="B48" s="1" t="s">
        <v>94</v>
      </c>
      <c r="C48" s="1"/>
      <c r="D48" s="16">
        <v>2.8240461869792348</v>
      </c>
      <c r="E48" s="16">
        <v>60.486900453608072</v>
      </c>
      <c r="F48" s="1"/>
      <c r="G48" s="2">
        <v>5</v>
      </c>
      <c r="H48" s="2">
        <v>5</v>
      </c>
      <c r="I48" s="2">
        <f>SUMIFS(ProductionCapacities!$F$2:$F$51,ProductionCapacities!$E$2:$E$51,Nodes!B48)</f>
        <v>11.774098630136987</v>
      </c>
      <c r="J48" s="2">
        <v>48.064999999999998</v>
      </c>
      <c r="K48" s="11">
        <v>500</v>
      </c>
      <c r="L48" s="11">
        <v>500</v>
      </c>
      <c r="M48" s="2">
        <v>10</v>
      </c>
      <c r="N48" s="2">
        <f t="shared" si="1"/>
        <v>0</v>
      </c>
      <c r="O48" s="2">
        <f t="shared" si="2"/>
        <v>0.75</v>
      </c>
      <c r="P48" s="2">
        <v>5</v>
      </c>
      <c r="Q48" s="2">
        <v>5</v>
      </c>
      <c r="R48" s="2">
        <v>5.2</v>
      </c>
      <c r="S48" s="2">
        <v>5.2</v>
      </c>
      <c r="T48" s="2">
        <v>5.4</v>
      </c>
      <c r="U48" s="2">
        <v>5.4</v>
      </c>
      <c r="V48" s="3">
        <v>5</v>
      </c>
      <c r="W48" s="3">
        <v>5</v>
      </c>
      <c r="X48" s="3">
        <v>100</v>
      </c>
      <c r="Y48" s="3">
        <v>0</v>
      </c>
      <c r="Z48" s="3">
        <v>0</v>
      </c>
      <c r="AA48" s="3">
        <f t="shared" si="3"/>
        <v>10</v>
      </c>
      <c r="AB48" s="3">
        <v>0</v>
      </c>
      <c r="AC48" s="3">
        <f t="shared" si="4"/>
        <v>0.75</v>
      </c>
      <c r="AD48" s="3">
        <f t="shared" si="5"/>
        <v>5</v>
      </c>
      <c r="AE48" s="3">
        <f t="shared" si="6"/>
        <v>5</v>
      </c>
      <c r="AF48" s="3">
        <f t="shared" si="7"/>
        <v>5.2</v>
      </c>
      <c r="AG48" s="3">
        <f t="shared" si="8"/>
        <v>5.2</v>
      </c>
      <c r="AH48" s="3">
        <f t="shared" si="9"/>
        <v>5.4</v>
      </c>
      <c r="AI48" s="3">
        <f t="shared" si="10"/>
        <v>5.4</v>
      </c>
    </row>
    <row r="49" spans="1:35" x14ac:dyDescent="0.2">
      <c r="A49" s="1">
        <v>47</v>
      </c>
      <c r="B49" s="1" t="s">
        <v>117</v>
      </c>
      <c r="C49" s="1" t="s">
        <v>335</v>
      </c>
      <c r="D49" s="22">
        <v>15.2599</v>
      </c>
      <c r="E49" s="22">
        <v>53.8</v>
      </c>
      <c r="F49" s="1"/>
      <c r="G49" s="2">
        <v>5</v>
      </c>
      <c r="H49" s="2">
        <v>5</v>
      </c>
      <c r="I49" s="2">
        <f>SUMIFS(ProductionCapacities!$F$2:$F$51,ProductionCapacities!$E$2:$E$51,Nodes!B49)</f>
        <v>0</v>
      </c>
      <c r="J49" s="29">
        <v>1041.0509999999999</v>
      </c>
      <c r="K49" s="11">
        <v>500</v>
      </c>
      <c r="L49" s="11">
        <v>500</v>
      </c>
      <c r="M49" s="2">
        <v>10</v>
      </c>
      <c r="N49" s="2">
        <f t="shared" si="1"/>
        <v>100</v>
      </c>
      <c r="O49" s="2">
        <f t="shared" si="2"/>
        <v>0.749</v>
      </c>
      <c r="P49" s="2">
        <v>5</v>
      </c>
      <c r="Q49" s="2">
        <v>5</v>
      </c>
      <c r="R49" s="2">
        <v>5.2</v>
      </c>
      <c r="S49" s="2">
        <v>5.2</v>
      </c>
      <c r="T49" s="2">
        <v>5.4</v>
      </c>
      <c r="U49" s="2">
        <v>5.4</v>
      </c>
      <c r="V49" s="3">
        <v>5</v>
      </c>
      <c r="W49" s="3">
        <v>5</v>
      </c>
      <c r="X49" s="3">
        <v>100</v>
      </c>
      <c r="Y49" s="3">
        <v>0</v>
      </c>
      <c r="Z49" s="3">
        <v>0</v>
      </c>
      <c r="AA49" s="3">
        <f t="shared" si="3"/>
        <v>10</v>
      </c>
      <c r="AB49" s="3">
        <v>0</v>
      </c>
      <c r="AC49" s="3">
        <f t="shared" si="4"/>
        <v>0.749</v>
      </c>
      <c r="AD49" s="3">
        <f t="shared" si="5"/>
        <v>5</v>
      </c>
      <c r="AE49" s="3">
        <f t="shared" si="6"/>
        <v>5</v>
      </c>
      <c r="AF49" s="3">
        <f t="shared" si="7"/>
        <v>5.2</v>
      </c>
      <c r="AG49" s="3">
        <f t="shared" si="8"/>
        <v>5.2</v>
      </c>
      <c r="AH49" s="3">
        <f t="shared" si="9"/>
        <v>5.4</v>
      </c>
      <c r="AI49" s="3">
        <f t="shared" si="10"/>
        <v>5.4</v>
      </c>
    </row>
    <row r="50" spans="1:35" x14ac:dyDescent="0.2">
      <c r="A50" s="1">
        <v>48</v>
      </c>
      <c r="B50" s="1" t="s">
        <v>103</v>
      </c>
      <c r="C50" s="1"/>
      <c r="D50" s="16">
        <v>2.254149831737414</v>
      </c>
      <c r="E50" s="16">
        <v>58.839405675350093</v>
      </c>
      <c r="F50" s="1" t="s">
        <v>322</v>
      </c>
      <c r="G50" s="2">
        <v>5</v>
      </c>
      <c r="H50" s="2">
        <v>5</v>
      </c>
      <c r="I50" s="2">
        <f>SUMIFS(ProductionCapacities!$F$2:$F$51,ProductionCapacities!$E$2:$E$51,Nodes!B50)</f>
        <v>0</v>
      </c>
      <c r="J50" s="2">
        <v>0</v>
      </c>
      <c r="K50" s="11">
        <v>500</v>
      </c>
      <c r="L50" s="11">
        <v>500</v>
      </c>
      <c r="M50" s="2">
        <v>10</v>
      </c>
      <c r="N50" s="2">
        <f t="shared" si="1"/>
        <v>0</v>
      </c>
      <c r="O50" s="2">
        <f t="shared" si="2"/>
        <v>0.75</v>
      </c>
      <c r="P50" s="2">
        <v>5</v>
      </c>
      <c r="Q50" s="2">
        <v>5</v>
      </c>
      <c r="R50" s="2">
        <v>5.2</v>
      </c>
      <c r="S50" s="2">
        <v>5.2</v>
      </c>
      <c r="T50" s="2">
        <v>5.4</v>
      </c>
      <c r="U50" s="2">
        <v>5.4</v>
      </c>
      <c r="V50" s="3">
        <v>5</v>
      </c>
      <c r="W50" s="3">
        <v>5</v>
      </c>
      <c r="X50" s="3">
        <v>100</v>
      </c>
      <c r="Y50" s="3">
        <v>0</v>
      </c>
      <c r="Z50" s="3">
        <v>0</v>
      </c>
      <c r="AA50" s="3">
        <f t="shared" si="3"/>
        <v>10</v>
      </c>
      <c r="AB50" s="3">
        <v>0</v>
      </c>
      <c r="AC50" s="3">
        <f t="shared" si="4"/>
        <v>0.75</v>
      </c>
      <c r="AD50" s="3">
        <f t="shared" si="5"/>
        <v>5</v>
      </c>
      <c r="AE50" s="3">
        <f t="shared" si="6"/>
        <v>5</v>
      </c>
      <c r="AF50" s="3">
        <f t="shared" si="7"/>
        <v>5.2</v>
      </c>
      <c r="AG50" s="3">
        <f t="shared" si="8"/>
        <v>5.2</v>
      </c>
      <c r="AH50" s="3">
        <f t="shared" si="9"/>
        <v>5.4</v>
      </c>
      <c r="AI50" s="3">
        <f t="shared" si="10"/>
        <v>5.4</v>
      </c>
    </row>
    <row r="51" spans="1:35" x14ac:dyDescent="0.2">
      <c r="A51" s="1">
        <v>49</v>
      </c>
      <c r="B51" s="1" t="s">
        <v>76</v>
      </c>
      <c r="C51" s="1"/>
      <c r="D51" s="16">
        <v>7.6558328198016818</v>
      </c>
      <c r="E51" s="16">
        <v>65.693743899121472</v>
      </c>
      <c r="F51" s="1" t="s">
        <v>322</v>
      </c>
      <c r="G51" s="2">
        <v>5</v>
      </c>
      <c r="H51" s="2">
        <v>5</v>
      </c>
      <c r="I51" s="2">
        <f>SUMIFS(ProductionCapacities!$F$2:$F$51,ProductionCapacities!$E$2:$E$51,Nodes!B51)</f>
        <v>8.8860904109589036</v>
      </c>
      <c r="J51" s="2">
        <v>48.064999999999998</v>
      </c>
      <c r="K51" s="11">
        <v>500</v>
      </c>
      <c r="L51" s="11">
        <v>500</v>
      </c>
      <c r="M51" s="2">
        <v>10</v>
      </c>
      <c r="N51" s="2">
        <f t="shared" si="1"/>
        <v>0</v>
      </c>
      <c r="O51" s="2">
        <f t="shared" si="2"/>
        <v>0.75</v>
      </c>
      <c r="P51" s="2">
        <v>5</v>
      </c>
      <c r="Q51" s="2">
        <v>5</v>
      </c>
      <c r="R51" s="2">
        <v>5.2</v>
      </c>
      <c r="S51" s="2">
        <v>5.2</v>
      </c>
      <c r="T51" s="2">
        <v>5.4</v>
      </c>
      <c r="U51" s="2">
        <v>5.4</v>
      </c>
      <c r="V51" s="3">
        <v>5</v>
      </c>
      <c r="W51" s="3">
        <v>5</v>
      </c>
      <c r="X51" s="3">
        <v>100</v>
      </c>
      <c r="Y51" s="3">
        <v>0</v>
      </c>
      <c r="Z51" s="3">
        <v>0</v>
      </c>
      <c r="AA51" s="3">
        <f t="shared" si="3"/>
        <v>10</v>
      </c>
      <c r="AB51" s="3">
        <v>0</v>
      </c>
      <c r="AC51" s="3">
        <f t="shared" si="4"/>
        <v>0.75</v>
      </c>
      <c r="AD51" s="3">
        <f t="shared" si="5"/>
        <v>5</v>
      </c>
      <c r="AE51" s="3">
        <f t="shared" si="6"/>
        <v>5</v>
      </c>
      <c r="AF51" s="3">
        <f t="shared" si="7"/>
        <v>5.2</v>
      </c>
      <c r="AG51" s="3">
        <f t="shared" si="8"/>
        <v>5.2</v>
      </c>
      <c r="AH51" s="3">
        <f t="shared" si="9"/>
        <v>5.4</v>
      </c>
      <c r="AI51" s="3">
        <f t="shared" si="10"/>
        <v>5.4</v>
      </c>
    </row>
    <row r="52" spans="1:35" x14ac:dyDescent="0.2">
      <c r="A52" s="1">
        <v>50</v>
      </c>
      <c r="B52" s="1" t="s">
        <v>104</v>
      </c>
      <c r="C52" s="1"/>
      <c r="D52" s="22">
        <v>1.898765933579508</v>
      </c>
      <c r="E52" s="22">
        <v>58.370533807717997</v>
      </c>
      <c r="F52" s="1"/>
      <c r="G52" s="2">
        <v>5</v>
      </c>
      <c r="H52" s="2">
        <v>5</v>
      </c>
      <c r="I52" s="2">
        <f>SUMIFS(ProductionCapacities!$F$2:$F$51,ProductionCapacities!$E$2:$E$51,Nodes!B52)</f>
        <v>10.928873972602741</v>
      </c>
      <c r="J52" s="2">
        <v>291.70999999999998</v>
      </c>
      <c r="K52" s="11">
        <v>500</v>
      </c>
      <c r="L52" s="11">
        <v>500</v>
      </c>
      <c r="M52" s="2">
        <v>10</v>
      </c>
      <c r="N52" s="2">
        <f t="shared" si="1"/>
        <v>0</v>
      </c>
      <c r="O52" s="2">
        <f t="shared" si="2"/>
        <v>0.75</v>
      </c>
      <c r="P52" s="2">
        <v>5</v>
      </c>
      <c r="Q52" s="2">
        <v>5</v>
      </c>
      <c r="R52" s="2">
        <v>5.2</v>
      </c>
      <c r="S52" s="2">
        <v>5.2</v>
      </c>
      <c r="T52" s="2">
        <v>5.4</v>
      </c>
      <c r="U52" s="2">
        <v>5.4</v>
      </c>
      <c r="V52" s="3">
        <v>5</v>
      </c>
      <c r="W52" s="3">
        <v>5</v>
      </c>
      <c r="X52" s="3">
        <v>100</v>
      </c>
      <c r="Y52" s="3">
        <v>0</v>
      </c>
      <c r="Z52" s="3">
        <v>0</v>
      </c>
      <c r="AA52" s="3">
        <f t="shared" si="3"/>
        <v>10</v>
      </c>
      <c r="AB52" s="3">
        <v>0</v>
      </c>
      <c r="AC52" s="3">
        <f t="shared" si="4"/>
        <v>0.75</v>
      </c>
      <c r="AD52" s="3">
        <f t="shared" si="5"/>
        <v>5</v>
      </c>
      <c r="AE52" s="3">
        <f t="shared" si="6"/>
        <v>5</v>
      </c>
      <c r="AF52" s="3">
        <f t="shared" si="7"/>
        <v>5.2</v>
      </c>
      <c r="AG52" s="3">
        <f t="shared" si="8"/>
        <v>5.2</v>
      </c>
      <c r="AH52" s="3">
        <f t="shared" si="9"/>
        <v>5.4</v>
      </c>
      <c r="AI52" s="3">
        <f t="shared" si="10"/>
        <v>5.4</v>
      </c>
    </row>
    <row r="53" spans="1:35" x14ac:dyDescent="0.2">
      <c r="A53" s="1">
        <v>51</v>
      </c>
      <c r="B53" s="1" t="s">
        <v>105</v>
      </c>
      <c r="C53" s="1"/>
      <c r="D53" s="22">
        <v>1.915866396996226</v>
      </c>
      <c r="E53" s="22">
        <v>58.364944173837479</v>
      </c>
      <c r="F53" s="1"/>
      <c r="G53" s="2">
        <v>5</v>
      </c>
      <c r="H53" s="2">
        <v>5</v>
      </c>
      <c r="I53" s="2">
        <f>SUMIFS(ProductionCapacities!$F$2:$F$51,ProductionCapacities!$E$2:$E$51,Nodes!B53)</f>
        <v>0</v>
      </c>
      <c r="J53" s="2">
        <v>1.974</v>
      </c>
      <c r="K53" s="11">
        <v>500</v>
      </c>
      <c r="L53" s="11">
        <v>500</v>
      </c>
      <c r="M53" s="2">
        <v>10</v>
      </c>
      <c r="N53" s="2">
        <f t="shared" si="1"/>
        <v>0</v>
      </c>
      <c r="O53" s="2">
        <f t="shared" si="2"/>
        <v>0.75</v>
      </c>
      <c r="P53" s="2">
        <v>5</v>
      </c>
      <c r="Q53" s="2">
        <v>5</v>
      </c>
      <c r="R53" s="2">
        <v>5.2</v>
      </c>
      <c r="S53" s="2">
        <v>5.2</v>
      </c>
      <c r="T53" s="2">
        <v>5.4</v>
      </c>
      <c r="U53" s="2">
        <v>5.4</v>
      </c>
      <c r="V53" s="3">
        <v>5</v>
      </c>
      <c r="W53" s="3">
        <v>5</v>
      </c>
      <c r="X53" s="3">
        <v>100</v>
      </c>
      <c r="Y53" s="3">
        <v>0</v>
      </c>
      <c r="Z53" s="3">
        <v>0</v>
      </c>
      <c r="AA53" s="3">
        <f t="shared" si="3"/>
        <v>10</v>
      </c>
      <c r="AB53" s="3">
        <v>0</v>
      </c>
      <c r="AC53" s="3">
        <f t="shared" si="4"/>
        <v>0.75</v>
      </c>
      <c r="AD53" s="3">
        <f t="shared" si="5"/>
        <v>5</v>
      </c>
      <c r="AE53" s="3">
        <f t="shared" si="6"/>
        <v>5</v>
      </c>
      <c r="AF53" s="3">
        <f t="shared" si="7"/>
        <v>5.2</v>
      </c>
      <c r="AG53" s="3">
        <f t="shared" si="8"/>
        <v>5.2</v>
      </c>
      <c r="AH53" s="3">
        <f t="shared" si="9"/>
        <v>5.4</v>
      </c>
      <c r="AI53" s="3">
        <f t="shared" si="10"/>
        <v>5.4</v>
      </c>
    </row>
    <row r="54" spans="1:35" x14ac:dyDescent="0.2">
      <c r="A54" s="1">
        <v>52</v>
      </c>
      <c r="B54" s="1" t="s">
        <v>109</v>
      </c>
      <c r="C54" s="1" t="s">
        <v>335</v>
      </c>
      <c r="D54" s="22">
        <v>-1.8256509999999999</v>
      </c>
      <c r="E54" s="22">
        <v>57.579971</v>
      </c>
      <c r="F54" s="1"/>
      <c r="G54" s="2">
        <v>5</v>
      </c>
      <c r="H54" s="2">
        <v>5</v>
      </c>
      <c r="I54" s="2">
        <f>SUMIFS(ProductionCapacities!$F$2:$F$51,ProductionCapacities!$E$2:$E$51,Nodes!B54)</f>
        <v>0</v>
      </c>
      <c r="J54" s="2">
        <v>0</v>
      </c>
      <c r="K54" s="11">
        <v>500</v>
      </c>
      <c r="L54" s="11">
        <v>500</v>
      </c>
      <c r="M54" s="2">
        <v>10</v>
      </c>
      <c r="N54" s="2">
        <f t="shared" si="1"/>
        <v>100</v>
      </c>
      <c r="O54" s="2">
        <f t="shared" si="2"/>
        <v>0.749</v>
      </c>
      <c r="P54" s="2">
        <v>5</v>
      </c>
      <c r="Q54" s="2">
        <v>5</v>
      </c>
      <c r="R54" s="2">
        <v>5.2</v>
      </c>
      <c r="S54" s="2">
        <v>5.2</v>
      </c>
      <c r="T54" s="2">
        <v>5.4</v>
      </c>
      <c r="U54" s="2">
        <v>5.4</v>
      </c>
      <c r="V54" s="3">
        <v>5</v>
      </c>
      <c r="W54" s="3">
        <v>5</v>
      </c>
      <c r="X54" s="3">
        <v>100</v>
      </c>
      <c r="Y54" s="3">
        <v>0</v>
      </c>
      <c r="Z54" s="3">
        <v>0</v>
      </c>
      <c r="AA54" s="3">
        <f t="shared" si="3"/>
        <v>10</v>
      </c>
      <c r="AB54" s="3">
        <v>0</v>
      </c>
      <c r="AC54" s="3">
        <f t="shared" si="4"/>
        <v>0.749</v>
      </c>
      <c r="AD54" s="3">
        <f t="shared" si="5"/>
        <v>5</v>
      </c>
      <c r="AE54" s="3">
        <f t="shared" si="6"/>
        <v>5</v>
      </c>
      <c r="AF54" s="3">
        <f t="shared" si="7"/>
        <v>5.2</v>
      </c>
      <c r="AG54" s="3">
        <f t="shared" si="8"/>
        <v>5.2</v>
      </c>
      <c r="AH54" s="3">
        <f t="shared" si="9"/>
        <v>5.4</v>
      </c>
      <c r="AI54" s="3">
        <f t="shared" si="10"/>
        <v>5.4</v>
      </c>
    </row>
    <row r="55" spans="1:35" x14ac:dyDescent="0.2">
      <c r="A55" s="1">
        <v>53</v>
      </c>
      <c r="B55" s="1" t="s">
        <v>86</v>
      </c>
      <c r="C55" s="1"/>
      <c r="D55" s="16">
        <v>1.845936000000052</v>
      </c>
      <c r="E55" s="16">
        <v>61.185830000000067</v>
      </c>
      <c r="F55" s="1"/>
      <c r="G55" s="2">
        <v>5</v>
      </c>
      <c r="H55" s="2">
        <v>5</v>
      </c>
      <c r="I55" s="2">
        <f>SUMIFS(ProductionCapacities!$F$2:$F$51,ProductionCapacities!$E$2:$E$51,Nodes!B55)</f>
        <v>0</v>
      </c>
      <c r="J55" s="2">
        <v>0</v>
      </c>
      <c r="K55" s="11">
        <v>500</v>
      </c>
      <c r="L55" s="11">
        <v>500</v>
      </c>
      <c r="M55" s="2">
        <v>10</v>
      </c>
      <c r="N55" s="2">
        <f t="shared" si="1"/>
        <v>0</v>
      </c>
      <c r="O55" s="2">
        <f t="shared" si="2"/>
        <v>0.75</v>
      </c>
      <c r="P55" s="2">
        <v>5</v>
      </c>
      <c r="Q55" s="2">
        <v>5</v>
      </c>
      <c r="R55" s="2">
        <v>5.2</v>
      </c>
      <c r="S55" s="2">
        <v>5.2</v>
      </c>
      <c r="T55" s="2">
        <v>5.4</v>
      </c>
      <c r="U55" s="2">
        <v>5.4</v>
      </c>
      <c r="V55" s="3">
        <v>5</v>
      </c>
      <c r="W55" s="3">
        <v>5</v>
      </c>
      <c r="X55" s="3">
        <v>100</v>
      </c>
      <c r="Y55" s="3">
        <v>0</v>
      </c>
      <c r="Z55" s="3">
        <v>0</v>
      </c>
      <c r="AA55" s="3">
        <f t="shared" si="3"/>
        <v>10</v>
      </c>
      <c r="AB55" s="3">
        <v>0</v>
      </c>
      <c r="AC55" s="3">
        <f t="shared" si="4"/>
        <v>0.75</v>
      </c>
      <c r="AD55" s="3">
        <f t="shared" si="5"/>
        <v>5</v>
      </c>
      <c r="AE55" s="3">
        <f t="shared" si="6"/>
        <v>5</v>
      </c>
      <c r="AF55" s="3">
        <f t="shared" si="7"/>
        <v>5.2</v>
      </c>
      <c r="AG55" s="3">
        <f t="shared" si="8"/>
        <v>5.2</v>
      </c>
      <c r="AH55" s="3">
        <f t="shared" si="9"/>
        <v>5.4</v>
      </c>
      <c r="AI55" s="3">
        <f t="shared" si="10"/>
        <v>5.4</v>
      </c>
    </row>
    <row r="56" spans="1:35" x14ac:dyDescent="0.2">
      <c r="A56" s="1">
        <v>54</v>
      </c>
      <c r="B56" s="1" t="s">
        <v>85</v>
      </c>
      <c r="C56" s="1"/>
      <c r="D56" s="16">
        <v>1.8315257775840801</v>
      </c>
      <c r="E56" s="16">
        <v>61.20244504760155</v>
      </c>
      <c r="F56" s="1"/>
      <c r="G56" s="2">
        <v>5</v>
      </c>
      <c r="H56" s="2">
        <v>5</v>
      </c>
      <c r="I56" s="2">
        <f>SUMIFS(ProductionCapacities!$F$2:$F$51,ProductionCapacities!$E$2:$E$51,Nodes!B56)</f>
        <v>16.026747945205479</v>
      </c>
      <c r="J56" s="2">
        <v>0</v>
      </c>
      <c r="K56" s="11">
        <v>500</v>
      </c>
      <c r="L56" s="11">
        <v>500</v>
      </c>
      <c r="M56" s="2">
        <v>10</v>
      </c>
      <c r="N56" s="2">
        <f t="shared" si="1"/>
        <v>0</v>
      </c>
      <c r="O56" s="2">
        <f t="shared" si="2"/>
        <v>0.75</v>
      </c>
      <c r="P56" s="2">
        <v>5</v>
      </c>
      <c r="Q56" s="2">
        <v>5</v>
      </c>
      <c r="R56" s="2">
        <v>5.2</v>
      </c>
      <c r="S56" s="2">
        <v>5.2</v>
      </c>
      <c r="T56" s="2">
        <v>5.4</v>
      </c>
      <c r="U56" s="2">
        <v>5.4</v>
      </c>
      <c r="V56" s="3">
        <v>5</v>
      </c>
      <c r="W56" s="3">
        <v>5</v>
      </c>
      <c r="X56" s="3">
        <v>100</v>
      </c>
      <c r="Y56" s="3">
        <v>0</v>
      </c>
      <c r="Z56" s="3">
        <v>0</v>
      </c>
      <c r="AA56" s="3">
        <f t="shared" si="3"/>
        <v>10</v>
      </c>
      <c r="AB56" s="3">
        <v>0</v>
      </c>
      <c r="AC56" s="3">
        <f t="shared" si="4"/>
        <v>0.75</v>
      </c>
      <c r="AD56" s="3">
        <f t="shared" si="5"/>
        <v>5</v>
      </c>
      <c r="AE56" s="3">
        <f t="shared" si="6"/>
        <v>5</v>
      </c>
      <c r="AF56" s="3">
        <f t="shared" si="7"/>
        <v>5.2</v>
      </c>
      <c r="AG56" s="3">
        <f t="shared" si="8"/>
        <v>5.2</v>
      </c>
      <c r="AH56" s="3">
        <f t="shared" si="9"/>
        <v>5.4</v>
      </c>
      <c r="AI56" s="3">
        <f t="shared" si="10"/>
        <v>5.4</v>
      </c>
    </row>
    <row r="57" spans="1:35" x14ac:dyDescent="0.2">
      <c r="A57" s="1">
        <v>55</v>
      </c>
      <c r="B57" s="1" t="s">
        <v>115</v>
      </c>
      <c r="C57" s="1" t="s">
        <v>335</v>
      </c>
      <c r="D57" s="22">
        <v>-1.104584</v>
      </c>
      <c r="E57" s="22">
        <v>54.624600000000001</v>
      </c>
      <c r="F57" s="1"/>
      <c r="G57" s="2">
        <v>5</v>
      </c>
      <c r="H57" s="2">
        <v>5</v>
      </c>
      <c r="I57" s="2">
        <f>SUMIFS(ProductionCapacities!$F$2:$F$51,ProductionCapacities!$E$2:$E$51,Nodes!B57)</f>
        <v>0</v>
      </c>
      <c r="J57" s="2">
        <v>222.233</v>
      </c>
      <c r="K57" s="11">
        <v>500</v>
      </c>
      <c r="L57" s="11">
        <v>500</v>
      </c>
      <c r="M57" s="2">
        <v>10</v>
      </c>
      <c r="N57" s="2">
        <f t="shared" si="1"/>
        <v>100</v>
      </c>
      <c r="O57" s="2">
        <f t="shared" si="2"/>
        <v>0.749</v>
      </c>
      <c r="P57" s="2">
        <v>5</v>
      </c>
      <c r="Q57" s="2">
        <v>5</v>
      </c>
      <c r="R57" s="2">
        <v>5.2</v>
      </c>
      <c r="S57" s="2">
        <v>5.2</v>
      </c>
      <c r="T57" s="2">
        <v>5.4</v>
      </c>
      <c r="U57" s="2">
        <v>5.4</v>
      </c>
      <c r="V57" s="3">
        <v>5</v>
      </c>
      <c r="W57" s="3">
        <v>5</v>
      </c>
      <c r="X57" s="3">
        <v>100</v>
      </c>
      <c r="Y57" s="3">
        <v>0</v>
      </c>
      <c r="Z57" s="3">
        <v>0</v>
      </c>
      <c r="AA57" s="3">
        <f t="shared" si="3"/>
        <v>10</v>
      </c>
      <c r="AB57" s="3">
        <v>0</v>
      </c>
      <c r="AC57" s="3">
        <f t="shared" si="4"/>
        <v>0.749</v>
      </c>
      <c r="AD57" s="3">
        <f t="shared" si="5"/>
        <v>5</v>
      </c>
      <c r="AE57" s="3">
        <f t="shared" si="6"/>
        <v>5</v>
      </c>
      <c r="AF57" s="3">
        <f t="shared" si="7"/>
        <v>5.2</v>
      </c>
      <c r="AG57" s="3">
        <f t="shared" si="8"/>
        <v>5.2</v>
      </c>
      <c r="AH57" s="3">
        <f t="shared" si="9"/>
        <v>5.4</v>
      </c>
      <c r="AI57" s="3">
        <f t="shared" si="10"/>
        <v>5.4</v>
      </c>
    </row>
    <row r="58" spans="1:35" x14ac:dyDescent="0.2">
      <c r="A58" s="1">
        <v>56</v>
      </c>
      <c r="B58" s="1" t="s">
        <v>83</v>
      </c>
      <c r="C58" s="1"/>
      <c r="D58" s="16">
        <v>8.6582155394689266</v>
      </c>
      <c r="E58" s="16">
        <v>63.398890962560763</v>
      </c>
      <c r="F58" s="1" t="s">
        <v>322</v>
      </c>
      <c r="G58" s="2">
        <v>5</v>
      </c>
      <c r="H58" s="2">
        <v>5</v>
      </c>
      <c r="I58" s="2">
        <f>SUMIFS(ProductionCapacities!$F$2:$F$51,ProductionCapacities!$E$2:$E$51,Nodes!B58)</f>
        <v>0</v>
      </c>
      <c r="J58" s="2">
        <v>0</v>
      </c>
      <c r="K58" s="11">
        <v>500</v>
      </c>
      <c r="L58" s="11">
        <v>500</v>
      </c>
      <c r="M58" s="2">
        <v>10</v>
      </c>
      <c r="N58" s="2">
        <f t="shared" si="1"/>
        <v>0</v>
      </c>
      <c r="O58" s="2">
        <f t="shared" si="2"/>
        <v>0.75</v>
      </c>
      <c r="P58" s="2">
        <v>5</v>
      </c>
      <c r="Q58" s="2">
        <v>5</v>
      </c>
      <c r="R58" s="2">
        <v>5.2</v>
      </c>
      <c r="S58" s="2">
        <v>5.2</v>
      </c>
      <c r="T58" s="2">
        <v>5.4</v>
      </c>
      <c r="U58" s="2">
        <v>5.4</v>
      </c>
      <c r="V58" s="3">
        <v>5</v>
      </c>
      <c r="W58" s="3">
        <v>5</v>
      </c>
      <c r="X58" s="3">
        <v>100</v>
      </c>
      <c r="Y58" s="3">
        <v>0</v>
      </c>
      <c r="Z58" s="3">
        <v>0</v>
      </c>
      <c r="AA58" s="3">
        <f t="shared" si="3"/>
        <v>10</v>
      </c>
      <c r="AB58" s="3">
        <v>0</v>
      </c>
      <c r="AC58" s="3">
        <f t="shared" si="4"/>
        <v>0.75</v>
      </c>
      <c r="AD58" s="3">
        <f t="shared" si="5"/>
        <v>5</v>
      </c>
      <c r="AE58" s="3">
        <f t="shared" si="6"/>
        <v>5</v>
      </c>
      <c r="AF58" s="3">
        <f t="shared" si="7"/>
        <v>5.2</v>
      </c>
      <c r="AG58" s="3">
        <f t="shared" si="8"/>
        <v>5.2</v>
      </c>
      <c r="AH58" s="3">
        <f t="shared" si="9"/>
        <v>5.4</v>
      </c>
      <c r="AI58" s="3">
        <f t="shared" si="10"/>
        <v>5.4</v>
      </c>
    </row>
    <row r="59" spans="1:35" x14ac:dyDescent="0.2">
      <c r="A59" s="1">
        <v>57</v>
      </c>
      <c r="B59" s="1" t="s">
        <v>90</v>
      </c>
      <c r="C59" s="1"/>
      <c r="D59" s="16">
        <v>4.835830000000044</v>
      </c>
      <c r="E59" s="16">
        <v>60.550175000000081</v>
      </c>
      <c r="F59" s="1"/>
      <c r="G59" s="2">
        <v>5</v>
      </c>
      <c r="H59" s="2">
        <v>5</v>
      </c>
      <c r="I59" s="2">
        <f>SUMIFS(ProductionCapacities!$F$2:$F$51,ProductionCapacities!$E$2:$E$51,Nodes!B59)</f>
        <v>99.237736986301371</v>
      </c>
      <c r="J59" s="2">
        <v>2628.125</v>
      </c>
      <c r="K59" s="11">
        <v>500</v>
      </c>
      <c r="L59" s="11">
        <v>500</v>
      </c>
      <c r="M59" s="2">
        <v>10</v>
      </c>
      <c r="N59" s="2">
        <f t="shared" si="1"/>
        <v>0</v>
      </c>
      <c r="O59" s="2">
        <f t="shared" si="2"/>
        <v>0.75</v>
      </c>
      <c r="P59" s="2">
        <v>5</v>
      </c>
      <c r="Q59" s="2">
        <v>5</v>
      </c>
      <c r="R59" s="2">
        <v>5.2</v>
      </c>
      <c r="S59" s="2">
        <v>5.2</v>
      </c>
      <c r="T59" s="2">
        <v>5.4</v>
      </c>
      <c r="U59" s="2">
        <v>5.4</v>
      </c>
      <c r="V59" s="3">
        <v>5</v>
      </c>
      <c r="W59" s="3">
        <v>5</v>
      </c>
      <c r="X59" s="3">
        <v>100</v>
      </c>
      <c r="Y59" s="3">
        <v>0</v>
      </c>
      <c r="Z59" s="3">
        <v>0</v>
      </c>
      <c r="AA59" s="3">
        <f t="shared" si="3"/>
        <v>10</v>
      </c>
      <c r="AB59" s="3">
        <v>0</v>
      </c>
      <c r="AC59" s="3">
        <f t="shared" si="4"/>
        <v>0.75</v>
      </c>
      <c r="AD59" s="3">
        <f t="shared" si="5"/>
        <v>5</v>
      </c>
      <c r="AE59" s="3">
        <f t="shared" si="6"/>
        <v>5</v>
      </c>
      <c r="AF59" s="3">
        <f t="shared" si="7"/>
        <v>5.2</v>
      </c>
      <c r="AG59" s="3">
        <f t="shared" si="8"/>
        <v>5.2</v>
      </c>
      <c r="AH59" s="3">
        <f t="shared" si="9"/>
        <v>5.4</v>
      </c>
      <c r="AI59" s="3">
        <f t="shared" si="10"/>
        <v>5.4</v>
      </c>
    </row>
    <row r="60" spans="1:35" x14ac:dyDescent="0.2">
      <c r="A60" s="1">
        <v>58</v>
      </c>
      <c r="B60" s="1" t="s">
        <v>121</v>
      </c>
      <c r="C60" s="1" t="s">
        <v>335</v>
      </c>
      <c r="D60" s="22">
        <v>3.229797000000076</v>
      </c>
      <c r="E60" s="22">
        <v>51.350508000000048</v>
      </c>
      <c r="F60" s="1"/>
      <c r="G60" s="2">
        <v>5</v>
      </c>
      <c r="H60" s="2">
        <v>5</v>
      </c>
      <c r="I60" s="2">
        <f>SUMIFS(ProductionCapacities!$F$2:$F$51,ProductionCapacities!$E$2:$E$51,Nodes!B60)</f>
        <v>0</v>
      </c>
      <c r="J60" s="2">
        <v>48.064999999999998</v>
      </c>
      <c r="K60" s="11">
        <v>500</v>
      </c>
      <c r="L60" s="11">
        <v>500</v>
      </c>
      <c r="M60" s="2">
        <v>10</v>
      </c>
      <c r="N60" s="2">
        <f t="shared" si="1"/>
        <v>100</v>
      </c>
      <c r="O60" s="2">
        <f t="shared" si="2"/>
        <v>0.749</v>
      </c>
      <c r="P60" s="2">
        <v>5</v>
      </c>
      <c r="Q60" s="2">
        <v>5</v>
      </c>
      <c r="R60" s="2">
        <v>5.2</v>
      </c>
      <c r="S60" s="2">
        <v>5.2</v>
      </c>
      <c r="T60" s="2">
        <v>5.4</v>
      </c>
      <c r="U60" s="2">
        <v>5.4</v>
      </c>
      <c r="V60" s="3">
        <v>5</v>
      </c>
      <c r="W60" s="3">
        <v>5</v>
      </c>
      <c r="X60" s="3">
        <v>100</v>
      </c>
      <c r="Y60" s="3">
        <v>0</v>
      </c>
      <c r="Z60" s="3">
        <v>0</v>
      </c>
      <c r="AA60" s="3">
        <f t="shared" si="3"/>
        <v>10</v>
      </c>
      <c r="AB60" s="3">
        <v>0</v>
      </c>
      <c r="AC60" s="3">
        <f t="shared" si="4"/>
        <v>0.749</v>
      </c>
      <c r="AD60" s="3">
        <f t="shared" si="5"/>
        <v>5</v>
      </c>
      <c r="AE60" s="3">
        <f t="shared" si="6"/>
        <v>5</v>
      </c>
      <c r="AF60" s="3">
        <f t="shared" si="7"/>
        <v>5.2</v>
      </c>
      <c r="AG60" s="3">
        <f t="shared" si="8"/>
        <v>5.2</v>
      </c>
      <c r="AH60" s="3">
        <f t="shared" si="9"/>
        <v>5.4</v>
      </c>
      <c r="AI60" s="3">
        <f t="shared" si="10"/>
        <v>5.4</v>
      </c>
    </row>
    <row r="61" spans="1:35" x14ac:dyDescent="0.2">
      <c r="A61" s="1">
        <v>59</v>
      </c>
      <c r="B61" s="1" t="s">
        <v>114</v>
      </c>
      <c r="C61" s="1"/>
      <c r="D61" s="22">
        <v>3.2998160000000212</v>
      </c>
      <c r="E61" s="22">
        <v>54.789494000000047</v>
      </c>
      <c r="F61" s="1"/>
      <c r="G61" s="2">
        <v>5</v>
      </c>
      <c r="H61" s="2">
        <v>5</v>
      </c>
      <c r="I61" s="2">
        <f>SUMIFS(ProductionCapacities!$F$2:$F$51,ProductionCapacities!$E$2:$E$51,Nodes!B61)</f>
        <v>0</v>
      </c>
      <c r="J61" s="2">
        <v>0</v>
      </c>
      <c r="K61" s="11">
        <v>500</v>
      </c>
      <c r="L61" s="11">
        <v>500</v>
      </c>
      <c r="M61" s="2">
        <v>10</v>
      </c>
      <c r="N61" s="2">
        <f t="shared" si="1"/>
        <v>0</v>
      </c>
      <c r="O61" s="2">
        <f t="shared" si="2"/>
        <v>0.75</v>
      </c>
      <c r="P61" s="2">
        <v>5</v>
      </c>
      <c r="Q61" s="2">
        <v>5</v>
      </c>
      <c r="R61" s="2">
        <v>5.2</v>
      </c>
      <c r="S61" s="2">
        <v>5.2</v>
      </c>
      <c r="T61" s="2">
        <v>5.4</v>
      </c>
      <c r="U61" s="2">
        <v>5.4</v>
      </c>
      <c r="V61" s="3">
        <v>5</v>
      </c>
      <c r="W61" s="3">
        <v>5</v>
      </c>
      <c r="X61" s="3">
        <v>100</v>
      </c>
      <c r="Y61" s="3">
        <v>0</v>
      </c>
      <c r="Z61" s="3">
        <v>0</v>
      </c>
      <c r="AA61" s="3">
        <f t="shared" si="3"/>
        <v>10</v>
      </c>
      <c r="AB61" s="3">
        <v>0</v>
      </c>
      <c r="AC61" s="3">
        <f t="shared" si="4"/>
        <v>0.75</v>
      </c>
      <c r="AD61" s="3">
        <f t="shared" si="5"/>
        <v>5</v>
      </c>
      <c r="AE61" s="3">
        <f t="shared" si="6"/>
        <v>5</v>
      </c>
      <c r="AF61" s="3">
        <f t="shared" si="7"/>
        <v>5.2</v>
      </c>
      <c r="AG61" s="3">
        <f t="shared" si="8"/>
        <v>5.2</v>
      </c>
      <c r="AH61" s="3">
        <f t="shared" si="9"/>
        <v>5.4</v>
      </c>
      <c r="AI61" s="3">
        <f t="shared" si="10"/>
        <v>5.4</v>
      </c>
    </row>
    <row r="64" spans="1:35" x14ac:dyDescent="0.2">
      <c r="H64" t="s">
        <v>323</v>
      </c>
      <c r="I64">
        <f>SUM(I3:I61)-SUMIF(F3:F61,"Los",I3:I61)</f>
        <v>272.52532054794517</v>
      </c>
      <c r="J64" t="s">
        <v>216</v>
      </c>
    </row>
  </sheetData>
  <autoFilter ref="A2:AI61" xr:uid="{DA3F5746-A1B1-6F4F-9762-CACD4A91B5F2}">
    <sortState xmlns:xlrd2="http://schemas.microsoft.com/office/spreadsheetml/2017/richdata2" ref="A3:AI61">
      <sortCondition ref="B2:B61"/>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E9" sqref="E9"/>
    </sheetView>
  </sheetViews>
  <sheetFormatPr baseColWidth="10" defaultRowHeight="16" x14ac:dyDescent="0.2"/>
  <cols>
    <col min="8" max="8" width="12.1640625" bestFit="1" customWidth="1"/>
  </cols>
  <sheetData>
    <row r="1" spans="1:17" x14ac:dyDescent="0.2">
      <c r="A1" s="4" t="s">
        <v>32</v>
      </c>
      <c r="B1" s="58">
        <v>1</v>
      </c>
      <c r="C1" s="58"/>
      <c r="D1" s="58"/>
      <c r="E1" s="58"/>
      <c r="F1" s="58"/>
      <c r="G1" s="58"/>
      <c r="H1" s="58"/>
      <c r="I1" s="58"/>
      <c r="J1" s="58"/>
      <c r="K1" s="58"/>
      <c r="L1" s="58"/>
      <c r="M1" s="58"/>
      <c r="N1" s="58"/>
      <c r="O1" s="58"/>
      <c r="P1" s="58"/>
      <c r="Q1" s="58"/>
    </row>
    <row r="2" spans="1:17" x14ac:dyDescent="0.2">
      <c r="A2" s="4" t="s">
        <v>26</v>
      </c>
      <c r="B2" s="58">
        <v>1</v>
      </c>
      <c r="C2" s="58"/>
      <c r="D2" s="58"/>
      <c r="E2" s="58"/>
      <c r="F2" s="58"/>
      <c r="G2" s="58"/>
      <c r="H2" s="58"/>
      <c r="I2" s="58"/>
      <c r="J2" s="58"/>
      <c r="K2" s="58"/>
      <c r="L2" s="58"/>
      <c r="M2" s="58"/>
      <c r="N2" s="58"/>
      <c r="O2" s="58"/>
      <c r="P2" s="58"/>
      <c r="Q2" s="58"/>
    </row>
    <row r="3" spans="1:17" x14ac:dyDescent="0.2">
      <c r="A3" s="4"/>
      <c r="B3" s="59" t="s">
        <v>27</v>
      </c>
      <c r="C3" s="59"/>
      <c r="D3" s="59"/>
      <c r="E3" s="59"/>
      <c r="F3" s="59"/>
      <c r="G3" s="59"/>
      <c r="H3" s="59"/>
      <c r="I3" s="59"/>
      <c r="J3" s="60" t="s">
        <v>28</v>
      </c>
      <c r="K3" s="60"/>
      <c r="L3" s="60"/>
      <c r="M3" s="60"/>
      <c r="N3" s="60"/>
      <c r="O3" s="60"/>
      <c r="P3" s="60"/>
      <c r="Q3" s="60"/>
    </row>
    <row r="4" spans="1:17" x14ac:dyDescent="0.2">
      <c r="A4" s="4" t="s">
        <v>17</v>
      </c>
      <c r="B4" s="5" t="str">
        <f>'Demand Stage 2'!B4</f>
        <v>ST.FERGUS</v>
      </c>
      <c r="C4" s="5" t="str">
        <f>'Demand Stage 2'!C4</f>
        <v>EASINGTON</v>
      </c>
      <c r="D4" s="5" t="str">
        <f>'Demand Stage 2'!D4</f>
        <v>TEESSIDE</v>
      </c>
      <c r="E4" s="5" t="str">
        <f>'Demand Stage 2'!E4</f>
        <v>EMDEN</v>
      </c>
      <c r="F4" s="5" t="s">
        <v>334</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
        <v>334</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40</v>
      </c>
      <c r="F6" s="2">
        <f>'Demand Stage 2'!F44</f>
        <v>40</v>
      </c>
      <c r="G6" s="2">
        <f>'Demand Stage 2'!G44</f>
        <v>40</v>
      </c>
      <c r="H6" s="2">
        <f>'Demand Stage 2'!H44</f>
        <v>40</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40</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40</v>
      </c>
      <c r="F8" s="2">
        <f>'Demand Stage 2'!F46</f>
        <v>40</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f>'Demand Stage 2'!B47</f>
        <v>10</v>
      </c>
      <c r="C9" s="2">
        <f>'Demand Stage 2'!C47</f>
        <v>10</v>
      </c>
      <c r="D9" s="2">
        <f>'Demand Stage 2'!D47</f>
        <v>10</v>
      </c>
      <c r="E9" s="2">
        <f>'Demand Stage 2'!E47</f>
        <v>45</v>
      </c>
      <c r="F9" s="2">
        <f>'Demand Stage 2'!F47</f>
        <v>45</v>
      </c>
      <c r="G9" s="2">
        <f>'Demand Stage 2'!G47</f>
        <v>40</v>
      </c>
      <c r="H9" s="2">
        <f>'Demand Stage 2'!H47</f>
        <v>45</v>
      </c>
      <c r="I9" s="2">
        <f>'Demand Stage 2'!I47</f>
        <v>20</v>
      </c>
      <c r="J9" s="3">
        <v>0</v>
      </c>
      <c r="K9" s="3">
        <v>0</v>
      </c>
      <c r="L9" s="3">
        <v>0</v>
      </c>
      <c r="M9" s="3">
        <v>0</v>
      </c>
      <c r="N9" s="3">
        <v>0</v>
      </c>
      <c r="O9" s="3">
        <v>0</v>
      </c>
      <c r="P9" s="3">
        <v>0</v>
      </c>
      <c r="Q9" s="3">
        <v>0</v>
      </c>
    </row>
    <row r="10" spans="1:17" x14ac:dyDescent="0.2">
      <c r="A10" s="1">
        <v>5</v>
      </c>
      <c r="B10" s="2">
        <f>'Demand Stage 2'!B48</f>
        <v>10</v>
      </c>
      <c r="C10" s="2">
        <f>'Demand Stage 2'!C48</f>
        <v>10</v>
      </c>
      <c r="D10" s="2">
        <f>'Demand Stage 2'!D48</f>
        <v>10</v>
      </c>
      <c r="E10" s="2">
        <f>'Demand Stage 2'!E48</f>
        <v>40</v>
      </c>
      <c r="F10" s="2">
        <f>'Demand Stage 2'!F48</f>
        <v>40</v>
      </c>
      <c r="G10" s="2">
        <f>'Demand Stage 2'!G48</f>
        <v>40</v>
      </c>
      <c r="H10" s="2">
        <f>'Demand Stage 2'!H48</f>
        <v>35</v>
      </c>
      <c r="I10" s="2">
        <f>'Demand Stage 2'!I48</f>
        <v>20</v>
      </c>
      <c r="J10" s="3">
        <v>0</v>
      </c>
      <c r="K10" s="3">
        <v>0</v>
      </c>
      <c r="L10" s="3">
        <v>0</v>
      </c>
      <c r="M10" s="3">
        <v>0</v>
      </c>
      <c r="N10" s="3">
        <v>0</v>
      </c>
      <c r="O10" s="3">
        <v>0</v>
      </c>
      <c r="P10" s="3">
        <v>0</v>
      </c>
      <c r="Q10" s="3">
        <v>0</v>
      </c>
    </row>
    <row r="11" spans="1:17" x14ac:dyDescent="0.2">
      <c r="A11" s="1">
        <v>6</v>
      </c>
      <c r="B11" s="2">
        <f>'Demand Stage 2'!B49</f>
        <v>10</v>
      </c>
      <c r="C11" s="2">
        <f>'Demand Stage 2'!C49</f>
        <v>10</v>
      </c>
      <c r="D11" s="2">
        <f>'Demand Stage 2'!D49</f>
        <v>10</v>
      </c>
      <c r="E11" s="2">
        <f>'Demand Stage 2'!E49</f>
        <v>40</v>
      </c>
      <c r="F11" s="2">
        <f>'Demand Stage 2'!F49</f>
        <v>40</v>
      </c>
      <c r="G11" s="2">
        <f>'Demand Stage 2'!G49</f>
        <v>40</v>
      </c>
      <c r="H11" s="2">
        <f>'Demand Stage 2'!H49</f>
        <v>35</v>
      </c>
      <c r="I11" s="2">
        <f>'Demand Stage 2'!I49</f>
        <v>20</v>
      </c>
      <c r="J11" s="3">
        <v>0</v>
      </c>
      <c r="K11" s="3">
        <v>0</v>
      </c>
      <c r="L11" s="3">
        <v>0</v>
      </c>
      <c r="M11" s="3">
        <v>0</v>
      </c>
      <c r="N11" s="3">
        <v>0</v>
      </c>
      <c r="O11" s="3">
        <v>0</v>
      </c>
      <c r="P11" s="3">
        <v>0</v>
      </c>
      <c r="Q11" s="3">
        <v>0</v>
      </c>
    </row>
    <row r="12" spans="1:17" x14ac:dyDescent="0.2">
      <c r="A12" s="1">
        <v>7</v>
      </c>
      <c r="B12" s="2">
        <f>'Demand Stage 2'!B50</f>
        <v>10</v>
      </c>
      <c r="C12" s="2">
        <f>'Demand Stage 2'!C50</f>
        <v>10</v>
      </c>
      <c r="D12" s="2">
        <f>'Demand Stage 2'!D50</f>
        <v>10</v>
      </c>
      <c r="E12" s="2">
        <f>'Demand Stage 2'!E50</f>
        <v>45</v>
      </c>
      <c r="F12" s="2">
        <f>'Demand Stage 2'!F50</f>
        <v>45</v>
      </c>
      <c r="G12" s="2">
        <f>'Demand Stage 2'!G50</f>
        <v>40</v>
      </c>
      <c r="H12" s="2">
        <f>'Demand Stage 2'!H50</f>
        <v>40</v>
      </c>
      <c r="I12" s="2">
        <f>'Demand Stage 2'!I50</f>
        <v>20</v>
      </c>
      <c r="J12" s="3">
        <v>0</v>
      </c>
      <c r="K12" s="3">
        <v>0</v>
      </c>
      <c r="L12" s="3">
        <v>0</v>
      </c>
      <c r="M12" s="3">
        <v>0</v>
      </c>
      <c r="N12" s="3">
        <v>0</v>
      </c>
      <c r="O12" s="3">
        <v>0</v>
      </c>
      <c r="P12" s="3">
        <v>0</v>
      </c>
      <c r="Q12" s="3">
        <v>0</v>
      </c>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8"/>
  <sheetViews>
    <sheetView topLeftCell="A2" zoomScale="125" zoomScaleNormal="200" workbookViewId="0">
      <selection activeCell="BE38" sqref="BE38"/>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8">
        <v>9</v>
      </c>
      <c r="C1" s="58"/>
      <c r="D1" s="58"/>
      <c r="E1" s="58"/>
      <c r="F1" s="58"/>
      <c r="G1" s="58"/>
      <c r="H1" s="58"/>
      <c r="I1" s="58"/>
      <c r="J1" s="58"/>
      <c r="K1" s="58"/>
      <c r="L1" s="58"/>
      <c r="M1" s="58"/>
      <c r="N1" s="58"/>
      <c r="O1" s="58"/>
      <c r="P1" s="58"/>
      <c r="Q1" s="58"/>
      <c r="R1" s="58">
        <f>B1+Parameters!$B$7</f>
        <v>17</v>
      </c>
      <c r="S1" s="58"/>
      <c r="T1" s="58"/>
      <c r="U1" s="58"/>
      <c r="V1" s="58"/>
      <c r="W1" s="58"/>
      <c r="X1" s="58"/>
      <c r="Y1" s="58"/>
      <c r="Z1" s="58"/>
      <c r="AA1" s="58"/>
      <c r="AB1" s="58"/>
      <c r="AC1" s="58"/>
      <c r="AD1" s="58"/>
      <c r="AE1" s="58"/>
      <c r="AF1" s="58"/>
      <c r="AG1" s="58"/>
      <c r="AH1" s="58">
        <f>R1+Parameters!$B$7</f>
        <v>25</v>
      </c>
      <c r="AI1" s="58"/>
      <c r="AJ1" s="58"/>
      <c r="AK1" s="58"/>
      <c r="AL1" s="58"/>
      <c r="AM1" s="58"/>
      <c r="AN1" s="58"/>
      <c r="AO1" s="58"/>
      <c r="AP1" s="58"/>
      <c r="AQ1" s="58"/>
      <c r="AR1" s="58"/>
      <c r="AS1" s="58"/>
      <c r="AT1" s="58"/>
      <c r="AU1" s="58"/>
      <c r="AV1" s="58"/>
      <c r="AW1" s="58"/>
      <c r="AX1" s="58">
        <f>AH1+Parameters!$B$7</f>
        <v>33</v>
      </c>
      <c r="AY1" s="58"/>
      <c r="AZ1" s="58"/>
      <c r="BA1" s="58"/>
      <c r="BB1" s="58"/>
      <c r="BC1" s="58"/>
      <c r="BD1" s="58"/>
      <c r="BE1" s="58"/>
      <c r="BF1" s="58"/>
      <c r="BG1" s="58"/>
      <c r="BH1" s="58"/>
      <c r="BI1" s="58"/>
      <c r="BJ1" s="58"/>
      <c r="BK1" s="58"/>
      <c r="BL1" s="58"/>
      <c r="BM1" s="58"/>
    </row>
    <row r="2" spans="1:65" x14ac:dyDescent="0.2">
      <c r="A2" s="4" t="s">
        <v>26</v>
      </c>
      <c r="B2" s="58">
        <v>0.25</v>
      </c>
      <c r="C2" s="58"/>
      <c r="D2" s="58"/>
      <c r="E2" s="58"/>
      <c r="F2" s="58"/>
      <c r="G2" s="58"/>
      <c r="H2" s="58"/>
      <c r="I2" s="58"/>
      <c r="J2" s="58"/>
      <c r="K2" s="58"/>
      <c r="L2" s="58"/>
      <c r="M2" s="58"/>
      <c r="N2" s="58"/>
      <c r="O2" s="58"/>
      <c r="P2" s="58"/>
      <c r="Q2" s="58"/>
      <c r="R2" s="58">
        <f>B2</f>
        <v>0.25</v>
      </c>
      <c r="S2" s="58"/>
      <c r="T2" s="58"/>
      <c r="U2" s="58"/>
      <c r="V2" s="58"/>
      <c r="W2" s="58"/>
      <c r="X2" s="58"/>
      <c r="Y2" s="58"/>
      <c r="Z2" s="58"/>
      <c r="AA2" s="58"/>
      <c r="AB2" s="58"/>
      <c r="AC2" s="58"/>
      <c r="AD2" s="58"/>
      <c r="AE2" s="58"/>
      <c r="AF2" s="58"/>
      <c r="AG2" s="58"/>
      <c r="AH2" s="58">
        <f>B2</f>
        <v>0.25</v>
      </c>
      <c r="AI2" s="58"/>
      <c r="AJ2" s="58"/>
      <c r="AK2" s="58"/>
      <c r="AL2" s="58"/>
      <c r="AM2" s="58"/>
      <c r="AN2" s="58"/>
      <c r="AO2" s="58"/>
      <c r="AP2" s="58"/>
      <c r="AQ2" s="58"/>
      <c r="AR2" s="58"/>
      <c r="AS2" s="58"/>
      <c r="AT2" s="58"/>
      <c r="AU2" s="58"/>
      <c r="AV2" s="58"/>
      <c r="AW2" s="58"/>
      <c r="AX2" s="58">
        <f>B2</f>
        <v>0.25</v>
      </c>
      <c r="AY2" s="58"/>
      <c r="AZ2" s="58"/>
      <c r="BA2" s="58"/>
      <c r="BB2" s="58"/>
      <c r="BC2" s="58"/>
      <c r="BD2" s="58"/>
      <c r="BE2" s="58"/>
      <c r="BF2" s="58"/>
      <c r="BG2" s="58"/>
      <c r="BH2" s="58"/>
      <c r="BI2" s="58"/>
      <c r="BJ2" s="58"/>
      <c r="BK2" s="58"/>
      <c r="BL2" s="58"/>
      <c r="BM2" s="58"/>
    </row>
    <row r="3" spans="1:65" x14ac:dyDescent="0.2">
      <c r="A3" s="4"/>
      <c r="B3" s="59" t="s">
        <v>27</v>
      </c>
      <c r="C3" s="59"/>
      <c r="D3" s="59"/>
      <c r="E3" s="59"/>
      <c r="F3" s="59"/>
      <c r="G3" s="59"/>
      <c r="H3" s="59"/>
      <c r="I3" s="59"/>
      <c r="J3" s="60" t="s">
        <v>28</v>
      </c>
      <c r="K3" s="60"/>
      <c r="L3" s="60"/>
      <c r="M3" s="60"/>
      <c r="N3" s="60"/>
      <c r="O3" s="60"/>
      <c r="P3" s="60"/>
      <c r="Q3" s="60"/>
      <c r="R3" s="59" t="s">
        <v>27</v>
      </c>
      <c r="S3" s="59"/>
      <c r="T3" s="59"/>
      <c r="U3" s="59"/>
      <c r="V3" s="59"/>
      <c r="W3" s="59"/>
      <c r="X3" s="59"/>
      <c r="Y3" s="59"/>
      <c r="Z3" s="60" t="s">
        <v>28</v>
      </c>
      <c r="AA3" s="60"/>
      <c r="AB3" s="60"/>
      <c r="AC3" s="60"/>
      <c r="AD3" s="60"/>
      <c r="AE3" s="60"/>
      <c r="AF3" s="60"/>
      <c r="AG3" s="60"/>
      <c r="AH3" s="59" t="s">
        <v>27</v>
      </c>
      <c r="AI3" s="59"/>
      <c r="AJ3" s="59"/>
      <c r="AK3" s="59"/>
      <c r="AL3" s="59"/>
      <c r="AM3" s="59"/>
      <c r="AN3" s="59"/>
      <c r="AO3" s="59"/>
      <c r="AP3" s="60" t="s">
        <v>28</v>
      </c>
      <c r="AQ3" s="60"/>
      <c r="AR3" s="60"/>
      <c r="AS3" s="60"/>
      <c r="AT3" s="60"/>
      <c r="AU3" s="60"/>
      <c r="AV3" s="60"/>
      <c r="AW3" s="60"/>
      <c r="AX3" s="59" t="s">
        <v>27</v>
      </c>
      <c r="AY3" s="59"/>
      <c r="AZ3" s="59"/>
      <c r="BA3" s="59"/>
      <c r="BB3" s="59"/>
      <c r="BC3" s="59"/>
      <c r="BD3" s="59"/>
      <c r="BE3" s="59"/>
      <c r="BF3" s="60" t="s">
        <v>28</v>
      </c>
      <c r="BG3" s="60"/>
      <c r="BH3" s="60"/>
      <c r="BI3" s="60"/>
      <c r="BJ3" s="60"/>
      <c r="BK3" s="60"/>
      <c r="BL3" s="60"/>
      <c r="BM3" s="60"/>
    </row>
    <row r="4" spans="1:65" x14ac:dyDescent="0.2">
      <c r="A4" s="4" t="s">
        <v>17</v>
      </c>
      <c r="B4" s="5" t="s">
        <v>109</v>
      </c>
      <c r="C4" s="5" t="s">
        <v>119</v>
      </c>
      <c r="D4" s="5" t="s">
        <v>115</v>
      </c>
      <c r="E4" s="5" t="s">
        <v>120</v>
      </c>
      <c r="F4" s="5" t="s">
        <v>334</v>
      </c>
      <c r="G4" s="5" t="s">
        <v>121</v>
      </c>
      <c r="H4" s="5" t="s">
        <v>122</v>
      </c>
      <c r="I4" s="5" t="s">
        <v>117</v>
      </c>
      <c r="J4" s="6" t="str">
        <f>B4</f>
        <v>ST.FERGUS</v>
      </c>
      <c r="K4" s="6" t="str">
        <f t="shared" ref="K4:Q4" si="0">C4</f>
        <v>EASINGTON</v>
      </c>
      <c r="L4" s="6" t="str">
        <f t="shared" si="0"/>
        <v>TEESSIDE</v>
      </c>
      <c r="M4" s="6" t="str">
        <f t="shared" si="0"/>
        <v>EMDEN</v>
      </c>
      <c r="N4" s="6" t="str">
        <f t="shared" si="0"/>
        <v>DORNUM</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DORNUM</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DORNUM</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DORNUM</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DORNUM</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DORNUM</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DORNUM</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12"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12"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12"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12" si="11">B32+B44</f>
        <v>10</v>
      </c>
      <c r="C6" s="2">
        <f t="shared" si="11"/>
        <v>10</v>
      </c>
      <c r="D6" s="2">
        <f t="shared" si="11"/>
        <v>10</v>
      </c>
      <c r="E6" s="2">
        <f t="shared" si="11"/>
        <v>40</v>
      </c>
      <c r="F6" s="2">
        <f t="shared" si="11"/>
        <v>40</v>
      </c>
      <c r="G6" s="2">
        <f t="shared" si="11"/>
        <v>40</v>
      </c>
      <c r="H6" s="2">
        <f t="shared" si="11"/>
        <v>40</v>
      </c>
      <c r="I6" s="2">
        <f t="shared" si="11"/>
        <v>20</v>
      </c>
      <c r="J6" s="3">
        <v>0</v>
      </c>
      <c r="K6" s="3">
        <v>0</v>
      </c>
      <c r="L6" s="3">
        <v>0</v>
      </c>
      <c r="M6" s="3">
        <v>0</v>
      </c>
      <c r="N6" s="3">
        <v>0</v>
      </c>
      <c r="O6" s="3">
        <v>0</v>
      </c>
      <c r="P6" s="3">
        <v>0</v>
      </c>
      <c r="Q6" s="3">
        <v>0</v>
      </c>
      <c r="R6" s="2">
        <f t="shared" ref="R6:R12" si="12">R32+B44</f>
        <v>10</v>
      </c>
      <c r="S6" s="2">
        <f t="shared" si="8"/>
        <v>10</v>
      </c>
      <c r="T6" s="2">
        <f t="shared" si="8"/>
        <v>10</v>
      </c>
      <c r="U6" s="2">
        <f t="shared" si="8"/>
        <v>40</v>
      </c>
      <c r="V6" s="2">
        <f t="shared" si="8"/>
        <v>40</v>
      </c>
      <c r="W6" s="2">
        <f t="shared" si="8"/>
        <v>40</v>
      </c>
      <c r="X6" s="2">
        <f t="shared" si="8"/>
        <v>40</v>
      </c>
      <c r="Y6" s="2">
        <f t="shared" si="8"/>
        <v>20</v>
      </c>
      <c r="Z6" s="3">
        <v>0</v>
      </c>
      <c r="AA6" s="3">
        <v>0</v>
      </c>
      <c r="AB6" s="3">
        <v>0</v>
      </c>
      <c r="AC6" s="3">
        <v>0</v>
      </c>
      <c r="AD6" s="3">
        <v>0</v>
      </c>
      <c r="AE6" s="3">
        <v>0</v>
      </c>
      <c r="AF6" s="3">
        <v>0</v>
      </c>
      <c r="AG6" s="3">
        <v>0</v>
      </c>
      <c r="AH6" s="2">
        <f t="shared" ref="AH6:AH12" si="13">AH32+B44</f>
        <v>10</v>
      </c>
      <c r="AI6" s="2">
        <f t="shared" si="9"/>
        <v>10</v>
      </c>
      <c r="AJ6" s="2">
        <f t="shared" si="9"/>
        <v>10</v>
      </c>
      <c r="AK6" s="2">
        <f t="shared" si="9"/>
        <v>40</v>
      </c>
      <c r="AL6" s="2">
        <f t="shared" si="9"/>
        <v>40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12"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40</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40</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40</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40</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40</v>
      </c>
      <c r="F8" s="2">
        <f t="shared" si="11"/>
        <v>40</v>
      </c>
      <c r="G8" s="2">
        <f t="shared" si="11"/>
        <v>40</v>
      </c>
      <c r="H8" s="2">
        <f t="shared" si="11"/>
        <v>40</v>
      </c>
      <c r="I8" s="2">
        <f t="shared" si="11"/>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40</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40</v>
      </c>
      <c r="AL8" s="2">
        <f t="shared" si="9"/>
        <v>40</v>
      </c>
      <c r="AM8" s="2">
        <f t="shared" si="9"/>
        <v>40</v>
      </c>
      <c r="AN8" s="2">
        <f t="shared" si="9"/>
        <v>40</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40</v>
      </c>
      <c r="BE8" s="2">
        <f t="shared" si="10"/>
        <v>20</v>
      </c>
      <c r="BF8" s="3">
        <v>0</v>
      </c>
      <c r="BG8" s="3">
        <v>0</v>
      </c>
      <c r="BH8" s="3">
        <v>0</v>
      </c>
      <c r="BI8" s="3">
        <v>0</v>
      </c>
      <c r="BJ8" s="3">
        <v>0</v>
      </c>
      <c r="BK8" s="3">
        <v>0</v>
      </c>
      <c r="BL8" s="3">
        <v>0</v>
      </c>
      <c r="BM8" s="3">
        <v>0</v>
      </c>
    </row>
    <row r="9" spans="1:65" x14ac:dyDescent="0.2">
      <c r="A9" s="1">
        <v>4</v>
      </c>
      <c r="B9" s="2">
        <f t="shared" si="11"/>
        <v>10</v>
      </c>
      <c r="C9" s="2">
        <f t="shared" si="11"/>
        <v>10</v>
      </c>
      <c r="D9" s="2">
        <f t="shared" si="11"/>
        <v>10</v>
      </c>
      <c r="E9" s="2">
        <f t="shared" si="11"/>
        <v>50</v>
      </c>
      <c r="F9" s="2">
        <f t="shared" si="11"/>
        <v>50</v>
      </c>
      <c r="G9" s="2">
        <f t="shared" si="11"/>
        <v>40</v>
      </c>
      <c r="H9" s="2">
        <f t="shared" si="11"/>
        <v>50</v>
      </c>
      <c r="I9" s="2">
        <f t="shared" si="11"/>
        <v>20</v>
      </c>
      <c r="J9" s="3"/>
      <c r="K9" s="3"/>
      <c r="L9" s="3"/>
      <c r="M9" s="3"/>
      <c r="N9" s="3"/>
      <c r="O9" s="3"/>
      <c r="P9" s="3"/>
      <c r="Q9" s="3"/>
      <c r="R9" s="2">
        <f t="shared" si="12"/>
        <v>10</v>
      </c>
      <c r="S9" s="2">
        <f t="shared" si="8"/>
        <v>10</v>
      </c>
      <c r="T9" s="2">
        <f t="shared" si="8"/>
        <v>10</v>
      </c>
      <c r="U9" s="2">
        <f t="shared" si="8"/>
        <v>50</v>
      </c>
      <c r="V9" s="2">
        <f t="shared" si="8"/>
        <v>50</v>
      </c>
      <c r="W9" s="2">
        <f t="shared" si="8"/>
        <v>40</v>
      </c>
      <c r="X9" s="2">
        <f t="shared" si="8"/>
        <v>40</v>
      </c>
      <c r="Y9" s="2">
        <f t="shared" si="8"/>
        <v>20</v>
      </c>
      <c r="Z9" s="3"/>
      <c r="AA9" s="3"/>
      <c r="AB9" s="3"/>
      <c r="AC9" s="3"/>
      <c r="AD9" s="3"/>
      <c r="AE9" s="3"/>
      <c r="AF9" s="3"/>
      <c r="AG9" s="3"/>
      <c r="AH9" s="2">
        <f t="shared" si="13"/>
        <v>10</v>
      </c>
      <c r="AI9" s="2">
        <f t="shared" si="9"/>
        <v>10</v>
      </c>
      <c r="AJ9" s="2">
        <f t="shared" si="9"/>
        <v>10</v>
      </c>
      <c r="AK9" s="2">
        <f t="shared" si="9"/>
        <v>40</v>
      </c>
      <c r="AL9" s="2">
        <f t="shared" si="9"/>
        <v>40</v>
      </c>
      <c r="AM9" s="2">
        <f t="shared" si="9"/>
        <v>40</v>
      </c>
      <c r="AN9" s="2">
        <f t="shared" si="9"/>
        <v>50</v>
      </c>
      <c r="AO9" s="2">
        <f t="shared" si="9"/>
        <v>20</v>
      </c>
      <c r="AP9" s="3"/>
      <c r="AQ9" s="3"/>
      <c r="AR9" s="3"/>
      <c r="AS9" s="3"/>
      <c r="AT9" s="3"/>
      <c r="AU9" s="3"/>
      <c r="AV9" s="3"/>
      <c r="AW9" s="3"/>
      <c r="AX9" s="2">
        <f t="shared" si="16"/>
        <v>10</v>
      </c>
      <c r="AY9" s="2">
        <f t="shared" si="10"/>
        <v>10</v>
      </c>
      <c r="AZ9" s="2">
        <f t="shared" si="10"/>
        <v>10</v>
      </c>
      <c r="BA9" s="2">
        <f t="shared" si="10"/>
        <v>40</v>
      </c>
      <c r="BB9" s="2">
        <f t="shared" si="10"/>
        <v>40</v>
      </c>
      <c r="BC9" s="2">
        <f t="shared" si="10"/>
        <v>40</v>
      </c>
      <c r="BD9" s="2">
        <f t="shared" si="10"/>
        <v>40</v>
      </c>
      <c r="BE9" s="2">
        <f t="shared" si="10"/>
        <v>20</v>
      </c>
      <c r="BF9" s="3"/>
      <c r="BG9" s="3"/>
      <c r="BH9" s="3"/>
      <c r="BI9" s="3"/>
      <c r="BJ9" s="3"/>
      <c r="BK9" s="3"/>
      <c r="BL9" s="3"/>
      <c r="BM9" s="3"/>
    </row>
    <row r="10" spans="1:65" x14ac:dyDescent="0.2">
      <c r="A10" s="1">
        <v>5</v>
      </c>
      <c r="B10" s="2">
        <f t="shared" si="11"/>
        <v>10</v>
      </c>
      <c r="C10" s="2">
        <f t="shared" si="11"/>
        <v>10</v>
      </c>
      <c r="D10" s="2">
        <f t="shared" si="11"/>
        <v>10</v>
      </c>
      <c r="E10" s="2">
        <f t="shared" si="11"/>
        <v>40</v>
      </c>
      <c r="F10" s="2">
        <f t="shared" si="11"/>
        <v>40</v>
      </c>
      <c r="G10" s="2">
        <f t="shared" si="11"/>
        <v>40</v>
      </c>
      <c r="H10" s="2">
        <f t="shared" si="11"/>
        <v>35</v>
      </c>
      <c r="I10" s="2">
        <f t="shared" si="11"/>
        <v>20</v>
      </c>
      <c r="J10" s="3"/>
      <c r="K10" s="3"/>
      <c r="L10" s="3"/>
      <c r="M10" s="3"/>
      <c r="N10" s="3"/>
      <c r="O10" s="3"/>
      <c r="P10" s="3"/>
      <c r="Q10" s="3"/>
      <c r="R10" s="2">
        <f t="shared" si="12"/>
        <v>10</v>
      </c>
      <c r="S10" s="2">
        <f t="shared" si="8"/>
        <v>10</v>
      </c>
      <c r="T10" s="2">
        <f t="shared" si="8"/>
        <v>10</v>
      </c>
      <c r="U10" s="2">
        <f t="shared" si="8"/>
        <v>40</v>
      </c>
      <c r="V10" s="2">
        <f t="shared" si="8"/>
        <v>40</v>
      </c>
      <c r="W10" s="2">
        <f t="shared" si="8"/>
        <v>40</v>
      </c>
      <c r="X10" s="2">
        <f t="shared" si="8"/>
        <v>35</v>
      </c>
      <c r="Y10" s="2">
        <f t="shared" si="8"/>
        <v>20</v>
      </c>
      <c r="Z10" s="3"/>
      <c r="AA10" s="3"/>
      <c r="AB10" s="3"/>
      <c r="AC10" s="3"/>
      <c r="AD10" s="3"/>
      <c r="AE10" s="3"/>
      <c r="AF10" s="3"/>
      <c r="AG10" s="3"/>
      <c r="AH10" s="2">
        <f t="shared" si="13"/>
        <v>10</v>
      </c>
      <c r="AI10" s="2">
        <f t="shared" si="9"/>
        <v>10</v>
      </c>
      <c r="AJ10" s="2">
        <f t="shared" si="9"/>
        <v>10</v>
      </c>
      <c r="AK10" s="2">
        <f t="shared" si="9"/>
        <v>40</v>
      </c>
      <c r="AL10" s="2">
        <f t="shared" si="9"/>
        <v>40</v>
      </c>
      <c r="AM10" s="2">
        <f t="shared" si="9"/>
        <v>40</v>
      </c>
      <c r="AN10" s="2">
        <f t="shared" si="9"/>
        <v>35</v>
      </c>
      <c r="AO10" s="2">
        <f t="shared" si="9"/>
        <v>20</v>
      </c>
      <c r="AP10" s="3"/>
      <c r="AQ10" s="3"/>
      <c r="AR10" s="3"/>
      <c r="AS10" s="3"/>
      <c r="AT10" s="3"/>
      <c r="AU10" s="3"/>
      <c r="AV10" s="3"/>
      <c r="AW10" s="3"/>
      <c r="AX10" s="2">
        <f t="shared" si="16"/>
        <v>10</v>
      </c>
      <c r="AY10" s="2">
        <f t="shared" si="10"/>
        <v>10</v>
      </c>
      <c r="AZ10" s="2">
        <f t="shared" si="10"/>
        <v>10</v>
      </c>
      <c r="BA10" s="2">
        <f t="shared" si="10"/>
        <v>40</v>
      </c>
      <c r="BB10" s="2">
        <f t="shared" si="10"/>
        <v>40</v>
      </c>
      <c r="BC10" s="2">
        <f t="shared" si="10"/>
        <v>40</v>
      </c>
      <c r="BD10" s="2">
        <f t="shared" si="10"/>
        <v>35</v>
      </c>
      <c r="BE10" s="2">
        <f t="shared" si="10"/>
        <v>20</v>
      </c>
      <c r="BF10" s="3"/>
      <c r="BG10" s="3"/>
      <c r="BH10" s="3"/>
      <c r="BI10" s="3"/>
      <c r="BJ10" s="3"/>
      <c r="BK10" s="3"/>
      <c r="BL10" s="3"/>
      <c r="BM10" s="3"/>
    </row>
    <row r="11" spans="1:65" x14ac:dyDescent="0.2">
      <c r="A11" s="1">
        <v>6</v>
      </c>
      <c r="B11" s="2">
        <f t="shared" si="11"/>
        <v>10</v>
      </c>
      <c r="C11" s="2">
        <f t="shared" si="11"/>
        <v>10</v>
      </c>
      <c r="D11" s="2">
        <f t="shared" si="11"/>
        <v>10</v>
      </c>
      <c r="E11" s="2">
        <f t="shared" si="11"/>
        <v>40</v>
      </c>
      <c r="F11" s="2">
        <f t="shared" si="11"/>
        <v>40</v>
      </c>
      <c r="G11" s="2">
        <f t="shared" si="11"/>
        <v>40</v>
      </c>
      <c r="H11" s="2">
        <f t="shared" si="11"/>
        <v>35</v>
      </c>
      <c r="I11" s="2">
        <f t="shared" si="11"/>
        <v>20</v>
      </c>
      <c r="J11" s="3"/>
      <c r="K11" s="3"/>
      <c r="L11" s="3"/>
      <c r="M11" s="3"/>
      <c r="N11" s="3"/>
      <c r="O11" s="3"/>
      <c r="P11" s="3"/>
      <c r="Q11" s="3"/>
      <c r="R11" s="2">
        <f t="shared" si="12"/>
        <v>10</v>
      </c>
      <c r="S11" s="2">
        <f t="shared" si="8"/>
        <v>10</v>
      </c>
      <c r="T11" s="2">
        <f t="shared" si="8"/>
        <v>10</v>
      </c>
      <c r="U11" s="2">
        <f t="shared" si="8"/>
        <v>40</v>
      </c>
      <c r="V11" s="2">
        <f t="shared" si="8"/>
        <v>40</v>
      </c>
      <c r="W11" s="2">
        <f t="shared" si="8"/>
        <v>40</v>
      </c>
      <c r="X11" s="2">
        <f t="shared" si="8"/>
        <v>35</v>
      </c>
      <c r="Y11" s="2">
        <f t="shared" si="8"/>
        <v>20</v>
      </c>
      <c r="Z11" s="3"/>
      <c r="AA11" s="3"/>
      <c r="AB11" s="3"/>
      <c r="AC11" s="3"/>
      <c r="AD11" s="3"/>
      <c r="AE11" s="3"/>
      <c r="AF11" s="3"/>
      <c r="AG11" s="3"/>
      <c r="AH11" s="2">
        <f t="shared" si="13"/>
        <v>10</v>
      </c>
      <c r="AI11" s="2">
        <f t="shared" si="9"/>
        <v>10</v>
      </c>
      <c r="AJ11" s="2">
        <f t="shared" si="9"/>
        <v>10</v>
      </c>
      <c r="AK11" s="2">
        <f t="shared" si="9"/>
        <v>40</v>
      </c>
      <c r="AL11" s="2">
        <f t="shared" si="9"/>
        <v>40</v>
      </c>
      <c r="AM11" s="2">
        <f t="shared" si="9"/>
        <v>40</v>
      </c>
      <c r="AN11" s="2">
        <f t="shared" si="9"/>
        <v>35</v>
      </c>
      <c r="AO11" s="2">
        <f t="shared" si="9"/>
        <v>20</v>
      </c>
      <c r="AP11" s="3"/>
      <c r="AQ11" s="3"/>
      <c r="AR11" s="3"/>
      <c r="AS11" s="3"/>
      <c r="AT11" s="3"/>
      <c r="AU11" s="3"/>
      <c r="AV11" s="3"/>
      <c r="AW11" s="3"/>
      <c r="AX11" s="2">
        <f t="shared" si="16"/>
        <v>10</v>
      </c>
      <c r="AY11" s="2">
        <f t="shared" si="10"/>
        <v>10</v>
      </c>
      <c r="AZ11" s="2">
        <f t="shared" si="10"/>
        <v>10</v>
      </c>
      <c r="BA11" s="2">
        <f t="shared" si="10"/>
        <v>40</v>
      </c>
      <c r="BB11" s="2">
        <f t="shared" si="10"/>
        <v>40</v>
      </c>
      <c r="BC11" s="2">
        <f t="shared" si="10"/>
        <v>40</v>
      </c>
      <c r="BD11" s="2">
        <f t="shared" si="10"/>
        <v>35</v>
      </c>
      <c r="BE11" s="2">
        <f t="shared" si="10"/>
        <v>20</v>
      </c>
      <c r="BF11" s="3"/>
      <c r="BG11" s="3"/>
      <c r="BH11" s="3"/>
      <c r="BI11" s="3"/>
      <c r="BJ11" s="3"/>
      <c r="BK11" s="3"/>
      <c r="BL11" s="3"/>
      <c r="BM11" s="3"/>
    </row>
    <row r="12" spans="1:65" x14ac:dyDescent="0.2">
      <c r="A12" s="1">
        <v>7</v>
      </c>
      <c r="B12" s="2">
        <f t="shared" si="11"/>
        <v>10</v>
      </c>
      <c r="C12" s="2">
        <f t="shared" si="11"/>
        <v>10</v>
      </c>
      <c r="D12" s="2">
        <f t="shared" si="11"/>
        <v>10</v>
      </c>
      <c r="E12" s="2">
        <f t="shared" si="11"/>
        <v>50</v>
      </c>
      <c r="F12" s="2">
        <f t="shared" si="11"/>
        <v>50</v>
      </c>
      <c r="G12" s="2">
        <f t="shared" si="11"/>
        <v>40</v>
      </c>
      <c r="H12" s="2">
        <f t="shared" si="11"/>
        <v>45</v>
      </c>
      <c r="I12" s="2">
        <f t="shared" si="11"/>
        <v>20</v>
      </c>
      <c r="J12" s="3"/>
      <c r="K12" s="3"/>
      <c r="L12" s="3"/>
      <c r="M12" s="3"/>
      <c r="N12" s="3"/>
      <c r="O12" s="3"/>
      <c r="P12" s="3"/>
      <c r="Q12" s="3"/>
      <c r="R12" s="2">
        <f t="shared" si="12"/>
        <v>10</v>
      </c>
      <c r="S12" s="2">
        <f t="shared" si="8"/>
        <v>10</v>
      </c>
      <c r="T12" s="2">
        <f t="shared" si="8"/>
        <v>10</v>
      </c>
      <c r="U12" s="2">
        <f t="shared" si="8"/>
        <v>50</v>
      </c>
      <c r="V12" s="2">
        <f t="shared" si="8"/>
        <v>50</v>
      </c>
      <c r="W12" s="2">
        <f t="shared" si="8"/>
        <v>40</v>
      </c>
      <c r="X12" s="2">
        <f t="shared" si="8"/>
        <v>35</v>
      </c>
      <c r="Y12" s="2">
        <f t="shared" si="8"/>
        <v>20</v>
      </c>
      <c r="Z12" s="3"/>
      <c r="AA12" s="3"/>
      <c r="AB12" s="3"/>
      <c r="AC12" s="3"/>
      <c r="AD12" s="3"/>
      <c r="AE12" s="3"/>
      <c r="AF12" s="3"/>
      <c r="AG12" s="3"/>
      <c r="AH12" s="2">
        <f t="shared" si="13"/>
        <v>10</v>
      </c>
      <c r="AI12" s="2">
        <f t="shared" si="9"/>
        <v>10</v>
      </c>
      <c r="AJ12" s="2">
        <f t="shared" si="9"/>
        <v>10</v>
      </c>
      <c r="AK12" s="2">
        <f t="shared" si="9"/>
        <v>40</v>
      </c>
      <c r="AL12" s="2">
        <f t="shared" si="9"/>
        <v>40</v>
      </c>
      <c r="AM12" s="2">
        <f t="shared" si="9"/>
        <v>40</v>
      </c>
      <c r="AN12" s="2">
        <f t="shared" si="9"/>
        <v>45</v>
      </c>
      <c r="AO12" s="2">
        <f t="shared" si="9"/>
        <v>20</v>
      </c>
      <c r="AP12" s="3"/>
      <c r="AQ12" s="3"/>
      <c r="AR12" s="3"/>
      <c r="AS12" s="3"/>
      <c r="AT12" s="3"/>
      <c r="AU12" s="3"/>
      <c r="AV12" s="3"/>
      <c r="AW12" s="3"/>
      <c r="AX12" s="2">
        <f t="shared" si="16"/>
        <v>10</v>
      </c>
      <c r="AY12" s="2">
        <f t="shared" si="10"/>
        <v>10</v>
      </c>
      <c r="AZ12" s="2">
        <f t="shared" si="10"/>
        <v>10</v>
      </c>
      <c r="BA12" s="2">
        <f t="shared" si="10"/>
        <v>40</v>
      </c>
      <c r="BB12" s="2">
        <f t="shared" si="10"/>
        <v>40</v>
      </c>
      <c r="BC12" s="2">
        <f t="shared" si="10"/>
        <v>40</v>
      </c>
      <c r="BD12" s="2">
        <f t="shared" si="10"/>
        <v>35</v>
      </c>
      <c r="BE12" s="2">
        <f t="shared" si="10"/>
        <v>20</v>
      </c>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208</v>
      </c>
    </row>
    <row r="31" spans="1:65" x14ac:dyDescent="0.2">
      <c r="A31">
        <v>0</v>
      </c>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A32">
        <v>1</v>
      </c>
      <c r="B32">
        <v>0</v>
      </c>
      <c r="C32">
        <v>0</v>
      </c>
      <c r="D32">
        <v>0</v>
      </c>
      <c r="E32">
        <v>0</v>
      </c>
      <c r="F32">
        <v>0</v>
      </c>
      <c r="G32">
        <v>0</v>
      </c>
      <c r="H32">
        <v>0</v>
      </c>
      <c r="I32">
        <v>0</v>
      </c>
      <c r="R32">
        <v>0</v>
      </c>
      <c r="S32">
        <v>0</v>
      </c>
      <c r="T32">
        <v>0</v>
      </c>
      <c r="U32">
        <v>0</v>
      </c>
      <c r="V32">
        <v>0</v>
      </c>
      <c r="W32">
        <v>0</v>
      </c>
      <c r="X32">
        <v>0</v>
      </c>
      <c r="Y32">
        <v>0</v>
      </c>
      <c r="AH32">
        <v>0</v>
      </c>
      <c r="AI32">
        <v>0</v>
      </c>
      <c r="AJ32">
        <v>0</v>
      </c>
      <c r="AK32">
        <v>0</v>
      </c>
      <c r="AL32">
        <v>0</v>
      </c>
      <c r="AM32">
        <v>0</v>
      </c>
      <c r="AN32">
        <v>0</v>
      </c>
      <c r="AO32">
        <v>0</v>
      </c>
      <c r="AX32">
        <v>0</v>
      </c>
      <c r="AY32">
        <v>0</v>
      </c>
      <c r="AZ32">
        <v>0</v>
      </c>
      <c r="BA32">
        <v>0</v>
      </c>
      <c r="BB32">
        <v>0</v>
      </c>
      <c r="BC32">
        <v>0</v>
      </c>
      <c r="BD32">
        <v>0</v>
      </c>
      <c r="BE32">
        <v>0</v>
      </c>
    </row>
    <row r="33" spans="1:57" x14ac:dyDescent="0.2">
      <c r="A33">
        <v>2</v>
      </c>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1:57" x14ac:dyDescent="0.2">
      <c r="A34">
        <v>3</v>
      </c>
      <c r="B34">
        <v>0</v>
      </c>
      <c r="C34">
        <v>0</v>
      </c>
      <c r="D34">
        <v>0</v>
      </c>
      <c r="E34">
        <v>0</v>
      </c>
      <c r="F34">
        <v>0</v>
      </c>
      <c r="G34">
        <v>0</v>
      </c>
      <c r="H34">
        <v>0</v>
      </c>
      <c r="I34">
        <v>0</v>
      </c>
      <c r="R34">
        <v>0</v>
      </c>
      <c r="S34">
        <v>0</v>
      </c>
      <c r="T34">
        <v>0</v>
      </c>
      <c r="U34">
        <v>0</v>
      </c>
      <c r="V34">
        <v>0</v>
      </c>
      <c r="W34">
        <v>0</v>
      </c>
      <c r="X34">
        <v>0</v>
      </c>
      <c r="Y34">
        <v>0</v>
      </c>
      <c r="AH34">
        <v>0</v>
      </c>
      <c r="AI34">
        <v>0</v>
      </c>
      <c r="AJ34">
        <v>0</v>
      </c>
      <c r="AK34">
        <v>0</v>
      </c>
      <c r="AL34">
        <v>0</v>
      </c>
      <c r="AM34">
        <v>0</v>
      </c>
      <c r="AN34">
        <v>0</v>
      </c>
      <c r="AO34">
        <v>0</v>
      </c>
      <c r="AX34">
        <v>0</v>
      </c>
      <c r="AY34">
        <v>0</v>
      </c>
      <c r="AZ34">
        <v>0</v>
      </c>
      <c r="BA34">
        <v>0</v>
      </c>
      <c r="BB34">
        <v>0</v>
      </c>
      <c r="BC34">
        <v>0</v>
      </c>
      <c r="BD34">
        <v>0</v>
      </c>
      <c r="BE34">
        <v>0</v>
      </c>
    </row>
    <row r="35" spans="1:57" x14ac:dyDescent="0.2">
      <c r="A35">
        <v>4</v>
      </c>
      <c r="B35">
        <v>0</v>
      </c>
      <c r="C35">
        <v>0</v>
      </c>
      <c r="D35">
        <v>0</v>
      </c>
      <c r="E35">
        <v>5</v>
      </c>
      <c r="F35">
        <v>5</v>
      </c>
      <c r="G35">
        <v>0</v>
      </c>
      <c r="H35">
        <v>5</v>
      </c>
      <c r="I35">
        <v>0</v>
      </c>
      <c r="R35">
        <v>0</v>
      </c>
      <c r="S35">
        <v>0</v>
      </c>
      <c r="T35">
        <v>0</v>
      </c>
      <c r="U35">
        <v>5</v>
      </c>
      <c r="V35">
        <v>5</v>
      </c>
      <c r="W35">
        <v>0</v>
      </c>
      <c r="X35">
        <v>-5</v>
      </c>
      <c r="Y35">
        <v>0</v>
      </c>
      <c r="AH35">
        <v>0</v>
      </c>
      <c r="AI35">
        <v>0</v>
      </c>
      <c r="AJ35">
        <v>0</v>
      </c>
      <c r="AK35">
        <v>-5</v>
      </c>
      <c r="AL35">
        <v>-5</v>
      </c>
      <c r="AM35">
        <v>0</v>
      </c>
      <c r="AN35">
        <v>5</v>
      </c>
      <c r="AO35">
        <v>0</v>
      </c>
      <c r="AX35">
        <v>0</v>
      </c>
      <c r="AY35">
        <v>0</v>
      </c>
      <c r="AZ35">
        <v>0</v>
      </c>
      <c r="BA35">
        <v>-5</v>
      </c>
      <c r="BB35">
        <v>-5</v>
      </c>
      <c r="BC35">
        <v>0</v>
      </c>
      <c r="BD35">
        <v>-5</v>
      </c>
      <c r="BE35">
        <v>0</v>
      </c>
    </row>
    <row r="36" spans="1:57" x14ac:dyDescent="0.2">
      <c r="A36">
        <v>5</v>
      </c>
      <c r="B36">
        <v>0</v>
      </c>
      <c r="C36">
        <v>0</v>
      </c>
      <c r="D36">
        <v>0</v>
      </c>
      <c r="E36">
        <v>0</v>
      </c>
      <c r="F36">
        <v>0</v>
      </c>
      <c r="G36">
        <v>0</v>
      </c>
      <c r="H36">
        <v>0</v>
      </c>
      <c r="I36">
        <v>0</v>
      </c>
      <c r="R36">
        <v>0</v>
      </c>
      <c r="S36">
        <v>0</v>
      </c>
      <c r="T36">
        <v>0</v>
      </c>
      <c r="U36">
        <v>0</v>
      </c>
      <c r="V36">
        <v>0</v>
      </c>
      <c r="W36">
        <v>0</v>
      </c>
      <c r="X36">
        <v>0</v>
      </c>
      <c r="Y36">
        <v>0</v>
      </c>
      <c r="AH36">
        <v>0</v>
      </c>
      <c r="AI36">
        <v>0</v>
      </c>
      <c r="AJ36">
        <v>0</v>
      </c>
      <c r="AK36">
        <v>0</v>
      </c>
      <c r="AL36">
        <v>0</v>
      </c>
      <c r="AM36">
        <v>0</v>
      </c>
      <c r="AN36">
        <v>0</v>
      </c>
      <c r="AO36">
        <v>0</v>
      </c>
      <c r="AX36">
        <v>0</v>
      </c>
      <c r="AY36">
        <v>0</v>
      </c>
      <c r="AZ36">
        <v>0</v>
      </c>
      <c r="BA36">
        <v>0</v>
      </c>
      <c r="BB36">
        <v>0</v>
      </c>
      <c r="BC36">
        <v>0</v>
      </c>
      <c r="BD36">
        <v>0</v>
      </c>
      <c r="BE36">
        <v>0</v>
      </c>
    </row>
    <row r="37" spans="1:57" x14ac:dyDescent="0.2">
      <c r="A37">
        <v>6</v>
      </c>
      <c r="B37">
        <v>0</v>
      </c>
      <c r="C37">
        <v>0</v>
      </c>
      <c r="D37">
        <v>0</v>
      </c>
      <c r="E37">
        <v>0</v>
      </c>
      <c r="F37">
        <v>0</v>
      </c>
      <c r="G37">
        <v>0</v>
      </c>
      <c r="H37">
        <v>0</v>
      </c>
      <c r="I37">
        <v>0</v>
      </c>
      <c r="R37">
        <v>0</v>
      </c>
      <c r="S37">
        <v>0</v>
      </c>
      <c r="T37">
        <v>0</v>
      </c>
      <c r="U37">
        <v>0</v>
      </c>
      <c r="V37">
        <v>0</v>
      </c>
      <c r="W37">
        <v>0</v>
      </c>
      <c r="X37">
        <v>0</v>
      </c>
      <c r="Y37">
        <v>0</v>
      </c>
      <c r="AH37">
        <v>0</v>
      </c>
      <c r="AI37">
        <v>0</v>
      </c>
      <c r="AJ37">
        <v>0</v>
      </c>
      <c r="AK37">
        <v>0</v>
      </c>
      <c r="AL37">
        <v>0</v>
      </c>
      <c r="AM37">
        <v>0</v>
      </c>
      <c r="AN37">
        <v>0</v>
      </c>
      <c r="AO37">
        <v>0</v>
      </c>
      <c r="AX37">
        <v>0</v>
      </c>
      <c r="AY37">
        <v>0</v>
      </c>
      <c r="AZ37">
        <v>0</v>
      </c>
      <c r="BA37">
        <v>0</v>
      </c>
      <c r="BB37">
        <v>0</v>
      </c>
      <c r="BC37">
        <v>0</v>
      </c>
      <c r="BD37">
        <v>0</v>
      </c>
      <c r="BE37">
        <v>0</v>
      </c>
    </row>
    <row r="38" spans="1:57" x14ac:dyDescent="0.2">
      <c r="A38">
        <v>7</v>
      </c>
      <c r="B38">
        <v>0</v>
      </c>
      <c r="C38">
        <v>0</v>
      </c>
      <c r="D38">
        <v>0</v>
      </c>
      <c r="E38">
        <v>5</v>
      </c>
      <c r="F38">
        <v>5</v>
      </c>
      <c r="G38">
        <v>0</v>
      </c>
      <c r="H38">
        <v>5</v>
      </c>
      <c r="I38">
        <v>0</v>
      </c>
      <c r="R38">
        <v>0</v>
      </c>
      <c r="S38">
        <v>0</v>
      </c>
      <c r="T38">
        <v>0</v>
      </c>
      <c r="U38">
        <v>5</v>
      </c>
      <c r="V38">
        <v>5</v>
      </c>
      <c r="W38">
        <v>0</v>
      </c>
      <c r="X38">
        <v>-5</v>
      </c>
      <c r="Y38">
        <v>0</v>
      </c>
      <c r="AH38">
        <v>0</v>
      </c>
      <c r="AI38">
        <v>0</v>
      </c>
      <c r="AJ38">
        <v>0</v>
      </c>
      <c r="AK38">
        <v>-5</v>
      </c>
      <c r="AL38">
        <v>-5</v>
      </c>
      <c r="AM38">
        <v>0</v>
      </c>
      <c r="AN38">
        <v>5</v>
      </c>
      <c r="AO38">
        <v>0</v>
      </c>
      <c r="AX38">
        <v>0</v>
      </c>
      <c r="AY38">
        <v>0</v>
      </c>
      <c r="AZ38">
        <v>0</v>
      </c>
      <c r="BA38">
        <v>-5</v>
      </c>
      <c r="BB38">
        <v>-5</v>
      </c>
      <c r="BC38">
        <v>0</v>
      </c>
      <c r="BD38">
        <v>-5</v>
      </c>
      <c r="BE38">
        <v>0</v>
      </c>
    </row>
    <row r="41" spans="1:57" x14ac:dyDescent="0.2">
      <c r="H41" s="8" t="s">
        <v>217</v>
      </c>
      <c r="I41">
        <f>SUM(B2:BM2)</f>
        <v>1</v>
      </c>
    </row>
    <row r="42" spans="1:57" x14ac:dyDescent="0.2">
      <c r="B42" s="8" t="s">
        <v>73</v>
      </c>
    </row>
    <row r="43" spans="1:57" x14ac:dyDescent="0.2">
      <c r="B43" s="2">
        <v>10</v>
      </c>
      <c r="C43" s="2">
        <v>10</v>
      </c>
      <c r="D43" s="2">
        <v>10</v>
      </c>
      <c r="E43" s="2">
        <v>40</v>
      </c>
      <c r="F43" s="2">
        <v>40</v>
      </c>
      <c r="G43" s="2">
        <v>40</v>
      </c>
      <c r="H43" s="2">
        <v>40</v>
      </c>
      <c r="I43" s="2">
        <v>20</v>
      </c>
      <c r="K43">
        <f>SUM(B43:I43)</f>
        <v>210</v>
      </c>
    </row>
    <row r="44" spans="1:57" x14ac:dyDescent="0.2">
      <c r="B44" s="2">
        <v>10</v>
      </c>
      <c r="C44" s="2">
        <v>10</v>
      </c>
      <c r="D44" s="2">
        <v>10</v>
      </c>
      <c r="E44" s="2">
        <v>40</v>
      </c>
      <c r="F44" s="2">
        <v>40</v>
      </c>
      <c r="G44" s="2">
        <v>40</v>
      </c>
      <c r="H44" s="2">
        <v>40</v>
      </c>
      <c r="I44" s="2">
        <v>20</v>
      </c>
    </row>
    <row r="45" spans="1:57" x14ac:dyDescent="0.2">
      <c r="B45" s="2">
        <v>10</v>
      </c>
      <c r="C45" s="2">
        <v>10</v>
      </c>
      <c r="D45" s="2">
        <v>10</v>
      </c>
      <c r="E45" s="2">
        <v>40</v>
      </c>
      <c r="F45" s="2">
        <v>40</v>
      </c>
      <c r="G45" s="2">
        <v>40</v>
      </c>
      <c r="H45" s="2">
        <v>40</v>
      </c>
      <c r="I45" s="2">
        <v>20</v>
      </c>
    </row>
    <row r="46" spans="1:57" x14ac:dyDescent="0.2">
      <c r="B46" s="2">
        <v>10</v>
      </c>
      <c r="C46" s="2">
        <v>10</v>
      </c>
      <c r="D46" s="2">
        <v>10</v>
      </c>
      <c r="E46" s="2">
        <v>40</v>
      </c>
      <c r="F46" s="2">
        <v>40</v>
      </c>
      <c r="G46" s="2">
        <v>40</v>
      </c>
      <c r="H46" s="2">
        <v>40</v>
      </c>
      <c r="I46" s="2">
        <v>20</v>
      </c>
    </row>
    <row r="47" spans="1:57" x14ac:dyDescent="0.2">
      <c r="B47" s="2">
        <v>10</v>
      </c>
      <c r="C47" s="2">
        <v>10</v>
      </c>
      <c r="D47" s="2">
        <v>10</v>
      </c>
      <c r="E47" s="2">
        <v>45</v>
      </c>
      <c r="F47" s="2">
        <v>45</v>
      </c>
      <c r="G47" s="2">
        <v>40</v>
      </c>
      <c r="H47" s="2">
        <v>45</v>
      </c>
      <c r="I47" s="2">
        <v>20</v>
      </c>
      <c r="K47">
        <f t="shared" ref="K47:K50" si="17">SUM(B47:I47)</f>
        <v>225</v>
      </c>
    </row>
    <row r="48" spans="1:57" x14ac:dyDescent="0.2">
      <c r="B48" s="2">
        <v>10</v>
      </c>
      <c r="C48" s="2">
        <v>10</v>
      </c>
      <c r="D48" s="2">
        <v>10</v>
      </c>
      <c r="E48" s="2">
        <v>40</v>
      </c>
      <c r="F48" s="2">
        <v>40</v>
      </c>
      <c r="G48" s="2">
        <v>40</v>
      </c>
      <c r="H48" s="2">
        <v>35</v>
      </c>
      <c r="I48" s="2">
        <v>20</v>
      </c>
      <c r="K48">
        <f t="shared" si="17"/>
        <v>205</v>
      </c>
    </row>
    <row r="49" spans="2:11" x14ac:dyDescent="0.2">
      <c r="B49" s="2">
        <v>10</v>
      </c>
      <c r="C49" s="2">
        <v>10</v>
      </c>
      <c r="D49" s="2">
        <v>10</v>
      </c>
      <c r="E49" s="2">
        <v>40</v>
      </c>
      <c r="F49" s="2">
        <v>40</v>
      </c>
      <c r="G49" s="2">
        <v>40</v>
      </c>
      <c r="H49" s="2">
        <v>35</v>
      </c>
      <c r="I49" s="2">
        <v>20</v>
      </c>
    </row>
    <row r="50" spans="2:11" x14ac:dyDescent="0.2">
      <c r="B50" s="2">
        <v>10</v>
      </c>
      <c r="C50" s="2">
        <v>10</v>
      </c>
      <c r="D50" s="2">
        <v>10</v>
      </c>
      <c r="E50" s="2">
        <v>45</v>
      </c>
      <c r="F50" s="2">
        <v>45</v>
      </c>
      <c r="G50" s="2">
        <v>40</v>
      </c>
      <c r="H50" s="2">
        <v>40</v>
      </c>
      <c r="I50" s="2">
        <v>20</v>
      </c>
      <c r="K50">
        <f t="shared" si="17"/>
        <v>220</v>
      </c>
    </row>
    <row r="51" spans="2:11" x14ac:dyDescent="0.2">
      <c r="G51" s="24"/>
      <c r="H51" s="24"/>
    </row>
    <row r="53" spans="2:11" x14ac:dyDescent="0.2">
      <c r="B53" s="8" t="s">
        <v>209</v>
      </c>
    </row>
    <row r="54" spans="2:11" x14ac:dyDescent="0.2">
      <c r="B54" t="s">
        <v>200</v>
      </c>
      <c r="C54" t="s">
        <v>201</v>
      </c>
      <c r="D54" t="s">
        <v>202</v>
      </c>
      <c r="E54" t="s">
        <v>203</v>
      </c>
      <c r="F54" t="s">
        <v>204</v>
      </c>
    </row>
    <row r="55" spans="2:11" x14ac:dyDescent="0.2">
      <c r="B55" s="25">
        <v>30</v>
      </c>
      <c r="C55" s="25">
        <v>80</v>
      </c>
      <c r="D55" s="25">
        <v>40</v>
      </c>
      <c r="E55" s="25">
        <v>40</v>
      </c>
    </row>
    <row r="56" spans="2:11" x14ac:dyDescent="0.2">
      <c r="B56" s="25">
        <v>30</v>
      </c>
      <c r="C56" s="25">
        <v>90</v>
      </c>
      <c r="D56" s="25">
        <v>40</v>
      </c>
      <c r="E56" s="25">
        <v>45</v>
      </c>
    </row>
    <row r="57" spans="2:11" x14ac:dyDescent="0.2">
      <c r="B57" s="25">
        <v>30</v>
      </c>
      <c r="C57" s="25">
        <v>80</v>
      </c>
      <c r="D57" s="25">
        <v>40</v>
      </c>
      <c r="E57" s="25">
        <v>35</v>
      </c>
    </row>
    <row r="58" spans="2:11" x14ac:dyDescent="0.2">
      <c r="B58" s="25">
        <v>30</v>
      </c>
      <c r="C58" s="25">
        <v>90</v>
      </c>
      <c r="D58" s="25">
        <v>40</v>
      </c>
      <c r="E58"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130" zoomScaleNormal="130" workbookViewId="0">
      <selection activeCell="BQ6" sqref="BQ6"/>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8">
        <f>(Parameters!B8+1)*Parameters!B7 + 1</f>
        <v>41</v>
      </c>
      <c r="C1" s="58"/>
      <c r="D1" s="58"/>
      <c r="E1" s="58"/>
      <c r="F1" s="58"/>
      <c r="G1" s="58"/>
      <c r="H1" s="58"/>
      <c r="I1" s="58"/>
      <c r="J1" s="58"/>
      <c r="K1" s="58"/>
      <c r="L1" s="58"/>
      <c r="M1" s="58"/>
      <c r="N1" s="58"/>
      <c r="O1" s="58"/>
      <c r="P1" s="58"/>
      <c r="Q1" s="58"/>
      <c r="R1" s="58">
        <f>B1+Parameters!$B$7</f>
        <v>49</v>
      </c>
      <c r="S1" s="58"/>
      <c r="T1" s="58"/>
      <c r="U1" s="58"/>
      <c r="V1" s="58"/>
      <c r="W1" s="58"/>
      <c r="X1" s="58"/>
      <c r="Y1" s="58"/>
      <c r="Z1" s="58"/>
      <c r="AA1" s="58"/>
      <c r="AB1" s="58"/>
      <c r="AC1" s="58"/>
      <c r="AD1" s="58"/>
      <c r="AE1" s="58"/>
      <c r="AF1" s="58"/>
      <c r="AG1" s="58"/>
      <c r="AH1" s="58">
        <f>R1+Parameters!$B$7</f>
        <v>57</v>
      </c>
      <c r="AI1" s="58"/>
      <c r="AJ1" s="58"/>
      <c r="AK1" s="58"/>
      <c r="AL1" s="58"/>
      <c r="AM1" s="58"/>
      <c r="AN1" s="58"/>
      <c r="AO1" s="58"/>
      <c r="AP1" s="58"/>
      <c r="AQ1" s="58"/>
      <c r="AR1" s="58"/>
      <c r="AS1" s="58"/>
      <c r="AT1" s="58"/>
      <c r="AU1" s="58"/>
      <c r="AV1" s="58"/>
      <c r="AW1" s="58"/>
      <c r="AX1" s="58">
        <f>AH1+Parameters!$B$7</f>
        <v>65</v>
      </c>
      <c r="AY1" s="58"/>
      <c r="AZ1" s="58"/>
      <c r="BA1" s="58"/>
      <c r="BB1" s="58"/>
      <c r="BC1" s="58"/>
      <c r="BD1" s="58"/>
      <c r="BE1" s="58"/>
      <c r="BF1" s="58"/>
      <c r="BG1" s="58"/>
      <c r="BH1" s="58"/>
      <c r="BI1" s="58"/>
      <c r="BJ1" s="58"/>
      <c r="BK1" s="58"/>
      <c r="BL1" s="58"/>
      <c r="BM1" s="58"/>
      <c r="BN1" s="58">
        <f>AX1+Parameters!$B$7</f>
        <v>73</v>
      </c>
      <c r="BO1" s="58"/>
      <c r="BP1" s="58"/>
      <c r="BQ1" s="58"/>
      <c r="BR1" s="58"/>
      <c r="BS1" s="58"/>
      <c r="BT1" s="58"/>
      <c r="BU1" s="58"/>
      <c r="BV1" s="58"/>
      <c r="BW1" s="58"/>
      <c r="BX1" s="58"/>
      <c r="BY1" s="58"/>
      <c r="BZ1" s="58"/>
      <c r="CA1" s="58"/>
      <c r="CB1" s="58"/>
      <c r="CC1" s="58"/>
      <c r="CD1" s="58">
        <f>BN1+Parameters!$B$7</f>
        <v>81</v>
      </c>
      <c r="CE1" s="58"/>
      <c r="CF1" s="58"/>
      <c r="CG1" s="58"/>
      <c r="CH1" s="58"/>
      <c r="CI1" s="58"/>
      <c r="CJ1" s="58"/>
      <c r="CK1" s="58"/>
      <c r="CL1" s="58"/>
      <c r="CM1" s="58"/>
      <c r="CN1" s="58"/>
      <c r="CO1" s="58"/>
      <c r="CP1" s="58"/>
      <c r="CQ1" s="58"/>
      <c r="CR1" s="58"/>
      <c r="CS1" s="58"/>
      <c r="CT1" s="58">
        <f>CD1+Parameters!$B$7</f>
        <v>89</v>
      </c>
      <c r="CU1" s="58"/>
      <c r="CV1" s="58"/>
      <c r="CW1" s="58"/>
      <c r="CX1" s="58"/>
      <c r="CY1" s="58"/>
      <c r="CZ1" s="58"/>
      <c r="DA1" s="58"/>
      <c r="DB1" s="58"/>
      <c r="DC1" s="58"/>
      <c r="DD1" s="58"/>
      <c r="DE1" s="58"/>
      <c r="DF1" s="58"/>
      <c r="DG1" s="58"/>
      <c r="DH1" s="58"/>
      <c r="DI1" s="58"/>
      <c r="DJ1" s="58">
        <f>CT1+Parameters!$B$7</f>
        <v>97</v>
      </c>
      <c r="DK1" s="58"/>
      <c r="DL1" s="58"/>
      <c r="DM1" s="58"/>
      <c r="DN1" s="58"/>
      <c r="DO1" s="58"/>
      <c r="DP1" s="58"/>
      <c r="DQ1" s="58"/>
      <c r="DR1" s="58"/>
      <c r="DS1" s="58"/>
      <c r="DT1" s="58"/>
      <c r="DU1" s="58"/>
      <c r="DV1" s="58"/>
      <c r="DW1" s="58"/>
      <c r="DX1" s="58"/>
      <c r="DY1" s="58"/>
      <c r="DZ1" s="58">
        <f>DJ1+Parameters!$B$7</f>
        <v>105</v>
      </c>
      <c r="EA1" s="58"/>
      <c r="EB1" s="58"/>
      <c r="EC1" s="58"/>
      <c r="ED1" s="58"/>
      <c r="EE1" s="58"/>
      <c r="EF1" s="58"/>
      <c r="EG1" s="58"/>
      <c r="EH1" s="58"/>
      <c r="EI1" s="58"/>
      <c r="EJ1" s="58"/>
      <c r="EK1" s="58"/>
      <c r="EL1" s="58"/>
      <c r="EM1" s="58"/>
      <c r="EN1" s="58"/>
      <c r="EO1" s="58"/>
      <c r="EP1" s="58">
        <f>DZ1+Parameters!$B$7</f>
        <v>113</v>
      </c>
      <c r="EQ1" s="58"/>
      <c r="ER1" s="58"/>
      <c r="ES1" s="58"/>
      <c r="ET1" s="58"/>
      <c r="EU1" s="58"/>
      <c r="EV1" s="58"/>
      <c r="EW1" s="58"/>
      <c r="EX1" s="58"/>
      <c r="EY1" s="58"/>
      <c r="EZ1" s="58"/>
      <c r="FA1" s="58"/>
      <c r="FB1" s="58"/>
      <c r="FC1" s="58"/>
      <c r="FD1" s="58"/>
      <c r="FE1" s="58"/>
      <c r="FF1" s="58">
        <f>EP1+Parameters!$B$7</f>
        <v>121</v>
      </c>
      <c r="FG1" s="58"/>
      <c r="FH1" s="58"/>
      <c r="FI1" s="58"/>
      <c r="FJ1" s="58"/>
      <c r="FK1" s="58"/>
      <c r="FL1" s="58"/>
      <c r="FM1" s="58"/>
      <c r="FN1" s="58"/>
      <c r="FO1" s="58"/>
      <c r="FP1" s="58"/>
      <c r="FQ1" s="58"/>
      <c r="FR1" s="58"/>
      <c r="FS1" s="58"/>
      <c r="FT1" s="58"/>
      <c r="FU1" s="58"/>
      <c r="FV1" s="58">
        <f>FF1+Parameters!$B$7</f>
        <v>129</v>
      </c>
      <c r="FW1" s="58"/>
      <c r="FX1" s="58"/>
      <c r="FY1" s="58"/>
      <c r="FZ1" s="58"/>
      <c r="GA1" s="58"/>
      <c r="GB1" s="58"/>
      <c r="GC1" s="58"/>
      <c r="GD1" s="58"/>
      <c r="GE1" s="58"/>
      <c r="GF1" s="58"/>
      <c r="GG1" s="58"/>
      <c r="GH1" s="58"/>
      <c r="GI1" s="58"/>
      <c r="GJ1" s="58"/>
      <c r="GK1" s="58"/>
      <c r="GL1" s="58">
        <f>FV1+Parameters!$B$7</f>
        <v>137</v>
      </c>
      <c r="GM1" s="58"/>
      <c r="GN1" s="58"/>
      <c r="GO1" s="58"/>
      <c r="GP1" s="58"/>
      <c r="GQ1" s="58"/>
      <c r="GR1" s="58"/>
      <c r="GS1" s="58"/>
      <c r="GT1" s="58"/>
      <c r="GU1" s="58"/>
      <c r="GV1" s="58"/>
      <c r="GW1" s="58"/>
      <c r="GX1" s="58"/>
      <c r="GY1" s="58"/>
      <c r="GZ1" s="58"/>
      <c r="HA1" s="58"/>
      <c r="HB1" s="58">
        <f>GL1+Parameters!$B$7</f>
        <v>145</v>
      </c>
      <c r="HC1" s="58"/>
      <c r="HD1" s="58"/>
      <c r="HE1" s="58"/>
      <c r="HF1" s="58"/>
      <c r="HG1" s="58"/>
      <c r="HH1" s="58"/>
      <c r="HI1" s="58"/>
      <c r="HJ1" s="58"/>
      <c r="HK1" s="58"/>
      <c r="HL1" s="58"/>
      <c r="HM1" s="58"/>
      <c r="HN1" s="58"/>
      <c r="HO1" s="58"/>
      <c r="HP1" s="58"/>
      <c r="HQ1" s="58"/>
      <c r="HR1" s="58">
        <f>HB1+Parameters!$B$7</f>
        <v>153</v>
      </c>
      <c r="HS1" s="58"/>
      <c r="HT1" s="58"/>
      <c r="HU1" s="58"/>
      <c r="HV1" s="58"/>
      <c r="HW1" s="58"/>
      <c r="HX1" s="58"/>
      <c r="HY1" s="58"/>
      <c r="HZ1" s="58"/>
      <c r="IA1" s="58"/>
      <c r="IB1" s="58"/>
      <c r="IC1" s="58"/>
      <c r="ID1" s="58"/>
      <c r="IE1" s="58"/>
      <c r="IF1" s="58"/>
      <c r="IG1" s="58"/>
      <c r="IH1" s="58">
        <f>HR1+Parameters!$B$7</f>
        <v>161</v>
      </c>
      <c r="II1" s="58"/>
      <c r="IJ1" s="58"/>
      <c r="IK1" s="58"/>
      <c r="IL1" s="58"/>
      <c r="IM1" s="58"/>
      <c r="IN1" s="58"/>
      <c r="IO1" s="58"/>
      <c r="IP1" s="58"/>
      <c r="IQ1" s="58"/>
      <c r="IR1" s="58"/>
      <c r="IS1" s="58"/>
      <c r="IT1" s="58"/>
      <c r="IU1" s="58"/>
      <c r="IV1" s="58"/>
      <c r="IW1" s="58"/>
    </row>
    <row r="2" spans="1:257" x14ac:dyDescent="0.2">
      <c r="A2" s="4" t="s">
        <v>26</v>
      </c>
      <c r="B2" s="58">
        <f>1/16</f>
        <v>6.25E-2</v>
      </c>
      <c r="C2" s="58"/>
      <c r="D2" s="58"/>
      <c r="E2" s="58"/>
      <c r="F2" s="58"/>
      <c r="G2" s="58"/>
      <c r="H2" s="58"/>
      <c r="I2" s="58"/>
      <c r="J2" s="58"/>
      <c r="K2" s="58"/>
      <c r="L2" s="58"/>
      <c r="M2" s="58"/>
      <c r="N2" s="58"/>
      <c r="O2" s="58"/>
      <c r="P2" s="58"/>
      <c r="Q2" s="58"/>
      <c r="R2" s="58">
        <f>B2</f>
        <v>6.25E-2</v>
      </c>
      <c r="S2" s="58"/>
      <c r="T2" s="58"/>
      <c r="U2" s="58"/>
      <c r="V2" s="58"/>
      <c r="W2" s="58"/>
      <c r="X2" s="58"/>
      <c r="Y2" s="58"/>
      <c r="Z2" s="58"/>
      <c r="AA2" s="58"/>
      <c r="AB2" s="58"/>
      <c r="AC2" s="58"/>
      <c r="AD2" s="58"/>
      <c r="AE2" s="58"/>
      <c r="AF2" s="58"/>
      <c r="AG2" s="58"/>
      <c r="AH2" s="58">
        <f t="shared" ref="AH2" si="0">R2</f>
        <v>6.25E-2</v>
      </c>
      <c r="AI2" s="58"/>
      <c r="AJ2" s="58"/>
      <c r="AK2" s="58"/>
      <c r="AL2" s="58"/>
      <c r="AM2" s="58"/>
      <c r="AN2" s="58"/>
      <c r="AO2" s="58"/>
      <c r="AP2" s="58"/>
      <c r="AQ2" s="58"/>
      <c r="AR2" s="58"/>
      <c r="AS2" s="58"/>
      <c r="AT2" s="58"/>
      <c r="AU2" s="58"/>
      <c r="AV2" s="58"/>
      <c r="AW2" s="58"/>
      <c r="AX2" s="58">
        <f t="shared" ref="AX2" si="1">AH2</f>
        <v>6.25E-2</v>
      </c>
      <c r="AY2" s="58"/>
      <c r="AZ2" s="58"/>
      <c r="BA2" s="58"/>
      <c r="BB2" s="58"/>
      <c r="BC2" s="58"/>
      <c r="BD2" s="58"/>
      <c r="BE2" s="58"/>
      <c r="BF2" s="58"/>
      <c r="BG2" s="58"/>
      <c r="BH2" s="58"/>
      <c r="BI2" s="58"/>
      <c r="BJ2" s="58"/>
      <c r="BK2" s="58"/>
      <c r="BL2" s="58"/>
      <c r="BM2" s="58"/>
      <c r="BN2" s="58">
        <f t="shared" ref="BN2" si="2">AX2</f>
        <v>6.25E-2</v>
      </c>
      <c r="BO2" s="58"/>
      <c r="BP2" s="58"/>
      <c r="BQ2" s="58"/>
      <c r="BR2" s="58"/>
      <c r="BS2" s="58"/>
      <c r="BT2" s="58"/>
      <c r="BU2" s="58"/>
      <c r="BV2" s="58"/>
      <c r="BW2" s="58"/>
      <c r="BX2" s="58"/>
      <c r="BY2" s="58"/>
      <c r="BZ2" s="58"/>
      <c r="CA2" s="58"/>
      <c r="CB2" s="58"/>
      <c r="CC2" s="58"/>
      <c r="CD2" s="58">
        <f t="shared" ref="CD2" si="3">BN2</f>
        <v>6.25E-2</v>
      </c>
      <c r="CE2" s="58"/>
      <c r="CF2" s="58"/>
      <c r="CG2" s="58"/>
      <c r="CH2" s="58"/>
      <c r="CI2" s="58"/>
      <c r="CJ2" s="58"/>
      <c r="CK2" s="58"/>
      <c r="CL2" s="58"/>
      <c r="CM2" s="58"/>
      <c r="CN2" s="58"/>
      <c r="CO2" s="58"/>
      <c r="CP2" s="58"/>
      <c r="CQ2" s="58"/>
      <c r="CR2" s="58"/>
      <c r="CS2" s="58"/>
      <c r="CT2" s="58">
        <f t="shared" ref="CT2" si="4">CD2</f>
        <v>6.25E-2</v>
      </c>
      <c r="CU2" s="58"/>
      <c r="CV2" s="58"/>
      <c r="CW2" s="58"/>
      <c r="CX2" s="58"/>
      <c r="CY2" s="58"/>
      <c r="CZ2" s="58"/>
      <c r="DA2" s="58"/>
      <c r="DB2" s="58"/>
      <c r="DC2" s="58"/>
      <c r="DD2" s="58"/>
      <c r="DE2" s="58"/>
      <c r="DF2" s="58"/>
      <c r="DG2" s="58"/>
      <c r="DH2" s="58"/>
      <c r="DI2" s="58"/>
      <c r="DJ2" s="58">
        <f t="shared" ref="DJ2" si="5">CT2</f>
        <v>6.25E-2</v>
      </c>
      <c r="DK2" s="58"/>
      <c r="DL2" s="58"/>
      <c r="DM2" s="58"/>
      <c r="DN2" s="58"/>
      <c r="DO2" s="58"/>
      <c r="DP2" s="58"/>
      <c r="DQ2" s="58"/>
      <c r="DR2" s="58"/>
      <c r="DS2" s="58"/>
      <c r="DT2" s="58"/>
      <c r="DU2" s="58"/>
      <c r="DV2" s="58"/>
      <c r="DW2" s="58"/>
      <c r="DX2" s="58"/>
      <c r="DY2" s="58"/>
      <c r="DZ2" s="58">
        <f t="shared" ref="DZ2" si="6">DJ2</f>
        <v>6.25E-2</v>
      </c>
      <c r="EA2" s="58"/>
      <c r="EB2" s="58"/>
      <c r="EC2" s="58"/>
      <c r="ED2" s="58"/>
      <c r="EE2" s="58"/>
      <c r="EF2" s="58"/>
      <c r="EG2" s="58"/>
      <c r="EH2" s="58"/>
      <c r="EI2" s="58"/>
      <c r="EJ2" s="58"/>
      <c r="EK2" s="58"/>
      <c r="EL2" s="58"/>
      <c r="EM2" s="58"/>
      <c r="EN2" s="58"/>
      <c r="EO2" s="58"/>
      <c r="EP2" s="58">
        <f t="shared" ref="EP2" si="7">DZ2</f>
        <v>6.25E-2</v>
      </c>
      <c r="EQ2" s="58"/>
      <c r="ER2" s="58"/>
      <c r="ES2" s="58"/>
      <c r="ET2" s="58"/>
      <c r="EU2" s="58"/>
      <c r="EV2" s="58"/>
      <c r="EW2" s="58"/>
      <c r="EX2" s="58"/>
      <c r="EY2" s="58"/>
      <c r="EZ2" s="58"/>
      <c r="FA2" s="58"/>
      <c r="FB2" s="58"/>
      <c r="FC2" s="58"/>
      <c r="FD2" s="58"/>
      <c r="FE2" s="58"/>
      <c r="FF2" s="58">
        <f t="shared" ref="FF2" si="8">EP2</f>
        <v>6.25E-2</v>
      </c>
      <c r="FG2" s="58"/>
      <c r="FH2" s="58"/>
      <c r="FI2" s="58"/>
      <c r="FJ2" s="58"/>
      <c r="FK2" s="58"/>
      <c r="FL2" s="58"/>
      <c r="FM2" s="58"/>
      <c r="FN2" s="58"/>
      <c r="FO2" s="58"/>
      <c r="FP2" s="58"/>
      <c r="FQ2" s="58"/>
      <c r="FR2" s="58"/>
      <c r="FS2" s="58"/>
      <c r="FT2" s="58"/>
      <c r="FU2" s="58"/>
      <c r="FV2" s="58">
        <f t="shared" ref="FV2" si="9">FF2</f>
        <v>6.25E-2</v>
      </c>
      <c r="FW2" s="58"/>
      <c r="FX2" s="58"/>
      <c r="FY2" s="58"/>
      <c r="FZ2" s="58"/>
      <c r="GA2" s="58"/>
      <c r="GB2" s="58"/>
      <c r="GC2" s="58"/>
      <c r="GD2" s="58"/>
      <c r="GE2" s="58"/>
      <c r="GF2" s="58"/>
      <c r="GG2" s="58"/>
      <c r="GH2" s="58"/>
      <c r="GI2" s="58"/>
      <c r="GJ2" s="58"/>
      <c r="GK2" s="58"/>
      <c r="GL2" s="58">
        <f t="shared" ref="GL2" si="10">FV2</f>
        <v>6.25E-2</v>
      </c>
      <c r="GM2" s="58"/>
      <c r="GN2" s="58"/>
      <c r="GO2" s="58"/>
      <c r="GP2" s="58"/>
      <c r="GQ2" s="58"/>
      <c r="GR2" s="58"/>
      <c r="GS2" s="58"/>
      <c r="GT2" s="58"/>
      <c r="GU2" s="58"/>
      <c r="GV2" s="58"/>
      <c r="GW2" s="58"/>
      <c r="GX2" s="58"/>
      <c r="GY2" s="58"/>
      <c r="GZ2" s="58"/>
      <c r="HA2" s="58"/>
      <c r="HB2" s="58">
        <f t="shared" ref="HB2" si="11">GL2</f>
        <v>6.25E-2</v>
      </c>
      <c r="HC2" s="58"/>
      <c r="HD2" s="58"/>
      <c r="HE2" s="58"/>
      <c r="HF2" s="58"/>
      <c r="HG2" s="58"/>
      <c r="HH2" s="58"/>
      <c r="HI2" s="58"/>
      <c r="HJ2" s="58"/>
      <c r="HK2" s="58"/>
      <c r="HL2" s="58"/>
      <c r="HM2" s="58"/>
      <c r="HN2" s="58"/>
      <c r="HO2" s="58"/>
      <c r="HP2" s="58"/>
      <c r="HQ2" s="58"/>
      <c r="HR2" s="58">
        <f t="shared" ref="HR2" si="12">HB2</f>
        <v>6.25E-2</v>
      </c>
      <c r="HS2" s="58"/>
      <c r="HT2" s="58"/>
      <c r="HU2" s="58"/>
      <c r="HV2" s="58"/>
      <c r="HW2" s="58"/>
      <c r="HX2" s="58"/>
      <c r="HY2" s="58"/>
      <c r="HZ2" s="58"/>
      <c r="IA2" s="58"/>
      <c r="IB2" s="58"/>
      <c r="IC2" s="58"/>
      <c r="ID2" s="58"/>
      <c r="IE2" s="58"/>
      <c r="IF2" s="58"/>
      <c r="IG2" s="58"/>
      <c r="IH2" s="58">
        <f t="shared" ref="IH2" si="13">HR2</f>
        <v>6.25E-2</v>
      </c>
      <c r="II2" s="58"/>
      <c r="IJ2" s="58"/>
      <c r="IK2" s="58"/>
      <c r="IL2" s="58"/>
      <c r="IM2" s="58"/>
      <c r="IN2" s="58"/>
      <c r="IO2" s="58"/>
      <c r="IP2" s="58"/>
      <c r="IQ2" s="58"/>
      <c r="IR2" s="58"/>
      <c r="IS2" s="58"/>
      <c r="IT2" s="58"/>
      <c r="IU2" s="58"/>
      <c r="IV2" s="58"/>
      <c r="IW2" s="58"/>
    </row>
    <row r="3" spans="1:257" x14ac:dyDescent="0.2">
      <c r="A3" s="4" t="s">
        <v>33</v>
      </c>
      <c r="B3" s="61">
        <v>9</v>
      </c>
      <c r="C3" s="62"/>
      <c r="D3" s="62"/>
      <c r="E3" s="62"/>
      <c r="F3" s="62"/>
      <c r="G3" s="62"/>
      <c r="H3" s="62"/>
      <c r="I3" s="62"/>
      <c r="J3" s="62"/>
      <c r="K3" s="62"/>
      <c r="L3" s="62"/>
      <c r="M3" s="62"/>
      <c r="N3" s="62"/>
      <c r="O3" s="62"/>
      <c r="P3" s="62"/>
      <c r="Q3" s="63"/>
      <c r="R3" s="61">
        <v>9</v>
      </c>
      <c r="S3" s="62"/>
      <c r="T3" s="62"/>
      <c r="U3" s="62"/>
      <c r="V3" s="62"/>
      <c r="W3" s="62"/>
      <c r="X3" s="62"/>
      <c r="Y3" s="62"/>
      <c r="Z3" s="62"/>
      <c r="AA3" s="62"/>
      <c r="AB3" s="62"/>
      <c r="AC3" s="62"/>
      <c r="AD3" s="62"/>
      <c r="AE3" s="62"/>
      <c r="AF3" s="62"/>
      <c r="AG3" s="63"/>
      <c r="AH3" s="61">
        <v>9</v>
      </c>
      <c r="AI3" s="62"/>
      <c r="AJ3" s="62"/>
      <c r="AK3" s="62"/>
      <c r="AL3" s="62"/>
      <c r="AM3" s="62"/>
      <c r="AN3" s="62"/>
      <c r="AO3" s="62"/>
      <c r="AP3" s="62"/>
      <c r="AQ3" s="62"/>
      <c r="AR3" s="62"/>
      <c r="AS3" s="62"/>
      <c r="AT3" s="62"/>
      <c r="AU3" s="62"/>
      <c r="AV3" s="62"/>
      <c r="AW3" s="63"/>
      <c r="AX3" s="61">
        <v>9</v>
      </c>
      <c r="AY3" s="62"/>
      <c r="AZ3" s="62"/>
      <c r="BA3" s="62"/>
      <c r="BB3" s="62"/>
      <c r="BC3" s="62"/>
      <c r="BD3" s="62"/>
      <c r="BE3" s="62"/>
      <c r="BF3" s="62"/>
      <c r="BG3" s="62"/>
      <c r="BH3" s="62"/>
      <c r="BI3" s="62"/>
      <c r="BJ3" s="62"/>
      <c r="BK3" s="62"/>
      <c r="BL3" s="62"/>
      <c r="BM3" s="63"/>
      <c r="BN3" s="61">
        <v>17</v>
      </c>
      <c r="BO3" s="62"/>
      <c r="BP3" s="62"/>
      <c r="BQ3" s="62"/>
      <c r="BR3" s="62"/>
      <c r="BS3" s="62"/>
      <c r="BT3" s="62"/>
      <c r="BU3" s="62"/>
      <c r="BV3" s="62"/>
      <c r="BW3" s="62"/>
      <c r="BX3" s="62"/>
      <c r="BY3" s="62"/>
      <c r="BZ3" s="62"/>
      <c r="CA3" s="62"/>
      <c r="CB3" s="62"/>
      <c r="CC3" s="63"/>
      <c r="CD3" s="61">
        <v>17</v>
      </c>
      <c r="CE3" s="62"/>
      <c r="CF3" s="62"/>
      <c r="CG3" s="62"/>
      <c r="CH3" s="62"/>
      <c r="CI3" s="62"/>
      <c r="CJ3" s="62"/>
      <c r="CK3" s="62"/>
      <c r="CL3" s="62"/>
      <c r="CM3" s="62"/>
      <c r="CN3" s="62"/>
      <c r="CO3" s="62"/>
      <c r="CP3" s="62"/>
      <c r="CQ3" s="62"/>
      <c r="CR3" s="62"/>
      <c r="CS3" s="63"/>
      <c r="CT3" s="61">
        <v>17</v>
      </c>
      <c r="CU3" s="62"/>
      <c r="CV3" s="62"/>
      <c r="CW3" s="62"/>
      <c r="CX3" s="62"/>
      <c r="CY3" s="62"/>
      <c r="CZ3" s="62"/>
      <c r="DA3" s="62"/>
      <c r="DB3" s="62"/>
      <c r="DC3" s="62"/>
      <c r="DD3" s="62"/>
      <c r="DE3" s="62"/>
      <c r="DF3" s="62"/>
      <c r="DG3" s="62"/>
      <c r="DH3" s="62"/>
      <c r="DI3" s="63"/>
      <c r="DJ3" s="61">
        <v>17</v>
      </c>
      <c r="DK3" s="62"/>
      <c r="DL3" s="62"/>
      <c r="DM3" s="62"/>
      <c r="DN3" s="62"/>
      <c r="DO3" s="62"/>
      <c r="DP3" s="62"/>
      <c r="DQ3" s="62"/>
      <c r="DR3" s="62"/>
      <c r="DS3" s="62"/>
      <c r="DT3" s="62"/>
      <c r="DU3" s="62"/>
      <c r="DV3" s="62"/>
      <c r="DW3" s="62"/>
      <c r="DX3" s="62"/>
      <c r="DY3" s="63"/>
      <c r="DZ3" s="64">
        <v>25</v>
      </c>
      <c r="EA3" s="65"/>
      <c r="EB3" s="65"/>
      <c r="EC3" s="65"/>
      <c r="ED3" s="65"/>
      <c r="EE3" s="65"/>
      <c r="EF3" s="65"/>
      <c r="EG3" s="65"/>
      <c r="EH3" s="65"/>
      <c r="EI3" s="65"/>
      <c r="EJ3" s="65"/>
      <c r="EK3" s="65"/>
      <c r="EL3" s="65"/>
      <c r="EM3" s="65"/>
      <c r="EN3" s="65"/>
      <c r="EO3" s="66"/>
      <c r="EP3" s="67">
        <v>25</v>
      </c>
      <c r="EQ3" s="65"/>
      <c r="ER3" s="65"/>
      <c r="ES3" s="65"/>
      <c r="ET3" s="65"/>
      <c r="EU3" s="65"/>
      <c r="EV3" s="65"/>
      <c r="EW3" s="65"/>
      <c r="EX3" s="65"/>
      <c r="EY3" s="65"/>
      <c r="EZ3" s="65"/>
      <c r="FA3" s="65"/>
      <c r="FB3" s="65"/>
      <c r="FC3" s="65"/>
      <c r="FD3" s="65"/>
      <c r="FE3" s="66"/>
      <c r="FF3" s="67">
        <v>25</v>
      </c>
      <c r="FG3" s="65"/>
      <c r="FH3" s="65"/>
      <c r="FI3" s="65"/>
      <c r="FJ3" s="65"/>
      <c r="FK3" s="65"/>
      <c r="FL3" s="65"/>
      <c r="FM3" s="65"/>
      <c r="FN3" s="65"/>
      <c r="FO3" s="65"/>
      <c r="FP3" s="65"/>
      <c r="FQ3" s="65"/>
      <c r="FR3" s="65"/>
      <c r="FS3" s="65"/>
      <c r="FT3" s="65"/>
      <c r="FU3" s="66"/>
      <c r="FV3" s="67">
        <v>25</v>
      </c>
      <c r="FW3" s="65"/>
      <c r="FX3" s="65"/>
      <c r="FY3" s="65"/>
      <c r="FZ3" s="65"/>
      <c r="GA3" s="65"/>
      <c r="GB3" s="65"/>
      <c r="GC3" s="65"/>
      <c r="GD3" s="65"/>
      <c r="GE3" s="65"/>
      <c r="GF3" s="65"/>
      <c r="GG3" s="65"/>
      <c r="GH3" s="65"/>
      <c r="GI3" s="65"/>
      <c r="GJ3" s="65"/>
      <c r="GK3" s="66"/>
      <c r="GL3" s="67">
        <v>33</v>
      </c>
      <c r="GM3" s="65"/>
      <c r="GN3" s="65"/>
      <c r="GO3" s="65"/>
      <c r="GP3" s="65"/>
      <c r="GQ3" s="65"/>
      <c r="GR3" s="65"/>
      <c r="GS3" s="65"/>
      <c r="GT3" s="65"/>
      <c r="GU3" s="65"/>
      <c r="GV3" s="65"/>
      <c r="GW3" s="65"/>
      <c r="GX3" s="65"/>
      <c r="GY3" s="65"/>
      <c r="GZ3" s="65"/>
      <c r="HA3" s="66"/>
      <c r="HB3" s="67">
        <v>33</v>
      </c>
      <c r="HC3" s="65"/>
      <c r="HD3" s="65"/>
      <c r="HE3" s="65"/>
      <c r="HF3" s="65"/>
      <c r="HG3" s="65"/>
      <c r="HH3" s="65"/>
      <c r="HI3" s="65"/>
      <c r="HJ3" s="65"/>
      <c r="HK3" s="65"/>
      <c r="HL3" s="65"/>
      <c r="HM3" s="65"/>
      <c r="HN3" s="65"/>
      <c r="HO3" s="65"/>
      <c r="HP3" s="65"/>
      <c r="HQ3" s="66"/>
      <c r="HR3" s="67">
        <v>33</v>
      </c>
      <c r="HS3" s="65"/>
      <c r="HT3" s="65"/>
      <c r="HU3" s="65"/>
      <c r="HV3" s="65"/>
      <c r="HW3" s="65"/>
      <c r="HX3" s="65"/>
      <c r="HY3" s="65"/>
      <c r="HZ3" s="65"/>
      <c r="IA3" s="65"/>
      <c r="IB3" s="65"/>
      <c r="IC3" s="65"/>
      <c r="ID3" s="65"/>
      <c r="IE3" s="65"/>
      <c r="IF3" s="65"/>
      <c r="IG3" s="66"/>
      <c r="IH3" s="67">
        <v>33</v>
      </c>
      <c r="II3" s="65"/>
      <c r="IJ3" s="65"/>
      <c r="IK3" s="65"/>
      <c r="IL3" s="65"/>
      <c r="IM3" s="65"/>
      <c r="IN3" s="65"/>
      <c r="IO3" s="65"/>
      <c r="IP3" s="65"/>
      <c r="IQ3" s="65"/>
      <c r="IR3" s="65"/>
      <c r="IS3" s="65"/>
      <c r="IT3" s="65"/>
      <c r="IU3" s="65"/>
      <c r="IV3" s="65"/>
      <c r="IW3" s="66"/>
    </row>
    <row r="4" spans="1:257" x14ac:dyDescent="0.2">
      <c r="A4" s="4"/>
      <c r="B4" s="59" t="s">
        <v>27</v>
      </c>
      <c r="C4" s="59"/>
      <c r="D4" s="59"/>
      <c r="E4" s="59"/>
      <c r="F4" s="59"/>
      <c r="G4" s="59"/>
      <c r="H4" s="59"/>
      <c r="I4" s="59"/>
      <c r="J4" s="60" t="s">
        <v>28</v>
      </c>
      <c r="K4" s="60"/>
      <c r="L4" s="60"/>
      <c r="M4" s="60"/>
      <c r="N4" s="60"/>
      <c r="O4" s="60"/>
      <c r="P4" s="60"/>
      <c r="Q4" s="60"/>
      <c r="R4" s="59" t="s">
        <v>27</v>
      </c>
      <c r="S4" s="59"/>
      <c r="T4" s="59"/>
      <c r="U4" s="59"/>
      <c r="V4" s="59"/>
      <c r="W4" s="59"/>
      <c r="X4" s="59"/>
      <c r="Y4" s="59"/>
      <c r="Z4" s="60" t="s">
        <v>28</v>
      </c>
      <c r="AA4" s="60"/>
      <c r="AB4" s="60"/>
      <c r="AC4" s="60"/>
      <c r="AD4" s="60"/>
      <c r="AE4" s="60"/>
      <c r="AF4" s="60"/>
      <c r="AG4" s="60"/>
      <c r="AH4" s="59" t="s">
        <v>27</v>
      </c>
      <c r="AI4" s="59"/>
      <c r="AJ4" s="59"/>
      <c r="AK4" s="59"/>
      <c r="AL4" s="59"/>
      <c r="AM4" s="59"/>
      <c r="AN4" s="59"/>
      <c r="AO4" s="59"/>
      <c r="AP4" s="60" t="s">
        <v>28</v>
      </c>
      <c r="AQ4" s="60"/>
      <c r="AR4" s="60"/>
      <c r="AS4" s="60"/>
      <c r="AT4" s="60"/>
      <c r="AU4" s="60"/>
      <c r="AV4" s="60"/>
      <c r="AW4" s="60"/>
      <c r="AX4" s="59" t="s">
        <v>27</v>
      </c>
      <c r="AY4" s="59"/>
      <c r="AZ4" s="59"/>
      <c r="BA4" s="59"/>
      <c r="BB4" s="59"/>
      <c r="BC4" s="59"/>
      <c r="BD4" s="59"/>
      <c r="BE4" s="59"/>
      <c r="BF4" s="60" t="s">
        <v>28</v>
      </c>
      <c r="BG4" s="60"/>
      <c r="BH4" s="60"/>
      <c r="BI4" s="60"/>
      <c r="BJ4" s="60"/>
      <c r="BK4" s="60"/>
      <c r="BL4" s="60"/>
      <c r="BM4" s="60"/>
      <c r="BN4" s="59" t="s">
        <v>27</v>
      </c>
      <c r="BO4" s="59"/>
      <c r="BP4" s="59"/>
      <c r="BQ4" s="59"/>
      <c r="BR4" s="59"/>
      <c r="BS4" s="59"/>
      <c r="BT4" s="59"/>
      <c r="BU4" s="59"/>
      <c r="BV4" s="60" t="s">
        <v>28</v>
      </c>
      <c r="BW4" s="60"/>
      <c r="BX4" s="60"/>
      <c r="BY4" s="60"/>
      <c r="BZ4" s="60"/>
      <c r="CA4" s="60"/>
      <c r="CB4" s="60"/>
      <c r="CC4" s="60"/>
      <c r="CD4" s="59" t="s">
        <v>27</v>
      </c>
      <c r="CE4" s="59"/>
      <c r="CF4" s="59"/>
      <c r="CG4" s="59"/>
      <c r="CH4" s="59"/>
      <c r="CI4" s="59"/>
      <c r="CJ4" s="59"/>
      <c r="CK4" s="59"/>
      <c r="CL4" s="60" t="s">
        <v>28</v>
      </c>
      <c r="CM4" s="60"/>
      <c r="CN4" s="60"/>
      <c r="CO4" s="60"/>
      <c r="CP4" s="60"/>
      <c r="CQ4" s="60"/>
      <c r="CR4" s="60"/>
      <c r="CS4" s="60"/>
      <c r="CT4" s="59" t="s">
        <v>27</v>
      </c>
      <c r="CU4" s="59"/>
      <c r="CV4" s="59"/>
      <c r="CW4" s="59"/>
      <c r="CX4" s="59"/>
      <c r="CY4" s="59"/>
      <c r="CZ4" s="59"/>
      <c r="DA4" s="59"/>
      <c r="DB4" s="60" t="s">
        <v>28</v>
      </c>
      <c r="DC4" s="60"/>
      <c r="DD4" s="60"/>
      <c r="DE4" s="60"/>
      <c r="DF4" s="60"/>
      <c r="DG4" s="60"/>
      <c r="DH4" s="60"/>
      <c r="DI4" s="60"/>
      <c r="DJ4" s="59" t="s">
        <v>27</v>
      </c>
      <c r="DK4" s="59"/>
      <c r="DL4" s="59"/>
      <c r="DM4" s="59"/>
      <c r="DN4" s="59"/>
      <c r="DO4" s="59"/>
      <c r="DP4" s="59"/>
      <c r="DQ4" s="59"/>
      <c r="DR4" s="60" t="s">
        <v>28</v>
      </c>
      <c r="DS4" s="60"/>
      <c r="DT4" s="60"/>
      <c r="DU4" s="60"/>
      <c r="DV4" s="60"/>
      <c r="DW4" s="60"/>
      <c r="DX4" s="60"/>
      <c r="DY4" s="60"/>
      <c r="DZ4" s="59" t="s">
        <v>27</v>
      </c>
      <c r="EA4" s="59"/>
      <c r="EB4" s="59"/>
      <c r="EC4" s="59"/>
      <c r="ED4" s="59"/>
      <c r="EE4" s="59"/>
      <c r="EF4" s="59"/>
      <c r="EG4" s="59"/>
      <c r="EH4" s="60" t="s">
        <v>28</v>
      </c>
      <c r="EI4" s="60"/>
      <c r="EJ4" s="60"/>
      <c r="EK4" s="60"/>
      <c r="EL4" s="60"/>
      <c r="EM4" s="60"/>
      <c r="EN4" s="60"/>
      <c r="EO4" s="60"/>
      <c r="EP4" s="59" t="s">
        <v>27</v>
      </c>
      <c r="EQ4" s="59"/>
      <c r="ER4" s="59"/>
      <c r="ES4" s="59"/>
      <c r="ET4" s="59"/>
      <c r="EU4" s="59"/>
      <c r="EV4" s="59"/>
      <c r="EW4" s="59"/>
      <c r="EX4" s="60" t="s">
        <v>28</v>
      </c>
      <c r="EY4" s="60"/>
      <c r="EZ4" s="60"/>
      <c r="FA4" s="60"/>
      <c r="FB4" s="60"/>
      <c r="FC4" s="60"/>
      <c r="FD4" s="60"/>
      <c r="FE4" s="60"/>
      <c r="FF4" s="59" t="s">
        <v>27</v>
      </c>
      <c r="FG4" s="59"/>
      <c r="FH4" s="59"/>
      <c r="FI4" s="59"/>
      <c r="FJ4" s="59"/>
      <c r="FK4" s="59"/>
      <c r="FL4" s="59"/>
      <c r="FM4" s="59"/>
      <c r="FN4" s="60" t="s">
        <v>28</v>
      </c>
      <c r="FO4" s="60"/>
      <c r="FP4" s="60"/>
      <c r="FQ4" s="60"/>
      <c r="FR4" s="60"/>
      <c r="FS4" s="60"/>
      <c r="FT4" s="60"/>
      <c r="FU4" s="60"/>
      <c r="FV4" s="59" t="s">
        <v>27</v>
      </c>
      <c r="FW4" s="59"/>
      <c r="FX4" s="59"/>
      <c r="FY4" s="59"/>
      <c r="FZ4" s="59"/>
      <c r="GA4" s="59"/>
      <c r="GB4" s="59"/>
      <c r="GC4" s="59"/>
      <c r="GD4" s="60" t="s">
        <v>28</v>
      </c>
      <c r="GE4" s="60"/>
      <c r="GF4" s="60"/>
      <c r="GG4" s="60"/>
      <c r="GH4" s="60"/>
      <c r="GI4" s="60"/>
      <c r="GJ4" s="60"/>
      <c r="GK4" s="60"/>
      <c r="GL4" s="59" t="s">
        <v>27</v>
      </c>
      <c r="GM4" s="59"/>
      <c r="GN4" s="59"/>
      <c r="GO4" s="59"/>
      <c r="GP4" s="59"/>
      <c r="GQ4" s="59"/>
      <c r="GR4" s="59"/>
      <c r="GS4" s="59"/>
      <c r="GT4" s="60" t="s">
        <v>28</v>
      </c>
      <c r="GU4" s="60"/>
      <c r="GV4" s="60"/>
      <c r="GW4" s="60"/>
      <c r="GX4" s="60"/>
      <c r="GY4" s="60"/>
      <c r="GZ4" s="60"/>
      <c r="HA4" s="60"/>
      <c r="HB4" s="59" t="s">
        <v>27</v>
      </c>
      <c r="HC4" s="59"/>
      <c r="HD4" s="59"/>
      <c r="HE4" s="59"/>
      <c r="HF4" s="59"/>
      <c r="HG4" s="59"/>
      <c r="HH4" s="59"/>
      <c r="HI4" s="59"/>
      <c r="HJ4" s="60" t="s">
        <v>28</v>
      </c>
      <c r="HK4" s="60"/>
      <c r="HL4" s="60"/>
      <c r="HM4" s="60"/>
      <c r="HN4" s="60"/>
      <c r="HO4" s="60"/>
      <c r="HP4" s="60"/>
      <c r="HQ4" s="60"/>
      <c r="HR4" s="59" t="s">
        <v>27</v>
      </c>
      <c r="HS4" s="59"/>
      <c r="HT4" s="59"/>
      <c r="HU4" s="59"/>
      <c r="HV4" s="59"/>
      <c r="HW4" s="59"/>
      <c r="HX4" s="59"/>
      <c r="HY4" s="59"/>
      <c r="HZ4" s="60" t="s">
        <v>28</v>
      </c>
      <c r="IA4" s="60"/>
      <c r="IB4" s="60"/>
      <c r="IC4" s="60"/>
      <c r="ID4" s="60"/>
      <c r="IE4" s="60"/>
      <c r="IF4" s="60"/>
      <c r="IG4" s="60"/>
      <c r="IH4" s="59" t="s">
        <v>27</v>
      </c>
      <c r="II4" s="59"/>
      <c r="IJ4" s="59"/>
      <c r="IK4" s="59"/>
      <c r="IL4" s="59"/>
      <c r="IM4" s="59"/>
      <c r="IN4" s="59"/>
      <c r="IO4" s="59"/>
      <c r="IP4" s="60" t="s">
        <v>28</v>
      </c>
      <c r="IQ4" s="60"/>
      <c r="IR4" s="60"/>
      <c r="IS4" s="60"/>
      <c r="IT4" s="60"/>
      <c r="IU4" s="60"/>
      <c r="IV4" s="60"/>
      <c r="IW4" s="60"/>
    </row>
    <row r="5" spans="1:257" x14ac:dyDescent="0.2">
      <c r="A5" s="4" t="s">
        <v>17</v>
      </c>
      <c r="B5" s="5" t="str">
        <f>'Demand Stage 2'!B4</f>
        <v>ST.FERGUS</v>
      </c>
      <c r="C5" s="5" t="str">
        <f>'Demand Stage 2'!C4</f>
        <v>EASINGTON</v>
      </c>
      <c r="D5" s="5" t="str">
        <f>'Demand Stage 2'!D4</f>
        <v>TEESSIDE</v>
      </c>
      <c r="E5" s="5" t="str">
        <f>'Demand Stage 2'!E4</f>
        <v>EMDEN</v>
      </c>
      <c r="F5" s="5" t="str">
        <f>'Demand Stage 2'!F4</f>
        <v>DORNUM</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DORNUM</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DORNUM</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DORNUM</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DORNUM</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DORNUM</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DORNUM</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DORNUM</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DORNUM</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DORNUM</v>
      </c>
      <c r="CA5" s="6" t="str">
        <f>'Demand Stage 2'!AE4</f>
        <v>ZEEBRUGGE</v>
      </c>
      <c r="CB5" s="6" t="str">
        <f>'Demand Stage 2'!AF4</f>
        <v>DUNKERQUE</v>
      </c>
      <c r="CC5" s="6" t="str">
        <f>'Demand Stage 2'!AG4</f>
        <v>POLAND</v>
      </c>
      <c r="CD5" s="5" t="str">
        <f>BN5</f>
        <v>ST.FERGUS</v>
      </c>
      <c r="CE5" s="5" t="str">
        <f t="shared" ref="CE5:CK13" si="14">BO5</f>
        <v>EASINGTON</v>
      </c>
      <c r="CF5" s="5" t="str">
        <f t="shared" si="14"/>
        <v>TEESSIDE</v>
      </c>
      <c r="CG5" s="5" t="str">
        <f t="shared" si="14"/>
        <v>EMDEN</v>
      </c>
      <c r="CH5" s="5" t="str">
        <f t="shared" si="14"/>
        <v>DORNUM</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DORNUM</v>
      </c>
      <c r="CQ5" s="6" t="str">
        <f t="shared" si="15"/>
        <v>ZEEBRUGGE</v>
      </c>
      <c r="CR5" s="6" t="str">
        <f t="shared" si="15"/>
        <v>DUNKERQUE</v>
      </c>
      <c r="CS5" s="6" t="str">
        <f t="shared" si="15"/>
        <v>POLAND</v>
      </c>
      <c r="CT5" s="5" t="str">
        <f>CD5</f>
        <v>ST.FERGUS</v>
      </c>
      <c r="CU5" s="5" t="str">
        <f t="shared" ref="CU5:DB13" si="16">CE5</f>
        <v>EASINGTON</v>
      </c>
      <c r="CV5" s="5" t="str">
        <f t="shared" si="16"/>
        <v>TEESSIDE</v>
      </c>
      <c r="CW5" s="5" t="str">
        <f t="shared" si="16"/>
        <v>EMDEN</v>
      </c>
      <c r="CX5" s="5" t="str">
        <f t="shared" si="16"/>
        <v>DORNUM</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DORNUM</v>
      </c>
      <c r="DG5" s="6" t="str">
        <f t="shared" ref="DG5:DG9" si="21">CQ5</f>
        <v>ZEEBRUGGE</v>
      </c>
      <c r="DH5" s="6" t="str">
        <f t="shared" ref="DH5:DH9" si="22">CR5</f>
        <v>DUNKERQUE</v>
      </c>
      <c r="DI5" s="6" t="str">
        <f t="shared" ref="DI5:DI9" si="23">CS5</f>
        <v>POLAND</v>
      </c>
      <c r="DJ5" s="5" t="str">
        <f>CT5</f>
        <v>ST.FERGUS</v>
      </c>
      <c r="DK5" s="5" t="str">
        <f t="shared" ref="DK5:DQ13" si="24">CU5</f>
        <v>EASINGTON</v>
      </c>
      <c r="DL5" s="5" t="str">
        <f t="shared" si="24"/>
        <v>TEESSIDE</v>
      </c>
      <c r="DM5" s="5" t="str">
        <f t="shared" si="24"/>
        <v>EMDEN</v>
      </c>
      <c r="DN5" s="5" t="str">
        <f t="shared" si="24"/>
        <v>DORNUM</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DORNUM</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DORNUM</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DORNUM</v>
      </c>
      <c r="EM5" s="6" t="str">
        <f>'Demand Stage 2'!AU4</f>
        <v>ZEEBRUGGE</v>
      </c>
      <c r="EN5" s="6" t="str">
        <f>'Demand Stage 2'!AV4</f>
        <v>DUNKERQUE</v>
      </c>
      <c r="EO5" s="6" t="str">
        <f>'Demand Stage 2'!AW4</f>
        <v>POLAND</v>
      </c>
      <c r="EP5" s="5" t="str">
        <f>DZ5</f>
        <v>ST.FERGUS</v>
      </c>
      <c r="EQ5" s="5" t="str">
        <f t="shared" ref="EQ5:EW13" si="26">EA5</f>
        <v>EASINGTON</v>
      </c>
      <c r="ER5" s="5" t="str">
        <f t="shared" si="26"/>
        <v>TEESSIDE</v>
      </c>
      <c r="ES5" s="5" t="str">
        <f t="shared" si="26"/>
        <v>EMDEN</v>
      </c>
      <c r="ET5" s="5" t="str">
        <f t="shared" si="26"/>
        <v>DORNUM</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DORNUM</v>
      </c>
      <c r="FC5" s="6" t="str">
        <f t="shared" si="27"/>
        <v>ZEEBRUGGE</v>
      </c>
      <c r="FD5" s="6" t="str">
        <f t="shared" si="27"/>
        <v>DUNKERQUE</v>
      </c>
      <c r="FE5" s="6" t="str">
        <f t="shared" si="27"/>
        <v>POLAND</v>
      </c>
      <c r="FF5" s="5" t="str">
        <f>EP5</f>
        <v>ST.FERGUS</v>
      </c>
      <c r="FG5" s="5" t="str">
        <f t="shared" ref="FG5:FM13" si="28">EQ5</f>
        <v>EASINGTON</v>
      </c>
      <c r="FH5" s="5" t="str">
        <f t="shared" si="28"/>
        <v>TEESSIDE</v>
      </c>
      <c r="FI5" s="5" t="str">
        <f t="shared" si="28"/>
        <v>EMDEN</v>
      </c>
      <c r="FJ5" s="5" t="str">
        <f t="shared" si="28"/>
        <v>DORNUM</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DORNUM</v>
      </c>
      <c r="FS5" s="6" t="str">
        <f t="shared" si="29"/>
        <v>ZEEBRUGGE</v>
      </c>
      <c r="FT5" s="6" t="str">
        <f t="shared" si="29"/>
        <v>DUNKERQUE</v>
      </c>
      <c r="FU5" s="6" t="str">
        <f t="shared" si="29"/>
        <v>POLAND</v>
      </c>
      <c r="FV5" s="5" t="str">
        <f>FF5</f>
        <v>ST.FERGUS</v>
      </c>
      <c r="FW5" s="5" t="str">
        <f t="shared" ref="FW5:GC13" si="30">FG5</f>
        <v>EASINGTON</v>
      </c>
      <c r="FX5" s="5" t="str">
        <f t="shared" si="30"/>
        <v>TEESSIDE</v>
      </c>
      <c r="FY5" s="5" t="str">
        <f t="shared" si="30"/>
        <v>EMDEN</v>
      </c>
      <c r="FZ5" s="5" t="str">
        <f t="shared" si="30"/>
        <v>DORNUM</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DORNUM</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DORNUM</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DORNUM</v>
      </c>
      <c r="GX5" s="6" t="str">
        <f>'Demand Stage 2'!BJ4</f>
        <v>ZEEBRUGGE</v>
      </c>
      <c r="GY5" s="6" t="str">
        <f>'Demand Stage 2'!BK4</f>
        <v>DUNKERQUE</v>
      </c>
      <c r="GZ5" s="6" t="str">
        <f>'Demand Stage 2'!BL4</f>
        <v>POLAND</v>
      </c>
      <c r="HA5" s="6" t="str">
        <f>'Demand Stage 2'!BM4</f>
        <v>ST.FERGUS</v>
      </c>
      <c r="HB5" s="5" t="str">
        <f>GL5</f>
        <v>ST.FERGUS</v>
      </c>
      <c r="HC5" s="5" t="str">
        <f t="shared" ref="HC5:HI13" si="32">GM5</f>
        <v>EASINGTON</v>
      </c>
      <c r="HD5" s="5" t="str">
        <f t="shared" si="32"/>
        <v>TEESSIDE</v>
      </c>
      <c r="HE5" s="5" t="str">
        <f t="shared" si="32"/>
        <v>EMDEN</v>
      </c>
      <c r="HF5" s="5" t="str">
        <f t="shared" si="32"/>
        <v>DORNUM</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DORNUM</v>
      </c>
      <c r="HN5" s="6" t="str">
        <f t="shared" si="33"/>
        <v>ZEEBRUGGE</v>
      </c>
      <c r="HO5" s="6" t="str">
        <f t="shared" si="33"/>
        <v>DUNKERQUE</v>
      </c>
      <c r="HP5" s="6" t="str">
        <f t="shared" si="33"/>
        <v>POLAND</v>
      </c>
      <c r="HQ5" s="6" t="str">
        <f t="shared" si="33"/>
        <v>ST.FERGUS</v>
      </c>
      <c r="HR5" s="5" t="str">
        <f>HB5</f>
        <v>ST.FERGUS</v>
      </c>
      <c r="HS5" s="5" t="str">
        <f t="shared" ref="HS5:HY13" si="34">HC5</f>
        <v>EASINGTON</v>
      </c>
      <c r="HT5" s="5" t="str">
        <f t="shared" si="34"/>
        <v>TEESSIDE</v>
      </c>
      <c r="HU5" s="5" t="str">
        <f t="shared" si="34"/>
        <v>EMDEN</v>
      </c>
      <c r="HV5" s="5" t="str">
        <f t="shared" si="34"/>
        <v>DORNUM</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DORNUM</v>
      </c>
      <c r="ID5" s="6" t="str">
        <f t="shared" si="35"/>
        <v>ZEEBRUGGE</v>
      </c>
      <c r="IE5" s="6" t="str">
        <f t="shared" si="35"/>
        <v>DUNKERQUE</v>
      </c>
      <c r="IF5" s="6" t="str">
        <f t="shared" si="35"/>
        <v>POLAND</v>
      </c>
      <c r="IG5" s="6" t="str">
        <f t="shared" si="35"/>
        <v>ST.FERGUS</v>
      </c>
      <c r="IH5" s="5" t="str">
        <f>HR5</f>
        <v>ST.FERGUS</v>
      </c>
      <c r="II5" s="5" t="str">
        <f t="shared" ref="II5:IO13" si="36">HS5</f>
        <v>EASINGTON</v>
      </c>
      <c r="IJ5" s="5" t="str">
        <f t="shared" si="36"/>
        <v>TEESSIDE</v>
      </c>
      <c r="IK5" s="5" t="str">
        <f t="shared" si="36"/>
        <v>EMDEN</v>
      </c>
      <c r="IL5" s="5" t="str">
        <f t="shared" si="36"/>
        <v>DORNUM</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DORNUM</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13"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si="16"/>
        <v>10</v>
      </c>
      <c r="CV6" s="2">
        <f t="shared" si="16"/>
        <v>10</v>
      </c>
      <c r="CW6" s="2">
        <f t="shared" si="16"/>
        <v>40</v>
      </c>
      <c r="CX6" s="2">
        <f t="shared" si="16"/>
        <v>40</v>
      </c>
      <c r="CY6" s="2">
        <f t="shared" si="16"/>
        <v>40</v>
      </c>
      <c r="CZ6" s="2">
        <f t="shared" si="16"/>
        <v>40</v>
      </c>
      <c r="DA6" s="2">
        <f t="shared" si="16"/>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13" si="40">CT6</f>
        <v>10</v>
      </c>
      <c r="DK6" s="2">
        <f t="shared" si="24"/>
        <v>10</v>
      </c>
      <c r="DL6" s="2">
        <f t="shared" si="24"/>
        <v>10</v>
      </c>
      <c r="DM6" s="2">
        <f t="shared" si="24"/>
        <v>40</v>
      </c>
      <c r="DN6" s="2">
        <f t="shared" si="24"/>
        <v>40</v>
      </c>
      <c r="DO6" s="2">
        <f t="shared" si="24"/>
        <v>40</v>
      </c>
      <c r="DP6" s="2">
        <f t="shared" si="24"/>
        <v>40</v>
      </c>
      <c r="DQ6" s="2">
        <f t="shared" si="24"/>
        <v>20</v>
      </c>
      <c r="DR6" s="3">
        <f t="shared" ref="DR6:DR9" si="41">DB6</f>
        <v>0</v>
      </c>
      <c r="DS6" s="3">
        <f t="shared" ref="DS6:DS9" si="42">DC6</f>
        <v>0</v>
      </c>
      <c r="DT6" s="3">
        <f t="shared" ref="DT6:DT9" si="43">DD6</f>
        <v>0</v>
      </c>
      <c r="DU6" s="3">
        <f t="shared" ref="DU6:DU9" si="44">DE6</f>
        <v>0</v>
      </c>
      <c r="DV6" s="3">
        <f t="shared" ref="DV6:DV9" si="45">DF6</f>
        <v>0</v>
      </c>
      <c r="DW6" s="3">
        <f t="shared" ref="DW6:DW9" si="46">DG6</f>
        <v>0</v>
      </c>
      <c r="DX6" s="3">
        <f t="shared" ref="DX6:DX9" si="47">DH6</f>
        <v>0</v>
      </c>
      <c r="DY6" s="3">
        <f t="shared" ref="DY6:DY9" si="48">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13" si="49">DZ6</f>
        <v>10</v>
      </c>
      <c r="EQ6" s="2">
        <f t="shared" si="26"/>
        <v>10</v>
      </c>
      <c r="ER6" s="2">
        <f t="shared" si="26"/>
        <v>10</v>
      </c>
      <c r="ES6" s="2">
        <f t="shared" si="26"/>
        <v>40</v>
      </c>
      <c r="ET6" s="2">
        <f t="shared" si="26"/>
        <v>40</v>
      </c>
      <c r="EU6" s="2">
        <f t="shared" si="26"/>
        <v>40</v>
      </c>
      <c r="EV6" s="2">
        <f t="shared" si="26"/>
        <v>40</v>
      </c>
      <c r="EW6" s="2">
        <f t="shared" si="26"/>
        <v>20</v>
      </c>
      <c r="EX6" s="3">
        <f t="shared" ref="EX6:EX9" si="50">EH6</f>
        <v>0</v>
      </c>
      <c r="EY6" s="3">
        <f t="shared" si="27"/>
        <v>0</v>
      </c>
      <c r="EZ6" s="3">
        <f t="shared" si="27"/>
        <v>0</v>
      </c>
      <c r="FA6" s="3">
        <f t="shared" si="27"/>
        <v>0</v>
      </c>
      <c r="FB6" s="3">
        <f t="shared" si="27"/>
        <v>0</v>
      </c>
      <c r="FC6" s="3">
        <f t="shared" si="27"/>
        <v>0</v>
      </c>
      <c r="FD6" s="3">
        <f t="shared" si="27"/>
        <v>0</v>
      </c>
      <c r="FE6" s="3">
        <f t="shared" si="27"/>
        <v>0</v>
      </c>
      <c r="FF6" s="2">
        <f t="shared" ref="FF6:FF13" si="51">EP6</f>
        <v>10</v>
      </c>
      <c r="FG6" s="2">
        <f t="shared" si="28"/>
        <v>10</v>
      </c>
      <c r="FH6" s="2">
        <f t="shared" si="28"/>
        <v>10</v>
      </c>
      <c r="FI6" s="2">
        <f t="shared" si="28"/>
        <v>40</v>
      </c>
      <c r="FJ6" s="2">
        <f t="shared" si="28"/>
        <v>40</v>
      </c>
      <c r="FK6" s="2">
        <f t="shared" si="28"/>
        <v>40</v>
      </c>
      <c r="FL6" s="2">
        <f t="shared" si="28"/>
        <v>40</v>
      </c>
      <c r="FM6" s="2">
        <f t="shared" si="28"/>
        <v>20</v>
      </c>
      <c r="FN6" s="3">
        <f t="shared" ref="FN6:FN9" si="52">EX6</f>
        <v>0</v>
      </c>
      <c r="FO6" s="3">
        <f t="shared" ref="FO6:FO9" si="53">EY6</f>
        <v>0</v>
      </c>
      <c r="FP6" s="3">
        <f t="shared" ref="FP6:FP9" si="54">EZ6</f>
        <v>0</v>
      </c>
      <c r="FQ6" s="3">
        <f t="shared" ref="FQ6:FQ9" si="55">FA6</f>
        <v>0</v>
      </c>
      <c r="FR6" s="3">
        <f t="shared" ref="FR6:FR9" si="56">FB6</f>
        <v>0</v>
      </c>
      <c r="FS6" s="3">
        <f t="shared" ref="FS6:FS9" si="57">FC6</f>
        <v>0</v>
      </c>
      <c r="FT6" s="3">
        <f t="shared" ref="FT6:FT9" si="58">FD6</f>
        <v>0</v>
      </c>
      <c r="FU6" s="3">
        <f t="shared" ref="FU6:FU9" si="59">FE6</f>
        <v>0</v>
      </c>
      <c r="FV6" s="2">
        <f t="shared" ref="FV6:FV13" si="60">FF6</f>
        <v>10</v>
      </c>
      <c r="FW6" s="2">
        <f t="shared" si="30"/>
        <v>10</v>
      </c>
      <c r="FX6" s="2">
        <f t="shared" si="30"/>
        <v>10</v>
      </c>
      <c r="FY6" s="2">
        <f t="shared" si="30"/>
        <v>40</v>
      </c>
      <c r="FZ6" s="2">
        <f t="shared" si="30"/>
        <v>40</v>
      </c>
      <c r="GA6" s="2">
        <f t="shared" si="30"/>
        <v>40</v>
      </c>
      <c r="GB6" s="2">
        <f t="shared" si="30"/>
        <v>40</v>
      </c>
      <c r="GC6" s="2">
        <f t="shared" si="30"/>
        <v>20</v>
      </c>
      <c r="GD6" s="3">
        <f t="shared" ref="GD6:GD9" si="61">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si="32"/>
        <v>10</v>
      </c>
      <c r="HD6" s="2">
        <f t="shared" si="32"/>
        <v>10</v>
      </c>
      <c r="HE6" s="2">
        <f t="shared" si="32"/>
        <v>40</v>
      </c>
      <c r="HF6" s="2">
        <f t="shared" si="32"/>
        <v>40</v>
      </c>
      <c r="HG6" s="2">
        <f t="shared" si="32"/>
        <v>40</v>
      </c>
      <c r="HH6" s="2">
        <f t="shared" si="32"/>
        <v>40</v>
      </c>
      <c r="HI6" s="2">
        <f t="shared" si="32"/>
        <v>20</v>
      </c>
      <c r="HJ6" s="3">
        <f t="shared" ref="HJ6:HJ9" si="62">GT6</f>
        <v>0</v>
      </c>
      <c r="HK6" s="3">
        <f t="shared" ref="HK6:HK9" si="63">GU6</f>
        <v>0</v>
      </c>
      <c r="HL6" s="3">
        <f t="shared" ref="HL6:HL9" si="64">GV6</f>
        <v>0</v>
      </c>
      <c r="HM6" s="3">
        <f t="shared" ref="HM6:HM9" si="65">GW6</f>
        <v>0</v>
      </c>
      <c r="HN6" s="3">
        <f t="shared" ref="HN6:HN9" si="66">GX6</f>
        <v>0</v>
      </c>
      <c r="HO6" s="3">
        <f t="shared" ref="HO6:HO9" si="67">GY6</f>
        <v>0</v>
      </c>
      <c r="HP6" s="3">
        <f t="shared" ref="HP6:HP9" si="68">GZ6</f>
        <v>0</v>
      </c>
      <c r="HQ6" s="3">
        <f t="shared" ref="HQ6:HQ9" si="69">HA6</f>
        <v>0</v>
      </c>
      <c r="HR6" s="2">
        <f t="shared" ref="HR6:HR13" si="70">HB6</f>
        <v>10</v>
      </c>
      <c r="HS6" s="2">
        <f t="shared" si="34"/>
        <v>10</v>
      </c>
      <c r="HT6" s="2">
        <f t="shared" si="34"/>
        <v>10</v>
      </c>
      <c r="HU6" s="2">
        <f t="shared" si="34"/>
        <v>40</v>
      </c>
      <c r="HV6" s="2">
        <f t="shared" si="34"/>
        <v>40</v>
      </c>
      <c r="HW6" s="2">
        <f t="shared" si="34"/>
        <v>40</v>
      </c>
      <c r="HX6" s="2">
        <f t="shared" si="34"/>
        <v>40</v>
      </c>
      <c r="HY6" s="2">
        <f t="shared" si="34"/>
        <v>20</v>
      </c>
      <c r="HZ6" s="3">
        <f t="shared" ref="HZ6:HZ9" si="71">HJ6</f>
        <v>0</v>
      </c>
      <c r="IA6" s="3">
        <f t="shared" si="35"/>
        <v>0</v>
      </c>
      <c r="IB6" s="3">
        <f t="shared" si="35"/>
        <v>0</v>
      </c>
      <c r="IC6" s="3">
        <f t="shared" si="35"/>
        <v>0</v>
      </c>
      <c r="ID6" s="3">
        <f t="shared" si="35"/>
        <v>0</v>
      </c>
      <c r="IE6" s="3">
        <f t="shared" si="35"/>
        <v>0</v>
      </c>
      <c r="IF6" s="3">
        <f t="shared" si="35"/>
        <v>0</v>
      </c>
      <c r="IG6" s="3">
        <f t="shared" si="35"/>
        <v>0</v>
      </c>
      <c r="IH6" s="2">
        <f t="shared" ref="IH6:IH13" si="72">HR6</f>
        <v>10</v>
      </c>
      <c r="II6" s="2">
        <f t="shared" si="36"/>
        <v>10</v>
      </c>
      <c r="IJ6" s="2">
        <f t="shared" si="36"/>
        <v>10</v>
      </c>
      <c r="IK6" s="2">
        <f t="shared" si="36"/>
        <v>40</v>
      </c>
      <c r="IL6" s="2">
        <f t="shared" si="36"/>
        <v>40</v>
      </c>
      <c r="IM6" s="2">
        <f t="shared" si="36"/>
        <v>40</v>
      </c>
      <c r="IN6" s="2">
        <f t="shared" si="36"/>
        <v>40</v>
      </c>
      <c r="IO6" s="2">
        <f t="shared" si="36"/>
        <v>20</v>
      </c>
      <c r="IP6" s="3">
        <f t="shared" ref="IP6:IP9" si="73">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40</v>
      </c>
      <c r="F7" s="2">
        <f>'Demand Stage 2'!F6</f>
        <v>40</v>
      </c>
      <c r="G7" s="2">
        <f>'Demand Stage 2'!G6</f>
        <v>40</v>
      </c>
      <c r="H7" s="2">
        <f>'Demand Stage 2'!H6</f>
        <v>40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40</v>
      </c>
      <c r="V7" s="2">
        <f>'Demand Stage 2'!F6</f>
        <v>40</v>
      </c>
      <c r="W7" s="2">
        <f>'Demand Stage 2'!G6</f>
        <v>40</v>
      </c>
      <c r="X7" s="2">
        <f>'Demand Stage 2'!H6</f>
        <v>40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40</v>
      </c>
      <c r="AL7" s="2">
        <f>'Demand Stage 2'!F6</f>
        <v>40</v>
      </c>
      <c r="AM7" s="2">
        <f>'Demand Stage 2'!G6</f>
        <v>40</v>
      </c>
      <c r="AN7" s="2">
        <f>'Demand Stage 2'!H6</f>
        <v>40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40</v>
      </c>
      <c r="BB7" s="2">
        <f>'Demand Stage 2'!F6</f>
        <v>40</v>
      </c>
      <c r="BC7" s="2">
        <f>'Demand Stage 2'!G6</f>
        <v>40</v>
      </c>
      <c r="BD7" s="2">
        <f>'Demand Stage 2'!H6</f>
        <v>40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40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40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13" si="74">CD7</f>
        <v>10</v>
      </c>
      <c r="CU7" s="2">
        <f t="shared" si="16"/>
        <v>10</v>
      </c>
      <c r="CV7" s="2">
        <f t="shared" si="16"/>
        <v>10</v>
      </c>
      <c r="CW7" s="2">
        <f t="shared" si="16"/>
        <v>40</v>
      </c>
      <c r="CX7" s="2">
        <f t="shared" si="16"/>
        <v>40</v>
      </c>
      <c r="CY7" s="2">
        <f t="shared" si="16"/>
        <v>40</v>
      </c>
      <c r="CZ7" s="2">
        <f t="shared" si="16"/>
        <v>40</v>
      </c>
      <c r="DA7" s="2">
        <f t="shared" si="16"/>
        <v>20</v>
      </c>
      <c r="DB7" s="3">
        <f t="shared" si="16"/>
        <v>0</v>
      </c>
      <c r="DC7" s="3">
        <f t="shared" si="17"/>
        <v>0</v>
      </c>
      <c r="DD7" s="3">
        <f t="shared" si="18"/>
        <v>0</v>
      </c>
      <c r="DE7" s="3">
        <f t="shared" si="19"/>
        <v>0</v>
      </c>
      <c r="DF7" s="3">
        <f t="shared" si="20"/>
        <v>0</v>
      </c>
      <c r="DG7" s="3">
        <f t="shared" si="21"/>
        <v>0</v>
      </c>
      <c r="DH7" s="3">
        <f t="shared" si="22"/>
        <v>0</v>
      </c>
      <c r="DI7" s="3">
        <f t="shared" si="23"/>
        <v>0</v>
      </c>
      <c r="DJ7" s="2">
        <f t="shared" si="40"/>
        <v>10</v>
      </c>
      <c r="DK7" s="2">
        <f t="shared" si="24"/>
        <v>10</v>
      </c>
      <c r="DL7" s="2">
        <f t="shared" si="24"/>
        <v>10</v>
      </c>
      <c r="DM7" s="2">
        <f t="shared" si="24"/>
        <v>40</v>
      </c>
      <c r="DN7" s="2">
        <f t="shared" si="24"/>
        <v>40</v>
      </c>
      <c r="DO7" s="2">
        <f t="shared" si="24"/>
        <v>40</v>
      </c>
      <c r="DP7" s="2">
        <f t="shared" si="24"/>
        <v>40</v>
      </c>
      <c r="DQ7" s="2">
        <f t="shared" si="24"/>
        <v>20</v>
      </c>
      <c r="DR7" s="3">
        <f t="shared" si="41"/>
        <v>0</v>
      </c>
      <c r="DS7" s="3">
        <f t="shared" si="42"/>
        <v>0</v>
      </c>
      <c r="DT7" s="3">
        <f t="shared" si="43"/>
        <v>0</v>
      </c>
      <c r="DU7" s="3">
        <f t="shared" si="44"/>
        <v>0</v>
      </c>
      <c r="DV7" s="3">
        <f t="shared" si="45"/>
        <v>0</v>
      </c>
      <c r="DW7" s="3">
        <f t="shared" si="46"/>
        <v>0</v>
      </c>
      <c r="DX7" s="3">
        <f t="shared" si="47"/>
        <v>0</v>
      </c>
      <c r="DY7" s="3">
        <f t="shared" si="48"/>
        <v>0</v>
      </c>
      <c r="DZ7" s="2">
        <f>'Demand Stage 2'!AH6</f>
        <v>10</v>
      </c>
      <c r="EA7" s="2">
        <f>'Demand Stage 2'!AI6</f>
        <v>10</v>
      </c>
      <c r="EB7" s="2">
        <f>'Demand Stage 2'!AJ6</f>
        <v>10</v>
      </c>
      <c r="EC7" s="2">
        <f>'Demand Stage 2'!AK6</f>
        <v>40</v>
      </c>
      <c r="ED7" s="2">
        <f>'Demand Stage 2'!AL6</f>
        <v>40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49"/>
        <v>10</v>
      </c>
      <c r="EQ7" s="2">
        <f t="shared" si="26"/>
        <v>10</v>
      </c>
      <c r="ER7" s="2">
        <f t="shared" si="26"/>
        <v>10</v>
      </c>
      <c r="ES7" s="2">
        <f t="shared" si="26"/>
        <v>40</v>
      </c>
      <c r="ET7" s="2">
        <f t="shared" si="26"/>
        <v>40</v>
      </c>
      <c r="EU7" s="2">
        <f t="shared" si="26"/>
        <v>40</v>
      </c>
      <c r="EV7" s="2">
        <f t="shared" si="26"/>
        <v>40</v>
      </c>
      <c r="EW7" s="2">
        <f t="shared" si="26"/>
        <v>20</v>
      </c>
      <c r="EX7" s="3">
        <f t="shared" si="50"/>
        <v>0</v>
      </c>
      <c r="EY7" s="3">
        <f t="shared" si="27"/>
        <v>0</v>
      </c>
      <c r="EZ7" s="3">
        <f t="shared" si="27"/>
        <v>0</v>
      </c>
      <c r="FA7" s="3">
        <f t="shared" si="27"/>
        <v>0</v>
      </c>
      <c r="FB7" s="3">
        <f t="shared" si="27"/>
        <v>0</v>
      </c>
      <c r="FC7" s="3">
        <f t="shared" si="27"/>
        <v>0</v>
      </c>
      <c r="FD7" s="3">
        <f t="shared" si="27"/>
        <v>0</v>
      </c>
      <c r="FE7" s="3">
        <f t="shared" si="27"/>
        <v>0</v>
      </c>
      <c r="FF7" s="2">
        <f t="shared" si="51"/>
        <v>10</v>
      </c>
      <c r="FG7" s="2">
        <f t="shared" si="28"/>
        <v>10</v>
      </c>
      <c r="FH7" s="2">
        <f t="shared" si="28"/>
        <v>10</v>
      </c>
      <c r="FI7" s="2">
        <f t="shared" si="28"/>
        <v>40</v>
      </c>
      <c r="FJ7" s="2">
        <f t="shared" si="28"/>
        <v>40</v>
      </c>
      <c r="FK7" s="2">
        <f t="shared" si="28"/>
        <v>40</v>
      </c>
      <c r="FL7" s="2">
        <f t="shared" si="28"/>
        <v>40</v>
      </c>
      <c r="FM7" s="2">
        <f t="shared" si="28"/>
        <v>20</v>
      </c>
      <c r="FN7" s="3">
        <f t="shared" si="52"/>
        <v>0</v>
      </c>
      <c r="FO7" s="3">
        <f t="shared" si="53"/>
        <v>0</v>
      </c>
      <c r="FP7" s="3">
        <f t="shared" si="54"/>
        <v>0</v>
      </c>
      <c r="FQ7" s="3">
        <f t="shared" si="55"/>
        <v>0</v>
      </c>
      <c r="FR7" s="3">
        <f t="shared" si="56"/>
        <v>0</v>
      </c>
      <c r="FS7" s="3">
        <f t="shared" si="57"/>
        <v>0</v>
      </c>
      <c r="FT7" s="3">
        <f t="shared" si="58"/>
        <v>0</v>
      </c>
      <c r="FU7" s="3">
        <f t="shared" si="59"/>
        <v>0</v>
      </c>
      <c r="FV7" s="2">
        <f t="shared" si="60"/>
        <v>10</v>
      </c>
      <c r="FW7" s="2">
        <f t="shared" si="30"/>
        <v>10</v>
      </c>
      <c r="FX7" s="2">
        <f t="shared" si="30"/>
        <v>10</v>
      </c>
      <c r="FY7" s="2">
        <f t="shared" si="30"/>
        <v>40</v>
      </c>
      <c r="FZ7" s="2">
        <f t="shared" si="30"/>
        <v>40</v>
      </c>
      <c r="GA7" s="2">
        <f t="shared" si="30"/>
        <v>40</v>
      </c>
      <c r="GB7" s="2">
        <f t="shared" si="30"/>
        <v>40</v>
      </c>
      <c r="GC7" s="2">
        <f t="shared" si="30"/>
        <v>20</v>
      </c>
      <c r="GD7" s="3">
        <f t="shared" si="61"/>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13" si="75">GL7</f>
        <v>10</v>
      </c>
      <c r="HC7" s="2">
        <f t="shared" si="32"/>
        <v>10</v>
      </c>
      <c r="HD7" s="2">
        <f t="shared" si="32"/>
        <v>10</v>
      </c>
      <c r="HE7" s="2">
        <f t="shared" si="32"/>
        <v>40</v>
      </c>
      <c r="HF7" s="2">
        <f t="shared" si="32"/>
        <v>40</v>
      </c>
      <c r="HG7" s="2">
        <f t="shared" si="32"/>
        <v>40</v>
      </c>
      <c r="HH7" s="2">
        <f t="shared" si="32"/>
        <v>40</v>
      </c>
      <c r="HI7" s="2">
        <f t="shared" si="32"/>
        <v>20</v>
      </c>
      <c r="HJ7" s="3">
        <f t="shared" si="62"/>
        <v>0</v>
      </c>
      <c r="HK7" s="3">
        <f t="shared" si="63"/>
        <v>0</v>
      </c>
      <c r="HL7" s="3">
        <f t="shared" si="64"/>
        <v>0</v>
      </c>
      <c r="HM7" s="3">
        <f t="shared" si="65"/>
        <v>0</v>
      </c>
      <c r="HN7" s="3">
        <f t="shared" si="66"/>
        <v>0</v>
      </c>
      <c r="HO7" s="3">
        <f t="shared" si="67"/>
        <v>0</v>
      </c>
      <c r="HP7" s="3">
        <f t="shared" si="68"/>
        <v>0</v>
      </c>
      <c r="HQ7" s="3">
        <f t="shared" si="69"/>
        <v>0</v>
      </c>
      <c r="HR7" s="2">
        <f t="shared" si="70"/>
        <v>10</v>
      </c>
      <c r="HS7" s="2">
        <f t="shared" si="34"/>
        <v>10</v>
      </c>
      <c r="HT7" s="2">
        <f t="shared" si="34"/>
        <v>10</v>
      </c>
      <c r="HU7" s="2">
        <f t="shared" si="34"/>
        <v>40</v>
      </c>
      <c r="HV7" s="2">
        <f t="shared" si="34"/>
        <v>40</v>
      </c>
      <c r="HW7" s="2">
        <f t="shared" si="34"/>
        <v>40</v>
      </c>
      <c r="HX7" s="2">
        <f t="shared" si="34"/>
        <v>40</v>
      </c>
      <c r="HY7" s="2">
        <f t="shared" si="34"/>
        <v>20</v>
      </c>
      <c r="HZ7" s="3">
        <f t="shared" si="71"/>
        <v>0</v>
      </c>
      <c r="IA7" s="3">
        <f t="shared" si="35"/>
        <v>0</v>
      </c>
      <c r="IB7" s="3">
        <f t="shared" si="35"/>
        <v>0</v>
      </c>
      <c r="IC7" s="3">
        <f t="shared" si="35"/>
        <v>0</v>
      </c>
      <c r="ID7" s="3">
        <f t="shared" si="35"/>
        <v>0</v>
      </c>
      <c r="IE7" s="3">
        <f t="shared" si="35"/>
        <v>0</v>
      </c>
      <c r="IF7" s="3">
        <f t="shared" si="35"/>
        <v>0</v>
      </c>
      <c r="IG7" s="3">
        <f t="shared" si="35"/>
        <v>0</v>
      </c>
      <c r="IH7" s="2">
        <f t="shared" si="72"/>
        <v>10</v>
      </c>
      <c r="II7" s="2">
        <f t="shared" si="36"/>
        <v>10</v>
      </c>
      <c r="IJ7" s="2">
        <f t="shared" si="36"/>
        <v>10</v>
      </c>
      <c r="IK7" s="2">
        <f t="shared" si="36"/>
        <v>40</v>
      </c>
      <c r="IL7" s="2">
        <f t="shared" si="36"/>
        <v>40</v>
      </c>
      <c r="IM7" s="2">
        <f t="shared" si="36"/>
        <v>40</v>
      </c>
      <c r="IN7" s="2">
        <f t="shared" si="36"/>
        <v>40</v>
      </c>
      <c r="IO7" s="2">
        <f t="shared" si="36"/>
        <v>20</v>
      </c>
      <c r="IP7" s="3">
        <f t="shared" si="73"/>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40</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40</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40</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40</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40</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40</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74"/>
        <v>10</v>
      </c>
      <c r="CU8" s="2">
        <f t="shared" si="16"/>
        <v>10</v>
      </c>
      <c r="CV8" s="2">
        <f t="shared" si="16"/>
        <v>10</v>
      </c>
      <c r="CW8" s="2">
        <f t="shared" si="16"/>
        <v>40</v>
      </c>
      <c r="CX8" s="2">
        <f t="shared" si="16"/>
        <v>40</v>
      </c>
      <c r="CY8" s="2">
        <f t="shared" si="16"/>
        <v>40</v>
      </c>
      <c r="CZ8" s="2">
        <f t="shared" si="16"/>
        <v>40</v>
      </c>
      <c r="DA8" s="2">
        <f t="shared" si="16"/>
        <v>20</v>
      </c>
      <c r="DB8" s="3">
        <f t="shared" si="16"/>
        <v>0</v>
      </c>
      <c r="DC8" s="3">
        <f t="shared" si="17"/>
        <v>0</v>
      </c>
      <c r="DD8" s="3">
        <f t="shared" si="18"/>
        <v>0</v>
      </c>
      <c r="DE8" s="3">
        <f t="shared" si="19"/>
        <v>0</v>
      </c>
      <c r="DF8" s="3">
        <f t="shared" si="20"/>
        <v>0</v>
      </c>
      <c r="DG8" s="3">
        <f t="shared" si="21"/>
        <v>0</v>
      </c>
      <c r="DH8" s="3">
        <f t="shared" si="22"/>
        <v>0</v>
      </c>
      <c r="DI8" s="3">
        <f t="shared" si="23"/>
        <v>0</v>
      </c>
      <c r="DJ8" s="2">
        <f t="shared" si="40"/>
        <v>10</v>
      </c>
      <c r="DK8" s="2">
        <f t="shared" si="24"/>
        <v>10</v>
      </c>
      <c r="DL8" s="2">
        <f t="shared" si="24"/>
        <v>10</v>
      </c>
      <c r="DM8" s="2">
        <f t="shared" si="24"/>
        <v>40</v>
      </c>
      <c r="DN8" s="2">
        <f t="shared" si="24"/>
        <v>40</v>
      </c>
      <c r="DO8" s="2">
        <f t="shared" si="24"/>
        <v>40</v>
      </c>
      <c r="DP8" s="2">
        <f t="shared" si="24"/>
        <v>40</v>
      </c>
      <c r="DQ8" s="2">
        <f t="shared" si="24"/>
        <v>20</v>
      </c>
      <c r="DR8" s="3">
        <f t="shared" si="41"/>
        <v>0</v>
      </c>
      <c r="DS8" s="3">
        <f t="shared" si="42"/>
        <v>0</v>
      </c>
      <c r="DT8" s="3">
        <f t="shared" si="43"/>
        <v>0</v>
      </c>
      <c r="DU8" s="3">
        <f t="shared" si="44"/>
        <v>0</v>
      </c>
      <c r="DV8" s="3">
        <f t="shared" si="45"/>
        <v>0</v>
      </c>
      <c r="DW8" s="3">
        <f t="shared" si="46"/>
        <v>0</v>
      </c>
      <c r="DX8" s="3">
        <f t="shared" si="47"/>
        <v>0</v>
      </c>
      <c r="DY8" s="3">
        <f t="shared" si="48"/>
        <v>0</v>
      </c>
      <c r="DZ8" s="2">
        <f>'Demand Stage 2'!AH7</f>
        <v>10</v>
      </c>
      <c r="EA8" s="2">
        <f>'Demand Stage 2'!AI7</f>
        <v>10</v>
      </c>
      <c r="EB8" s="2">
        <f>'Demand Stage 2'!AJ7</f>
        <v>10</v>
      </c>
      <c r="EC8" s="2">
        <f>'Demand Stage 2'!AK7</f>
        <v>40</v>
      </c>
      <c r="ED8" s="2">
        <f>'Demand Stage 2'!AL7</f>
        <v>40</v>
      </c>
      <c r="EE8" s="2">
        <f>'Demand Stage 2'!AM7</f>
        <v>40</v>
      </c>
      <c r="EF8" s="2">
        <f>'Demand Stage 2'!AN7</f>
        <v>40</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49"/>
        <v>10</v>
      </c>
      <c r="EQ8" s="2">
        <f t="shared" si="26"/>
        <v>10</v>
      </c>
      <c r="ER8" s="2">
        <f t="shared" si="26"/>
        <v>10</v>
      </c>
      <c r="ES8" s="2">
        <f t="shared" si="26"/>
        <v>40</v>
      </c>
      <c r="ET8" s="2">
        <f t="shared" si="26"/>
        <v>40</v>
      </c>
      <c r="EU8" s="2">
        <f t="shared" si="26"/>
        <v>40</v>
      </c>
      <c r="EV8" s="2">
        <f t="shared" si="26"/>
        <v>40</v>
      </c>
      <c r="EW8" s="2">
        <f t="shared" si="26"/>
        <v>20</v>
      </c>
      <c r="EX8" s="3">
        <f t="shared" si="50"/>
        <v>0</v>
      </c>
      <c r="EY8" s="3">
        <f t="shared" si="27"/>
        <v>0</v>
      </c>
      <c r="EZ8" s="3">
        <f t="shared" si="27"/>
        <v>0</v>
      </c>
      <c r="FA8" s="3">
        <f t="shared" si="27"/>
        <v>0</v>
      </c>
      <c r="FB8" s="3">
        <f t="shared" si="27"/>
        <v>0</v>
      </c>
      <c r="FC8" s="3">
        <f t="shared" si="27"/>
        <v>0</v>
      </c>
      <c r="FD8" s="3">
        <f t="shared" si="27"/>
        <v>0</v>
      </c>
      <c r="FE8" s="3">
        <f t="shared" si="27"/>
        <v>0</v>
      </c>
      <c r="FF8" s="2">
        <f t="shared" si="51"/>
        <v>10</v>
      </c>
      <c r="FG8" s="2">
        <f t="shared" si="28"/>
        <v>10</v>
      </c>
      <c r="FH8" s="2">
        <f t="shared" si="28"/>
        <v>10</v>
      </c>
      <c r="FI8" s="2">
        <f t="shared" si="28"/>
        <v>40</v>
      </c>
      <c r="FJ8" s="2">
        <f t="shared" si="28"/>
        <v>40</v>
      </c>
      <c r="FK8" s="2">
        <f t="shared" si="28"/>
        <v>40</v>
      </c>
      <c r="FL8" s="2">
        <f t="shared" si="28"/>
        <v>40</v>
      </c>
      <c r="FM8" s="2">
        <f t="shared" si="28"/>
        <v>20</v>
      </c>
      <c r="FN8" s="3">
        <f t="shared" si="52"/>
        <v>0</v>
      </c>
      <c r="FO8" s="3">
        <f t="shared" si="53"/>
        <v>0</v>
      </c>
      <c r="FP8" s="3">
        <f t="shared" si="54"/>
        <v>0</v>
      </c>
      <c r="FQ8" s="3">
        <f t="shared" si="55"/>
        <v>0</v>
      </c>
      <c r="FR8" s="3">
        <f t="shared" si="56"/>
        <v>0</v>
      </c>
      <c r="FS8" s="3">
        <f t="shared" si="57"/>
        <v>0</v>
      </c>
      <c r="FT8" s="3">
        <f t="shared" si="58"/>
        <v>0</v>
      </c>
      <c r="FU8" s="3">
        <f t="shared" si="59"/>
        <v>0</v>
      </c>
      <c r="FV8" s="2">
        <f t="shared" si="60"/>
        <v>10</v>
      </c>
      <c r="FW8" s="2">
        <f t="shared" si="30"/>
        <v>10</v>
      </c>
      <c r="FX8" s="2">
        <f t="shared" si="30"/>
        <v>10</v>
      </c>
      <c r="FY8" s="2">
        <f t="shared" si="30"/>
        <v>40</v>
      </c>
      <c r="FZ8" s="2">
        <f t="shared" si="30"/>
        <v>40</v>
      </c>
      <c r="GA8" s="2">
        <f t="shared" si="30"/>
        <v>40</v>
      </c>
      <c r="GB8" s="2">
        <f t="shared" si="30"/>
        <v>40</v>
      </c>
      <c r="GC8" s="2">
        <f t="shared" si="30"/>
        <v>20</v>
      </c>
      <c r="GD8" s="3">
        <f t="shared" si="61"/>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40</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75"/>
        <v>10</v>
      </c>
      <c r="HC8" s="2">
        <f t="shared" si="32"/>
        <v>10</v>
      </c>
      <c r="HD8" s="2">
        <f t="shared" si="32"/>
        <v>10</v>
      </c>
      <c r="HE8" s="2">
        <f t="shared" si="32"/>
        <v>40</v>
      </c>
      <c r="HF8" s="2">
        <f t="shared" si="32"/>
        <v>40</v>
      </c>
      <c r="HG8" s="2">
        <f t="shared" si="32"/>
        <v>40</v>
      </c>
      <c r="HH8" s="2">
        <f t="shared" si="32"/>
        <v>40</v>
      </c>
      <c r="HI8" s="2">
        <f t="shared" si="32"/>
        <v>20</v>
      </c>
      <c r="HJ8" s="3">
        <f t="shared" si="62"/>
        <v>0</v>
      </c>
      <c r="HK8" s="3">
        <f t="shared" si="63"/>
        <v>0</v>
      </c>
      <c r="HL8" s="3">
        <f t="shared" si="64"/>
        <v>0</v>
      </c>
      <c r="HM8" s="3">
        <f t="shared" si="65"/>
        <v>0</v>
      </c>
      <c r="HN8" s="3">
        <f t="shared" si="66"/>
        <v>0</v>
      </c>
      <c r="HO8" s="3">
        <f t="shared" si="67"/>
        <v>0</v>
      </c>
      <c r="HP8" s="3">
        <f t="shared" si="68"/>
        <v>0</v>
      </c>
      <c r="HQ8" s="3">
        <f t="shared" si="69"/>
        <v>0</v>
      </c>
      <c r="HR8" s="2">
        <f t="shared" si="70"/>
        <v>10</v>
      </c>
      <c r="HS8" s="2">
        <f t="shared" si="34"/>
        <v>10</v>
      </c>
      <c r="HT8" s="2">
        <f t="shared" si="34"/>
        <v>10</v>
      </c>
      <c r="HU8" s="2">
        <f t="shared" si="34"/>
        <v>40</v>
      </c>
      <c r="HV8" s="2">
        <f t="shared" si="34"/>
        <v>40</v>
      </c>
      <c r="HW8" s="2">
        <f t="shared" si="34"/>
        <v>40</v>
      </c>
      <c r="HX8" s="2">
        <f t="shared" si="34"/>
        <v>40</v>
      </c>
      <c r="HY8" s="2">
        <f t="shared" si="34"/>
        <v>20</v>
      </c>
      <c r="HZ8" s="3">
        <f t="shared" si="71"/>
        <v>0</v>
      </c>
      <c r="IA8" s="3">
        <f t="shared" si="35"/>
        <v>0</v>
      </c>
      <c r="IB8" s="3">
        <f t="shared" si="35"/>
        <v>0</v>
      </c>
      <c r="IC8" s="3">
        <f t="shared" si="35"/>
        <v>0</v>
      </c>
      <c r="ID8" s="3">
        <f t="shared" si="35"/>
        <v>0</v>
      </c>
      <c r="IE8" s="3">
        <f t="shared" si="35"/>
        <v>0</v>
      </c>
      <c r="IF8" s="3">
        <f t="shared" si="35"/>
        <v>0</v>
      </c>
      <c r="IG8" s="3">
        <f t="shared" si="35"/>
        <v>0</v>
      </c>
      <c r="IH8" s="2">
        <f t="shared" si="72"/>
        <v>10</v>
      </c>
      <c r="II8" s="2">
        <f t="shared" si="36"/>
        <v>10</v>
      </c>
      <c r="IJ8" s="2">
        <f t="shared" si="36"/>
        <v>10</v>
      </c>
      <c r="IK8" s="2">
        <f t="shared" si="36"/>
        <v>40</v>
      </c>
      <c r="IL8" s="2">
        <f t="shared" si="36"/>
        <v>40</v>
      </c>
      <c r="IM8" s="2">
        <f t="shared" si="36"/>
        <v>40</v>
      </c>
      <c r="IN8" s="2">
        <f t="shared" si="36"/>
        <v>40</v>
      </c>
      <c r="IO8" s="2">
        <f t="shared" si="36"/>
        <v>20</v>
      </c>
      <c r="IP8" s="3">
        <f t="shared" si="73"/>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40</v>
      </c>
      <c r="F9" s="2">
        <f>'Demand Stage 2'!F8</f>
        <v>40</v>
      </c>
      <c r="G9" s="2">
        <f>'Demand Stage 2'!G8</f>
        <v>40</v>
      </c>
      <c r="H9" s="2">
        <f>'Demand Stage 2'!H8</f>
        <v>40</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40</v>
      </c>
      <c r="V9" s="2">
        <f>'Demand Stage 2'!F8</f>
        <v>40</v>
      </c>
      <c r="W9" s="2">
        <f>'Demand Stage 2'!G8</f>
        <v>40</v>
      </c>
      <c r="X9" s="2">
        <f>'Demand Stage 2'!H8</f>
        <v>40</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40</v>
      </c>
      <c r="AL9" s="2">
        <f>'Demand Stage 2'!F8</f>
        <v>40</v>
      </c>
      <c r="AM9" s="2">
        <f>'Demand Stage 2'!G8</f>
        <v>40</v>
      </c>
      <c r="AN9" s="2">
        <f>'Demand Stage 2'!H8</f>
        <v>40</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40</v>
      </c>
      <c r="BB9" s="2">
        <f>'Demand Stage 2'!F8</f>
        <v>40</v>
      </c>
      <c r="BC9" s="2">
        <f>'Demand Stage 2'!G8</f>
        <v>40</v>
      </c>
      <c r="BD9" s="2">
        <f>'Demand Stage 2'!H8</f>
        <v>40</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40</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40</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74"/>
        <v>10</v>
      </c>
      <c r="CU9" s="2">
        <f t="shared" si="16"/>
        <v>10</v>
      </c>
      <c r="CV9" s="2">
        <f t="shared" si="16"/>
        <v>10</v>
      </c>
      <c r="CW9" s="2">
        <f t="shared" si="16"/>
        <v>40</v>
      </c>
      <c r="CX9" s="2">
        <f t="shared" si="16"/>
        <v>40</v>
      </c>
      <c r="CY9" s="2">
        <f t="shared" si="16"/>
        <v>40</v>
      </c>
      <c r="CZ9" s="2">
        <f t="shared" si="16"/>
        <v>40</v>
      </c>
      <c r="DA9" s="2">
        <f t="shared" si="16"/>
        <v>20</v>
      </c>
      <c r="DB9" s="3">
        <f>CL9</f>
        <v>0</v>
      </c>
      <c r="DC9" s="3">
        <f t="shared" si="17"/>
        <v>0</v>
      </c>
      <c r="DD9" s="3">
        <f t="shared" si="18"/>
        <v>0</v>
      </c>
      <c r="DE9" s="3">
        <f t="shared" si="19"/>
        <v>0</v>
      </c>
      <c r="DF9" s="3">
        <f t="shared" si="20"/>
        <v>0</v>
      </c>
      <c r="DG9" s="3">
        <f t="shared" si="21"/>
        <v>0</v>
      </c>
      <c r="DH9" s="3">
        <f t="shared" si="22"/>
        <v>0</v>
      </c>
      <c r="DI9" s="3">
        <f t="shared" si="23"/>
        <v>0</v>
      </c>
      <c r="DJ9" s="2">
        <f t="shared" si="40"/>
        <v>10</v>
      </c>
      <c r="DK9" s="2">
        <f t="shared" si="24"/>
        <v>10</v>
      </c>
      <c r="DL9" s="2">
        <f t="shared" si="24"/>
        <v>10</v>
      </c>
      <c r="DM9" s="2">
        <f t="shared" si="24"/>
        <v>40</v>
      </c>
      <c r="DN9" s="2">
        <f t="shared" si="24"/>
        <v>40</v>
      </c>
      <c r="DO9" s="2">
        <f t="shared" si="24"/>
        <v>40</v>
      </c>
      <c r="DP9" s="2">
        <f t="shared" si="24"/>
        <v>40</v>
      </c>
      <c r="DQ9" s="2">
        <f t="shared" si="24"/>
        <v>20</v>
      </c>
      <c r="DR9" s="3">
        <f t="shared" si="41"/>
        <v>0</v>
      </c>
      <c r="DS9" s="3">
        <f t="shared" si="42"/>
        <v>0</v>
      </c>
      <c r="DT9" s="3">
        <f t="shared" si="43"/>
        <v>0</v>
      </c>
      <c r="DU9" s="3">
        <f t="shared" si="44"/>
        <v>0</v>
      </c>
      <c r="DV9" s="3">
        <f t="shared" si="45"/>
        <v>0</v>
      </c>
      <c r="DW9" s="3">
        <f t="shared" si="46"/>
        <v>0</v>
      </c>
      <c r="DX9" s="3">
        <f t="shared" si="47"/>
        <v>0</v>
      </c>
      <c r="DY9" s="3">
        <f t="shared" si="48"/>
        <v>0</v>
      </c>
      <c r="DZ9" s="2">
        <f>'Demand Stage 2'!AH8</f>
        <v>10</v>
      </c>
      <c r="EA9" s="2">
        <f>'Demand Stage 2'!AI8</f>
        <v>10</v>
      </c>
      <c r="EB9" s="2">
        <f>'Demand Stage 2'!AJ8</f>
        <v>10</v>
      </c>
      <c r="EC9" s="2">
        <f>'Demand Stage 2'!AK8</f>
        <v>40</v>
      </c>
      <c r="ED9" s="2">
        <f>'Demand Stage 2'!AL8</f>
        <v>40</v>
      </c>
      <c r="EE9" s="2">
        <f>'Demand Stage 2'!AM8</f>
        <v>40</v>
      </c>
      <c r="EF9" s="2">
        <f>'Demand Stage 2'!AN8</f>
        <v>40</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49"/>
        <v>10</v>
      </c>
      <c r="EQ9" s="2">
        <f t="shared" si="26"/>
        <v>10</v>
      </c>
      <c r="ER9" s="2">
        <f t="shared" si="26"/>
        <v>10</v>
      </c>
      <c r="ES9" s="2">
        <f t="shared" si="26"/>
        <v>40</v>
      </c>
      <c r="ET9" s="2">
        <f t="shared" si="26"/>
        <v>40</v>
      </c>
      <c r="EU9" s="2">
        <f t="shared" si="26"/>
        <v>40</v>
      </c>
      <c r="EV9" s="2">
        <f t="shared" si="26"/>
        <v>40</v>
      </c>
      <c r="EW9" s="2">
        <f t="shared" si="26"/>
        <v>20</v>
      </c>
      <c r="EX9" s="3">
        <f t="shared" si="50"/>
        <v>0</v>
      </c>
      <c r="EY9" s="3">
        <f t="shared" si="27"/>
        <v>0</v>
      </c>
      <c r="EZ9" s="3">
        <f t="shared" si="27"/>
        <v>0</v>
      </c>
      <c r="FA9" s="3">
        <f t="shared" si="27"/>
        <v>0</v>
      </c>
      <c r="FB9" s="3">
        <f t="shared" si="27"/>
        <v>0</v>
      </c>
      <c r="FC9" s="3">
        <f t="shared" si="27"/>
        <v>0</v>
      </c>
      <c r="FD9" s="3">
        <f t="shared" si="27"/>
        <v>0</v>
      </c>
      <c r="FE9" s="3">
        <f t="shared" si="27"/>
        <v>0</v>
      </c>
      <c r="FF9" s="2">
        <f t="shared" si="51"/>
        <v>10</v>
      </c>
      <c r="FG9" s="2">
        <f t="shared" si="28"/>
        <v>10</v>
      </c>
      <c r="FH9" s="2">
        <f t="shared" si="28"/>
        <v>10</v>
      </c>
      <c r="FI9" s="2">
        <f t="shared" si="28"/>
        <v>40</v>
      </c>
      <c r="FJ9" s="2">
        <f t="shared" si="28"/>
        <v>40</v>
      </c>
      <c r="FK9" s="2">
        <f t="shared" si="28"/>
        <v>40</v>
      </c>
      <c r="FL9" s="2">
        <f t="shared" si="28"/>
        <v>40</v>
      </c>
      <c r="FM9" s="2">
        <f t="shared" si="28"/>
        <v>20</v>
      </c>
      <c r="FN9" s="3">
        <f t="shared" si="52"/>
        <v>0</v>
      </c>
      <c r="FO9" s="3">
        <f t="shared" si="53"/>
        <v>0</v>
      </c>
      <c r="FP9" s="3">
        <f t="shared" si="54"/>
        <v>0</v>
      </c>
      <c r="FQ9" s="3">
        <f t="shared" si="55"/>
        <v>0</v>
      </c>
      <c r="FR9" s="3">
        <f t="shared" si="56"/>
        <v>0</v>
      </c>
      <c r="FS9" s="3">
        <f t="shared" si="57"/>
        <v>0</v>
      </c>
      <c r="FT9" s="3">
        <f t="shared" si="58"/>
        <v>0</v>
      </c>
      <c r="FU9" s="3">
        <f t="shared" si="59"/>
        <v>0</v>
      </c>
      <c r="FV9" s="2">
        <f t="shared" si="60"/>
        <v>10</v>
      </c>
      <c r="FW9" s="2">
        <f t="shared" si="30"/>
        <v>10</v>
      </c>
      <c r="FX9" s="2">
        <f t="shared" si="30"/>
        <v>10</v>
      </c>
      <c r="FY9" s="2">
        <f t="shared" si="30"/>
        <v>40</v>
      </c>
      <c r="FZ9" s="2">
        <f t="shared" si="30"/>
        <v>40</v>
      </c>
      <c r="GA9" s="2">
        <f t="shared" si="30"/>
        <v>40</v>
      </c>
      <c r="GB9" s="2">
        <f t="shared" si="30"/>
        <v>40</v>
      </c>
      <c r="GC9" s="2">
        <f t="shared" si="30"/>
        <v>20</v>
      </c>
      <c r="GD9" s="3">
        <f t="shared" si="61"/>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40</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75"/>
        <v>10</v>
      </c>
      <c r="HC9" s="2">
        <f t="shared" si="32"/>
        <v>10</v>
      </c>
      <c r="HD9" s="2">
        <f t="shared" si="32"/>
        <v>10</v>
      </c>
      <c r="HE9" s="2">
        <f t="shared" si="32"/>
        <v>40</v>
      </c>
      <c r="HF9" s="2">
        <f t="shared" si="32"/>
        <v>40</v>
      </c>
      <c r="HG9" s="2">
        <f t="shared" si="32"/>
        <v>40</v>
      </c>
      <c r="HH9" s="2">
        <f t="shared" si="32"/>
        <v>40</v>
      </c>
      <c r="HI9" s="2">
        <f t="shared" si="32"/>
        <v>20</v>
      </c>
      <c r="HJ9" s="3">
        <f t="shared" si="62"/>
        <v>0</v>
      </c>
      <c r="HK9" s="3">
        <f t="shared" si="63"/>
        <v>0</v>
      </c>
      <c r="HL9" s="3">
        <f t="shared" si="64"/>
        <v>0</v>
      </c>
      <c r="HM9" s="3">
        <f t="shared" si="65"/>
        <v>0</v>
      </c>
      <c r="HN9" s="3">
        <f t="shared" si="66"/>
        <v>0</v>
      </c>
      <c r="HO9" s="3">
        <f t="shared" si="67"/>
        <v>0</v>
      </c>
      <c r="HP9" s="3">
        <f t="shared" si="68"/>
        <v>0</v>
      </c>
      <c r="HQ9" s="3">
        <f t="shared" si="69"/>
        <v>0</v>
      </c>
      <c r="HR9" s="2">
        <f t="shared" si="70"/>
        <v>10</v>
      </c>
      <c r="HS9" s="2">
        <f t="shared" si="34"/>
        <v>10</v>
      </c>
      <c r="HT9" s="2">
        <f t="shared" si="34"/>
        <v>10</v>
      </c>
      <c r="HU9" s="2">
        <f t="shared" si="34"/>
        <v>40</v>
      </c>
      <c r="HV9" s="2">
        <f t="shared" si="34"/>
        <v>40</v>
      </c>
      <c r="HW9" s="2">
        <f t="shared" si="34"/>
        <v>40</v>
      </c>
      <c r="HX9" s="2">
        <f t="shared" si="34"/>
        <v>40</v>
      </c>
      <c r="HY9" s="2">
        <f t="shared" si="34"/>
        <v>20</v>
      </c>
      <c r="HZ9" s="3">
        <f t="shared" si="71"/>
        <v>0</v>
      </c>
      <c r="IA9" s="3">
        <f t="shared" si="35"/>
        <v>0</v>
      </c>
      <c r="IB9" s="3">
        <f t="shared" si="35"/>
        <v>0</v>
      </c>
      <c r="IC9" s="3">
        <f t="shared" si="35"/>
        <v>0</v>
      </c>
      <c r="ID9" s="3">
        <f t="shared" si="35"/>
        <v>0</v>
      </c>
      <c r="IE9" s="3">
        <f t="shared" si="35"/>
        <v>0</v>
      </c>
      <c r="IF9" s="3">
        <f t="shared" si="35"/>
        <v>0</v>
      </c>
      <c r="IG9" s="3">
        <f t="shared" si="35"/>
        <v>0</v>
      </c>
      <c r="IH9" s="2">
        <f t="shared" si="72"/>
        <v>10</v>
      </c>
      <c r="II9" s="2">
        <f t="shared" si="36"/>
        <v>10</v>
      </c>
      <c r="IJ9" s="2">
        <f t="shared" si="36"/>
        <v>10</v>
      </c>
      <c r="IK9" s="2">
        <f t="shared" si="36"/>
        <v>40</v>
      </c>
      <c r="IL9" s="2">
        <f t="shared" si="36"/>
        <v>40</v>
      </c>
      <c r="IM9" s="2">
        <f t="shared" si="36"/>
        <v>40</v>
      </c>
      <c r="IN9" s="2">
        <f t="shared" si="36"/>
        <v>40</v>
      </c>
      <c r="IO9" s="2">
        <f t="shared" si="36"/>
        <v>20</v>
      </c>
      <c r="IP9" s="3">
        <f t="shared" si="73"/>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f>'Demand Stage 2'!B9</f>
        <v>10</v>
      </c>
      <c r="C10" s="2">
        <f>'Demand Stage 2'!C9</f>
        <v>10</v>
      </c>
      <c r="D10" s="2">
        <f>'Demand Stage 2'!D9</f>
        <v>10</v>
      </c>
      <c r="E10" s="2">
        <f>'Demand Stage 2'!E9</f>
        <v>50</v>
      </c>
      <c r="F10" s="2">
        <f>'Demand Stage 2'!F9</f>
        <v>50</v>
      </c>
      <c r="G10" s="2">
        <f>'Demand Stage 2'!G9</f>
        <v>40</v>
      </c>
      <c r="H10" s="2">
        <f>'Demand Stage 2'!H9</f>
        <v>50</v>
      </c>
      <c r="I10" s="2">
        <f>'Demand Stage 2'!I9</f>
        <v>20</v>
      </c>
      <c r="J10" s="3"/>
      <c r="K10" s="3"/>
      <c r="L10" s="3"/>
      <c r="M10" s="3"/>
      <c r="N10" s="3"/>
      <c r="O10" s="3"/>
      <c r="P10" s="3"/>
      <c r="Q10" s="3"/>
      <c r="R10" s="2">
        <f>'Demand Stage 2'!B9</f>
        <v>10</v>
      </c>
      <c r="S10" s="2">
        <f>'Demand Stage 2'!C9</f>
        <v>10</v>
      </c>
      <c r="T10" s="2">
        <f>'Demand Stage 2'!D9</f>
        <v>10</v>
      </c>
      <c r="U10" s="2">
        <f>'Demand Stage 2'!E9</f>
        <v>50</v>
      </c>
      <c r="V10" s="2">
        <f>'Demand Stage 2'!F9</f>
        <v>50</v>
      </c>
      <c r="W10" s="2">
        <f>'Demand Stage 2'!G9</f>
        <v>40</v>
      </c>
      <c r="X10" s="2">
        <f>'Demand Stage 2'!H9</f>
        <v>50</v>
      </c>
      <c r="Y10" s="2">
        <f>'Demand Stage 2'!I9</f>
        <v>20</v>
      </c>
      <c r="Z10" s="3"/>
      <c r="AA10" s="3"/>
      <c r="AB10" s="3"/>
      <c r="AC10" s="3"/>
      <c r="AD10" s="3"/>
      <c r="AE10" s="3"/>
      <c r="AF10" s="3"/>
      <c r="AG10" s="3"/>
      <c r="AH10" s="2">
        <f>'Demand Stage 2'!B9</f>
        <v>10</v>
      </c>
      <c r="AI10" s="2">
        <f>'Demand Stage 2'!C9</f>
        <v>10</v>
      </c>
      <c r="AJ10" s="2">
        <f>'Demand Stage 2'!D9</f>
        <v>10</v>
      </c>
      <c r="AK10" s="2">
        <f>'Demand Stage 2'!E9</f>
        <v>50</v>
      </c>
      <c r="AL10" s="2">
        <f>'Demand Stage 2'!F9</f>
        <v>50</v>
      </c>
      <c r="AM10" s="2">
        <f>'Demand Stage 2'!G9</f>
        <v>40</v>
      </c>
      <c r="AN10" s="2">
        <f>'Demand Stage 2'!H9</f>
        <v>50</v>
      </c>
      <c r="AO10" s="2">
        <f>'Demand Stage 2'!I9</f>
        <v>20</v>
      </c>
      <c r="AP10" s="3"/>
      <c r="AQ10" s="3"/>
      <c r="AR10" s="3"/>
      <c r="AS10" s="3"/>
      <c r="AT10" s="3"/>
      <c r="AU10" s="3"/>
      <c r="AV10" s="3"/>
      <c r="AW10" s="3"/>
      <c r="AX10" s="2">
        <f>'Demand Stage 2'!B9</f>
        <v>10</v>
      </c>
      <c r="AY10" s="2">
        <f>'Demand Stage 2'!C9</f>
        <v>10</v>
      </c>
      <c r="AZ10" s="2">
        <f>'Demand Stage 2'!D9</f>
        <v>10</v>
      </c>
      <c r="BA10" s="2">
        <f>'Demand Stage 2'!E9</f>
        <v>50</v>
      </c>
      <c r="BB10" s="2">
        <f>'Demand Stage 2'!F9</f>
        <v>50</v>
      </c>
      <c r="BC10" s="2">
        <f>'Demand Stage 2'!G9</f>
        <v>40</v>
      </c>
      <c r="BD10" s="2">
        <f>'Demand Stage 2'!H9</f>
        <v>50</v>
      </c>
      <c r="BE10" s="2">
        <f>'Demand Stage 2'!I9</f>
        <v>20</v>
      </c>
      <c r="BF10" s="3"/>
      <c r="BG10" s="3"/>
      <c r="BH10" s="3"/>
      <c r="BI10" s="3"/>
      <c r="BJ10" s="3"/>
      <c r="BK10" s="3"/>
      <c r="BL10" s="3"/>
      <c r="BM10" s="3"/>
      <c r="BN10" s="2">
        <f>'Demand Stage 2'!R9</f>
        <v>10</v>
      </c>
      <c r="BO10" s="2">
        <f>'Demand Stage 2'!S9</f>
        <v>10</v>
      </c>
      <c r="BP10" s="2">
        <f>'Demand Stage 2'!T9</f>
        <v>10</v>
      </c>
      <c r="BQ10" s="2">
        <f>'Demand Stage 2'!U9</f>
        <v>50</v>
      </c>
      <c r="BR10" s="2">
        <f>'Demand Stage 2'!V9</f>
        <v>50</v>
      </c>
      <c r="BS10" s="2">
        <f>'Demand Stage 2'!W9</f>
        <v>40</v>
      </c>
      <c r="BT10" s="2">
        <f>'Demand Stage 2'!X9</f>
        <v>40</v>
      </c>
      <c r="BU10" s="2">
        <f>'Demand Stage 2'!Y9</f>
        <v>20</v>
      </c>
      <c r="BV10" s="3"/>
      <c r="BW10" s="3"/>
      <c r="BX10" s="3"/>
      <c r="BY10" s="3"/>
      <c r="BZ10" s="3"/>
      <c r="CA10" s="3"/>
      <c r="CB10" s="3"/>
      <c r="CC10" s="3"/>
      <c r="CD10" s="2">
        <f t="shared" si="38"/>
        <v>10</v>
      </c>
      <c r="CE10" s="2">
        <f t="shared" si="14"/>
        <v>10</v>
      </c>
      <c r="CF10" s="2">
        <f t="shared" si="14"/>
        <v>10</v>
      </c>
      <c r="CG10" s="2">
        <f t="shared" si="14"/>
        <v>50</v>
      </c>
      <c r="CH10" s="2">
        <f t="shared" si="14"/>
        <v>50</v>
      </c>
      <c r="CI10" s="2">
        <f t="shared" si="14"/>
        <v>40</v>
      </c>
      <c r="CJ10" s="2">
        <f t="shared" si="14"/>
        <v>40</v>
      </c>
      <c r="CK10" s="2">
        <f t="shared" si="14"/>
        <v>20</v>
      </c>
      <c r="CL10" s="3"/>
      <c r="CM10" s="3"/>
      <c r="CN10" s="3"/>
      <c r="CO10" s="3"/>
      <c r="CP10" s="3"/>
      <c r="CQ10" s="3"/>
      <c r="CR10" s="3"/>
      <c r="CS10" s="3"/>
      <c r="CT10" s="2">
        <f t="shared" si="74"/>
        <v>10</v>
      </c>
      <c r="CU10" s="2">
        <f t="shared" si="16"/>
        <v>10</v>
      </c>
      <c r="CV10" s="2">
        <f t="shared" si="16"/>
        <v>10</v>
      </c>
      <c r="CW10" s="2">
        <f t="shared" si="16"/>
        <v>50</v>
      </c>
      <c r="CX10" s="2">
        <f t="shared" si="16"/>
        <v>50</v>
      </c>
      <c r="CY10" s="2">
        <f t="shared" si="16"/>
        <v>40</v>
      </c>
      <c r="CZ10" s="2">
        <f t="shared" si="16"/>
        <v>40</v>
      </c>
      <c r="DA10" s="2">
        <f t="shared" si="16"/>
        <v>20</v>
      </c>
      <c r="DB10" s="3"/>
      <c r="DC10" s="3"/>
      <c r="DD10" s="3"/>
      <c r="DE10" s="3"/>
      <c r="DF10" s="3"/>
      <c r="DG10" s="3"/>
      <c r="DH10" s="3"/>
      <c r="DI10" s="3"/>
      <c r="DJ10" s="2">
        <f t="shared" si="40"/>
        <v>10</v>
      </c>
      <c r="DK10" s="2">
        <f t="shared" si="24"/>
        <v>10</v>
      </c>
      <c r="DL10" s="2">
        <f t="shared" si="24"/>
        <v>10</v>
      </c>
      <c r="DM10" s="2">
        <f t="shared" si="24"/>
        <v>50</v>
      </c>
      <c r="DN10" s="2">
        <f t="shared" si="24"/>
        <v>50</v>
      </c>
      <c r="DO10" s="2">
        <f t="shared" si="24"/>
        <v>40</v>
      </c>
      <c r="DP10" s="2">
        <f t="shared" si="24"/>
        <v>40</v>
      </c>
      <c r="DQ10" s="2">
        <f t="shared" si="24"/>
        <v>20</v>
      </c>
      <c r="DR10" s="3"/>
      <c r="DS10" s="3"/>
      <c r="DT10" s="3"/>
      <c r="DU10" s="3"/>
      <c r="DV10" s="3"/>
      <c r="DW10" s="3"/>
      <c r="DX10" s="3"/>
      <c r="DY10" s="3"/>
      <c r="DZ10" s="2">
        <f>'Demand Stage 2'!AH9</f>
        <v>10</v>
      </c>
      <c r="EA10" s="2">
        <f>'Demand Stage 2'!AI9</f>
        <v>10</v>
      </c>
      <c r="EB10" s="2">
        <f>'Demand Stage 2'!AJ9</f>
        <v>10</v>
      </c>
      <c r="EC10" s="2">
        <f>'Demand Stage 2'!AK9</f>
        <v>40</v>
      </c>
      <c r="ED10" s="2">
        <f>'Demand Stage 2'!AL9</f>
        <v>40</v>
      </c>
      <c r="EE10" s="2">
        <f>'Demand Stage 2'!AM9</f>
        <v>40</v>
      </c>
      <c r="EF10" s="2">
        <f>'Demand Stage 2'!AN9</f>
        <v>50</v>
      </c>
      <c r="EG10" s="2">
        <f>'Demand Stage 2'!AO9</f>
        <v>20</v>
      </c>
      <c r="EH10" s="3"/>
      <c r="EI10" s="3"/>
      <c r="EJ10" s="3"/>
      <c r="EK10" s="3"/>
      <c r="EL10" s="3"/>
      <c r="EM10" s="3"/>
      <c r="EN10" s="3"/>
      <c r="EO10" s="3"/>
      <c r="EP10" s="2">
        <f t="shared" si="49"/>
        <v>10</v>
      </c>
      <c r="EQ10" s="2">
        <f t="shared" si="26"/>
        <v>10</v>
      </c>
      <c r="ER10" s="2">
        <f t="shared" si="26"/>
        <v>10</v>
      </c>
      <c r="ES10" s="2">
        <f t="shared" si="26"/>
        <v>40</v>
      </c>
      <c r="ET10" s="2">
        <f t="shared" si="26"/>
        <v>40</v>
      </c>
      <c r="EU10" s="2">
        <f t="shared" si="26"/>
        <v>40</v>
      </c>
      <c r="EV10" s="2">
        <f t="shared" si="26"/>
        <v>50</v>
      </c>
      <c r="EW10" s="2">
        <f t="shared" si="26"/>
        <v>20</v>
      </c>
      <c r="EX10" s="3"/>
      <c r="EY10" s="3"/>
      <c r="EZ10" s="3"/>
      <c r="FA10" s="3"/>
      <c r="FB10" s="3"/>
      <c r="FC10" s="3"/>
      <c r="FD10" s="3"/>
      <c r="FE10" s="3"/>
      <c r="FF10" s="2">
        <f t="shared" si="51"/>
        <v>10</v>
      </c>
      <c r="FG10" s="2">
        <f t="shared" si="28"/>
        <v>10</v>
      </c>
      <c r="FH10" s="2">
        <f t="shared" si="28"/>
        <v>10</v>
      </c>
      <c r="FI10" s="2">
        <f t="shared" si="28"/>
        <v>40</v>
      </c>
      <c r="FJ10" s="2">
        <f t="shared" si="28"/>
        <v>40</v>
      </c>
      <c r="FK10" s="2">
        <f t="shared" si="28"/>
        <v>40</v>
      </c>
      <c r="FL10" s="2">
        <f t="shared" si="28"/>
        <v>50</v>
      </c>
      <c r="FM10" s="2">
        <f t="shared" si="28"/>
        <v>20</v>
      </c>
      <c r="FN10" s="3"/>
      <c r="FO10" s="3"/>
      <c r="FP10" s="3"/>
      <c r="FQ10" s="3"/>
      <c r="FR10" s="3"/>
      <c r="FS10" s="3"/>
      <c r="FT10" s="3"/>
      <c r="FU10" s="3"/>
      <c r="FV10" s="2">
        <f t="shared" si="60"/>
        <v>10</v>
      </c>
      <c r="FW10" s="2">
        <f t="shared" si="30"/>
        <v>10</v>
      </c>
      <c r="FX10" s="2">
        <f t="shared" si="30"/>
        <v>10</v>
      </c>
      <c r="FY10" s="2">
        <f t="shared" si="30"/>
        <v>40</v>
      </c>
      <c r="FZ10" s="2">
        <f t="shared" si="30"/>
        <v>40</v>
      </c>
      <c r="GA10" s="2">
        <f t="shared" si="30"/>
        <v>40</v>
      </c>
      <c r="GB10" s="2">
        <f t="shared" si="30"/>
        <v>50</v>
      </c>
      <c r="GC10" s="2">
        <f t="shared" si="30"/>
        <v>20</v>
      </c>
      <c r="GD10" s="3"/>
      <c r="GE10" s="3"/>
      <c r="GF10" s="3"/>
      <c r="GG10" s="3"/>
      <c r="GH10" s="3"/>
      <c r="GI10" s="3"/>
      <c r="GJ10" s="3"/>
      <c r="GK10" s="3"/>
      <c r="GL10" s="2">
        <f>'Demand Stage 2'!AX9</f>
        <v>10</v>
      </c>
      <c r="GM10" s="2">
        <f>'Demand Stage 2'!AY9</f>
        <v>10</v>
      </c>
      <c r="GN10" s="2">
        <f>'Demand Stage 2'!AZ9</f>
        <v>10</v>
      </c>
      <c r="GO10" s="2">
        <f>'Demand Stage 2'!BA9</f>
        <v>40</v>
      </c>
      <c r="GP10" s="2">
        <f>'Demand Stage 2'!BB9</f>
        <v>40</v>
      </c>
      <c r="GQ10" s="2">
        <f>'Demand Stage 2'!BC9</f>
        <v>40</v>
      </c>
      <c r="GR10" s="2">
        <f>'Demand Stage 2'!BD9</f>
        <v>40</v>
      </c>
      <c r="GS10" s="2">
        <f>'Demand Stage 2'!BE9</f>
        <v>20</v>
      </c>
      <c r="GT10" s="3"/>
      <c r="GU10" s="3"/>
      <c r="GV10" s="3"/>
      <c r="GW10" s="3"/>
      <c r="GX10" s="3"/>
      <c r="GY10" s="3"/>
      <c r="GZ10" s="3"/>
      <c r="HA10" s="3"/>
      <c r="HB10" s="2">
        <f t="shared" si="75"/>
        <v>10</v>
      </c>
      <c r="HC10" s="2">
        <f t="shared" si="32"/>
        <v>10</v>
      </c>
      <c r="HD10" s="2">
        <f t="shared" si="32"/>
        <v>10</v>
      </c>
      <c r="HE10" s="2">
        <f t="shared" si="32"/>
        <v>40</v>
      </c>
      <c r="HF10" s="2">
        <f t="shared" si="32"/>
        <v>40</v>
      </c>
      <c r="HG10" s="2">
        <f t="shared" si="32"/>
        <v>40</v>
      </c>
      <c r="HH10" s="2">
        <f t="shared" si="32"/>
        <v>40</v>
      </c>
      <c r="HI10" s="2">
        <f t="shared" si="32"/>
        <v>20</v>
      </c>
      <c r="HJ10" s="3"/>
      <c r="HK10" s="3"/>
      <c r="HL10" s="3"/>
      <c r="HM10" s="3"/>
      <c r="HN10" s="3"/>
      <c r="HO10" s="3"/>
      <c r="HP10" s="3"/>
      <c r="HQ10" s="3"/>
      <c r="HR10" s="2">
        <f t="shared" si="70"/>
        <v>10</v>
      </c>
      <c r="HS10" s="2">
        <f t="shared" si="34"/>
        <v>10</v>
      </c>
      <c r="HT10" s="2">
        <f t="shared" si="34"/>
        <v>10</v>
      </c>
      <c r="HU10" s="2">
        <f t="shared" si="34"/>
        <v>40</v>
      </c>
      <c r="HV10" s="2">
        <f t="shared" si="34"/>
        <v>40</v>
      </c>
      <c r="HW10" s="2">
        <f t="shared" si="34"/>
        <v>40</v>
      </c>
      <c r="HX10" s="2">
        <f t="shared" si="34"/>
        <v>40</v>
      </c>
      <c r="HY10" s="2">
        <f t="shared" si="34"/>
        <v>20</v>
      </c>
      <c r="HZ10" s="3"/>
      <c r="IA10" s="3"/>
      <c r="IB10" s="3"/>
      <c r="IC10" s="3"/>
      <c r="ID10" s="3"/>
      <c r="IE10" s="3"/>
      <c r="IF10" s="3"/>
      <c r="IG10" s="3"/>
      <c r="IH10" s="2">
        <f t="shared" si="72"/>
        <v>10</v>
      </c>
      <c r="II10" s="2">
        <f t="shared" si="36"/>
        <v>10</v>
      </c>
      <c r="IJ10" s="2">
        <f t="shared" si="36"/>
        <v>10</v>
      </c>
      <c r="IK10" s="2">
        <f t="shared" si="36"/>
        <v>40</v>
      </c>
      <c r="IL10" s="2">
        <f t="shared" si="36"/>
        <v>40</v>
      </c>
      <c r="IM10" s="2">
        <f t="shared" si="36"/>
        <v>40</v>
      </c>
      <c r="IN10" s="2">
        <f t="shared" si="36"/>
        <v>40</v>
      </c>
      <c r="IO10" s="2">
        <f t="shared" si="36"/>
        <v>20</v>
      </c>
      <c r="IP10" s="3"/>
      <c r="IQ10" s="3"/>
      <c r="IR10" s="3"/>
      <c r="IS10" s="3"/>
      <c r="IT10" s="3"/>
      <c r="IU10" s="3"/>
      <c r="IV10" s="3"/>
      <c r="IW10" s="3"/>
    </row>
    <row r="11" spans="1:257" x14ac:dyDescent="0.2">
      <c r="A11" s="1">
        <v>5</v>
      </c>
      <c r="B11" s="2">
        <f>'Demand Stage 2'!B10</f>
        <v>10</v>
      </c>
      <c r="C11" s="2">
        <f>'Demand Stage 2'!C10</f>
        <v>10</v>
      </c>
      <c r="D11" s="2">
        <f>'Demand Stage 2'!D10</f>
        <v>10</v>
      </c>
      <c r="E11" s="2">
        <f>'Demand Stage 2'!E10</f>
        <v>40</v>
      </c>
      <c r="F11" s="2">
        <f>'Demand Stage 2'!F10</f>
        <v>40</v>
      </c>
      <c r="G11" s="2">
        <f>'Demand Stage 2'!G10</f>
        <v>40</v>
      </c>
      <c r="H11" s="2">
        <f>'Demand Stage 2'!H10</f>
        <v>35</v>
      </c>
      <c r="I11" s="2">
        <f>'Demand Stage 2'!I10</f>
        <v>20</v>
      </c>
      <c r="J11" s="3"/>
      <c r="K11" s="3"/>
      <c r="L11" s="3"/>
      <c r="M11" s="3"/>
      <c r="N11" s="3"/>
      <c r="O11" s="3"/>
      <c r="P11" s="3"/>
      <c r="Q11" s="3"/>
      <c r="R11" s="2">
        <f>'Demand Stage 2'!B10</f>
        <v>10</v>
      </c>
      <c r="S11" s="2">
        <f>'Demand Stage 2'!C10</f>
        <v>10</v>
      </c>
      <c r="T11" s="2">
        <f>'Demand Stage 2'!D10</f>
        <v>10</v>
      </c>
      <c r="U11" s="2">
        <f>'Demand Stage 2'!E10</f>
        <v>40</v>
      </c>
      <c r="V11" s="2">
        <f>'Demand Stage 2'!F10</f>
        <v>40</v>
      </c>
      <c r="W11" s="2">
        <f>'Demand Stage 2'!G10</f>
        <v>40</v>
      </c>
      <c r="X11" s="2">
        <f>'Demand Stage 2'!H10</f>
        <v>35</v>
      </c>
      <c r="Y11" s="2">
        <f>'Demand Stage 2'!I10</f>
        <v>20</v>
      </c>
      <c r="Z11" s="3"/>
      <c r="AA11" s="3"/>
      <c r="AB11" s="3"/>
      <c r="AC11" s="3"/>
      <c r="AD11" s="3"/>
      <c r="AE11" s="3"/>
      <c r="AF11" s="3"/>
      <c r="AG11" s="3"/>
      <c r="AH11" s="2">
        <f>'Demand Stage 2'!B10</f>
        <v>10</v>
      </c>
      <c r="AI11" s="2">
        <f>'Demand Stage 2'!C10</f>
        <v>10</v>
      </c>
      <c r="AJ11" s="2">
        <f>'Demand Stage 2'!D10</f>
        <v>10</v>
      </c>
      <c r="AK11" s="2">
        <f>'Demand Stage 2'!E10</f>
        <v>40</v>
      </c>
      <c r="AL11" s="2">
        <f>'Demand Stage 2'!F10</f>
        <v>40</v>
      </c>
      <c r="AM11" s="2">
        <f>'Demand Stage 2'!G10</f>
        <v>40</v>
      </c>
      <c r="AN11" s="2">
        <f>'Demand Stage 2'!H10</f>
        <v>35</v>
      </c>
      <c r="AO11" s="2">
        <f>'Demand Stage 2'!I10</f>
        <v>20</v>
      </c>
      <c r="AP11" s="3"/>
      <c r="AQ11" s="3"/>
      <c r="AR11" s="3"/>
      <c r="AS11" s="3"/>
      <c r="AT11" s="3"/>
      <c r="AU11" s="3"/>
      <c r="AV11" s="3"/>
      <c r="AW11" s="3"/>
      <c r="AX11" s="2">
        <f>'Demand Stage 2'!B10</f>
        <v>10</v>
      </c>
      <c r="AY11" s="2">
        <f>'Demand Stage 2'!C10</f>
        <v>10</v>
      </c>
      <c r="AZ11" s="2">
        <f>'Demand Stage 2'!D10</f>
        <v>10</v>
      </c>
      <c r="BA11" s="2">
        <f>'Demand Stage 2'!E10</f>
        <v>40</v>
      </c>
      <c r="BB11" s="2">
        <f>'Demand Stage 2'!F10</f>
        <v>40</v>
      </c>
      <c r="BC11" s="2">
        <f>'Demand Stage 2'!G10</f>
        <v>40</v>
      </c>
      <c r="BD11" s="2">
        <f>'Demand Stage 2'!H10</f>
        <v>35</v>
      </c>
      <c r="BE11" s="2">
        <f>'Demand Stage 2'!I10</f>
        <v>20</v>
      </c>
      <c r="BF11" s="3"/>
      <c r="BG11" s="3"/>
      <c r="BH11" s="3"/>
      <c r="BI11" s="3"/>
      <c r="BJ11" s="3"/>
      <c r="BK11" s="3"/>
      <c r="BL11" s="3"/>
      <c r="BM11" s="3"/>
      <c r="BN11" s="2">
        <f>'Demand Stage 2'!R10</f>
        <v>10</v>
      </c>
      <c r="BO11" s="2">
        <f>'Demand Stage 2'!S10</f>
        <v>10</v>
      </c>
      <c r="BP11" s="2">
        <f>'Demand Stage 2'!T10</f>
        <v>10</v>
      </c>
      <c r="BQ11" s="2">
        <f>'Demand Stage 2'!U10</f>
        <v>40</v>
      </c>
      <c r="BR11" s="2">
        <f>'Demand Stage 2'!V10</f>
        <v>40</v>
      </c>
      <c r="BS11" s="2">
        <f>'Demand Stage 2'!W10</f>
        <v>40</v>
      </c>
      <c r="BT11" s="2">
        <f>'Demand Stage 2'!X10</f>
        <v>35</v>
      </c>
      <c r="BU11" s="2">
        <f>'Demand Stage 2'!Y10</f>
        <v>20</v>
      </c>
      <c r="BV11" s="3"/>
      <c r="BW11" s="3"/>
      <c r="BX11" s="3"/>
      <c r="BY11" s="3"/>
      <c r="BZ11" s="3"/>
      <c r="CA11" s="3"/>
      <c r="CB11" s="3"/>
      <c r="CC11" s="3"/>
      <c r="CD11" s="2">
        <f t="shared" si="38"/>
        <v>10</v>
      </c>
      <c r="CE11" s="2">
        <f t="shared" si="14"/>
        <v>10</v>
      </c>
      <c r="CF11" s="2">
        <f t="shared" si="14"/>
        <v>10</v>
      </c>
      <c r="CG11" s="2">
        <f t="shared" si="14"/>
        <v>40</v>
      </c>
      <c r="CH11" s="2">
        <f t="shared" si="14"/>
        <v>40</v>
      </c>
      <c r="CI11" s="2">
        <f t="shared" si="14"/>
        <v>40</v>
      </c>
      <c r="CJ11" s="2">
        <f t="shared" si="14"/>
        <v>35</v>
      </c>
      <c r="CK11" s="2">
        <f t="shared" si="14"/>
        <v>20</v>
      </c>
      <c r="CL11" s="3"/>
      <c r="CM11" s="3"/>
      <c r="CN11" s="3"/>
      <c r="CO11" s="3"/>
      <c r="CP11" s="3"/>
      <c r="CQ11" s="3"/>
      <c r="CR11" s="3"/>
      <c r="CS11" s="3"/>
      <c r="CT11" s="2">
        <f t="shared" si="74"/>
        <v>10</v>
      </c>
      <c r="CU11" s="2">
        <f t="shared" si="16"/>
        <v>10</v>
      </c>
      <c r="CV11" s="2">
        <f t="shared" si="16"/>
        <v>10</v>
      </c>
      <c r="CW11" s="2">
        <f t="shared" si="16"/>
        <v>40</v>
      </c>
      <c r="CX11" s="2">
        <f t="shared" si="16"/>
        <v>40</v>
      </c>
      <c r="CY11" s="2">
        <f t="shared" si="16"/>
        <v>40</v>
      </c>
      <c r="CZ11" s="2">
        <f t="shared" si="16"/>
        <v>35</v>
      </c>
      <c r="DA11" s="2">
        <f t="shared" si="16"/>
        <v>20</v>
      </c>
      <c r="DB11" s="3"/>
      <c r="DC11" s="3"/>
      <c r="DD11" s="3"/>
      <c r="DE11" s="3"/>
      <c r="DF11" s="3"/>
      <c r="DG11" s="3"/>
      <c r="DH11" s="3"/>
      <c r="DI11" s="3"/>
      <c r="DJ11" s="2">
        <f t="shared" si="40"/>
        <v>10</v>
      </c>
      <c r="DK11" s="2">
        <f t="shared" si="24"/>
        <v>10</v>
      </c>
      <c r="DL11" s="2">
        <f t="shared" si="24"/>
        <v>10</v>
      </c>
      <c r="DM11" s="2">
        <f t="shared" si="24"/>
        <v>40</v>
      </c>
      <c r="DN11" s="2">
        <f t="shared" si="24"/>
        <v>40</v>
      </c>
      <c r="DO11" s="2">
        <f t="shared" si="24"/>
        <v>40</v>
      </c>
      <c r="DP11" s="2">
        <f t="shared" si="24"/>
        <v>35</v>
      </c>
      <c r="DQ11" s="2">
        <f t="shared" si="24"/>
        <v>20</v>
      </c>
      <c r="DR11" s="3"/>
      <c r="DS11" s="3"/>
      <c r="DT11" s="3"/>
      <c r="DU11" s="3"/>
      <c r="DV11" s="3"/>
      <c r="DW11" s="3"/>
      <c r="DX11" s="3"/>
      <c r="DY11" s="3"/>
      <c r="DZ11" s="2">
        <f>'Demand Stage 2'!AH10</f>
        <v>10</v>
      </c>
      <c r="EA11" s="2">
        <f>'Demand Stage 2'!AI10</f>
        <v>10</v>
      </c>
      <c r="EB11" s="2">
        <f>'Demand Stage 2'!AJ10</f>
        <v>10</v>
      </c>
      <c r="EC11" s="2">
        <f>'Demand Stage 2'!AK10</f>
        <v>40</v>
      </c>
      <c r="ED11" s="2">
        <f>'Demand Stage 2'!AL10</f>
        <v>40</v>
      </c>
      <c r="EE11" s="2">
        <f>'Demand Stage 2'!AM10</f>
        <v>40</v>
      </c>
      <c r="EF11" s="2">
        <f>'Demand Stage 2'!AN10</f>
        <v>35</v>
      </c>
      <c r="EG11" s="2">
        <f>'Demand Stage 2'!AO10</f>
        <v>20</v>
      </c>
      <c r="EH11" s="3"/>
      <c r="EI11" s="3"/>
      <c r="EJ11" s="3"/>
      <c r="EK11" s="3"/>
      <c r="EL11" s="3"/>
      <c r="EM11" s="3"/>
      <c r="EN11" s="3"/>
      <c r="EO11" s="3"/>
      <c r="EP11" s="2">
        <f t="shared" si="49"/>
        <v>10</v>
      </c>
      <c r="EQ11" s="2">
        <f t="shared" si="26"/>
        <v>10</v>
      </c>
      <c r="ER11" s="2">
        <f t="shared" si="26"/>
        <v>10</v>
      </c>
      <c r="ES11" s="2">
        <f t="shared" si="26"/>
        <v>40</v>
      </c>
      <c r="ET11" s="2">
        <f t="shared" si="26"/>
        <v>40</v>
      </c>
      <c r="EU11" s="2">
        <f t="shared" si="26"/>
        <v>40</v>
      </c>
      <c r="EV11" s="2">
        <f t="shared" si="26"/>
        <v>35</v>
      </c>
      <c r="EW11" s="2">
        <f t="shared" si="26"/>
        <v>20</v>
      </c>
      <c r="EX11" s="3"/>
      <c r="EY11" s="3"/>
      <c r="EZ11" s="3"/>
      <c r="FA11" s="3"/>
      <c r="FB11" s="3"/>
      <c r="FC11" s="3"/>
      <c r="FD11" s="3"/>
      <c r="FE11" s="3"/>
      <c r="FF11" s="2">
        <f t="shared" si="51"/>
        <v>10</v>
      </c>
      <c r="FG11" s="2">
        <f t="shared" si="28"/>
        <v>10</v>
      </c>
      <c r="FH11" s="2">
        <f t="shared" si="28"/>
        <v>10</v>
      </c>
      <c r="FI11" s="2">
        <f t="shared" si="28"/>
        <v>40</v>
      </c>
      <c r="FJ11" s="2">
        <f t="shared" si="28"/>
        <v>40</v>
      </c>
      <c r="FK11" s="2">
        <f t="shared" si="28"/>
        <v>40</v>
      </c>
      <c r="FL11" s="2">
        <f t="shared" si="28"/>
        <v>35</v>
      </c>
      <c r="FM11" s="2">
        <f t="shared" si="28"/>
        <v>20</v>
      </c>
      <c r="FN11" s="3"/>
      <c r="FO11" s="3"/>
      <c r="FP11" s="3"/>
      <c r="FQ11" s="3"/>
      <c r="FR11" s="3"/>
      <c r="FS11" s="3"/>
      <c r="FT11" s="3"/>
      <c r="FU11" s="3"/>
      <c r="FV11" s="2">
        <f t="shared" si="60"/>
        <v>10</v>
      </c>
      <c r="FW11" s="2">
        <f t="shared" si="30"/>
        <v>10</v>
      </c>
      <c r="FX11" s="2">
        <f t="shared" si="30"/>
        <v>10</v>
      </c>
      <c r="FY11" s="2">
        <f t="shared" si="30"/>
        <v>40</v>
      </c>
      <c r="FZ11" s="2">
        <f t="shared" si="30"/>
        <v>40</v>
      </c>
      <c r="GA11" s="2">
        <f t="shared" si="30"/>
        <v>40</v>
      </c>
      <c r="GB11" s="2">
        <f t="shared" si="30"/>
        <v>35</v>
      </c>
      <c r="GC11" s="2">
        <f t="shared" si="30"/>
        <v>20</v>
      </c>
      <c r="GD11" s="3"/>
      <c r="GE11" s="3"/>
      <c r="GF11" s="3"/>
      <c r="GG11" s="3"/>
      <c r="GH11" s="3"/>
      <c r="GI11" s="3"/>
      <c r="GJ11" s="3"/>
      <c r="GK11" s="3"/>
      <c r="GL11" s="2">
        <f>'Demand Stage 2'!AX10</f>
        <v>10</v>
      </c>
      <c r="GM11" s="2">
        <f>'Demand Stage 2'!AY10</f>
        <v>10</v>
      </c>
      <c r="GN11" s="2">
        <f>'Demand Stage 2'!AZ10</f>
        <v>10</v>
      </c>
      <c r="GO11" s="2">
        <f>'Demand Stage 2'!BA10</f>
        <v>40</v>
      </c>
      <c r="GP11" s="2">
        <f>'Demand Stage 2'!BB10</f>
        <v>40</v>
      </c>
      <c r="GQ11" s="2">
        <f>'Demand Stage 2'!BC10</f>
        <v>40</v>
      </c>
      <c r="GR11" s="2">
        <f>'Demand Stage 2'!BD10</f>
        <v>35</v>
      </c>
      <c r="GS11" s="2">
        <f>'Demand Stage 2'!BE10</f>
        <v>20</v>
      </c>
      <c r="GT11" s="3"/>
      <c r="GU11" s="3"/>
      <c r="GV11" s="3"/>
      <c r="GW11" s="3"/>
      <c r="GX11" s="3"/>
      <c r="GY11" s="3"/>
      <c r="GZ11" s="3"/>
      <c r="HA11" s="3"/>
      <c r="HB11" s="2">
        <f t="shared" si="75"/>
        <v>10</v>
      </c>
      <c r="HC11" s="2">
        <f t="shared" si="32"/>
        <v>10</v>
      </c>
      <c r="HD11" s="2">
        <f t="shared" si="32"/>
        <v>10</v>
      </c>
      <c r="HE11" s="2">
        <f t="shared" si="32"/>
        <v>40</v>
      </c>
      <c r="HF11" s="2">
        <f t="shared" si="32"/>
        <v>40</v>
      </c>
      <c r="HG11" s="2">
        <f t="shared" si="32"/>
        <v>40</v>
      </c>
      <c r="HH11" s="2">
        <f t="shared" si="32"/>
        <v>35</v>
      </c>
      <c r="HI11" s="2">
        <f t="shared" si="32"/>
        <v>20</v>
      </c>
      <c r="HJ11" s="3"/>
      <c r="HK11" s="3"/>
      <c r="HL11" s="3"/>
      <c r="HM11" s="3"/>
      <c r="HN11" s="3"/>
      <c r="HO11" s="3"/>
      <c r="HP11" s="3"/>
      <c r="HQ11" s="3"/>
      <c r="HR11" s="2">
        <f t="shared" si="70"/>
        <v>10</v>
      </c>
      <c r="HS11" s="2">
        <f t="shared" si="34"/>
        <v>10</v>
      </c>
      <c r="HT11" s="2">
        <f t="shared" si="34"/>
        <v>10</v>
      </c>
      <c r="HU11" s="2">
        <f t="shared" si="34"/>
        <v>40</v>
      </c>
      <c r="HV11" s="2">
        <f t="shared" si="34"/>
        <v>40</v>
      </c>
      <c r="HW11" s="2">
        <f t="shared" si="34"/>
        <v>40</v>
      </c>
      <c r="HX11" s="2">
        <f t="shared" si="34"/>
        <v>35</v>
      </c>
      <c r="HY11" s="2">
        <f t="shared" si="34"/>
        <v>20</v>
      </c>
      <c r="HZ11" s="3"/>
      <c r="IA11" s="3"/>
      <c r="IB11" s="3"/>
      <c r="IC11" s="3"/>
      <c r="ID11" s="3"/>
      <c r="IE11" s="3"/>
      <c r="IF11" s="3"/>
      <c r="IG11" s="3"/>
      <c r="IH11" s="2">
        <f t="shared" si="72"/>
        <v>10</v>
      </c>
      <c r="II11" s="2">
        <f t="shared" si="36"/>
        <v>10</v>
      </c>
      <c r="IJ11" s="2">
        <f t="shared" si="36"/>
        <v>10</v>
      </c>
      <c r="IK11" s="2">
        <f t="shared" si="36"/>
        <v>40</v>
      </c>
      <c r="IL11" s="2">
        <f t="shared" si="36"/>
        <v>40</v>
      </c>
      <c r="IM11" s="2">
        <f t="shared" si="36"/>
        <v>40</v>
      </c>
      <c r="IN11" s="2">
        <f t="shared" si="36"/>
        <v>35</v>
      </c>
      <c r="IO11" s="2">
        <f t="shared" si="36"/>
        <v>20</v>
      </c>
      <c r="IP11" s="3"/>
      <c r="IQ11" s="3"/>
      <c r="IR11" s="3"/>
      <c r="IS11" s="3"/>
      <c r="IT11" s="3"/>
      <c r="IU11" s="3"/>
      <c r="IV11" s="3"/>
      <c r="IW11" s="3"/>
    </row>
    <row r="12" spans="1:257" x14ac:dyDescent="0.2">
      <c r="A12" s="1">
        <v>6</v>
      </c>
      <c r="B12" s="2">
        <f>'Demand Stage 2'!B11</f>
        <v>10</v>
      </c>
      <c r="C12" s="2">
        <f>'Demand Stage 2'!C11</f>
        <v>10</v>
      </c>
      <c r="D12" s="2">
        <f>'Demand Stage 2'!D11</f>
        <v>10</v>
      </c>
      <c r="E12" s="2">
        <f>'Demand Stage 2'!E11</f>
        <v>40</v>
      </c>
      <c r="F12" s="2">
        <f>'Demand Stage 2'!F11</f>
        <v>40</v>
      </c>
      <c r="G12" s="2">
        <f>'Demand Stage 2'!G11</f>
        <v>40</v>
      </c>
      <c r="H12" s="2">
        <f>'Demand Stage 2'!H11</f>
        <v>35</v>
      </c>
      <c r="I12" s="2">
        <f>'Demand Stage 2'!I11</f>
        <v>20</v>
      </c>
      <c r="J12" s="3"/>
      <c r="K12" s="3"/>
      <c r="L12" s="3"/>
      <c r="M12" s="3"/>
      <c r="N12" s="3"/>
      <c r="O12" s="3"/>
      <c r="P12" s="3"/>
      <c r="Q12" s="3"/>
      <c r="R12" s="2">
        <f>'Demand Stage 2'!B11</f>
        <v>10</v>
      </c>
      <c r="S12" s="2">
        <f>'Demand Stage 2'!C11</f>
        <v>10</v>
      </c>
      <c r="T12" s="2">
        <f>'Demand Stage 2'!D11</f>
        <v>10</v>
      </c>
      <c r="U12" s="2">
        <f>'Demand Stage 2'!E11</f>
        <v>40</v>
      </c>
      <c r="V12" s="2">
        <f>'Demand Stage 2'!F11</f>
        <v>40</v>
      </c>
      <c r="W12" s="2">
        <f>'Demand Stage 2'!G11</f>
        <v>40</v>
      </c>
      <c r="X12" s="2">
        <f>'Demand Stage 2'!H11</f>
        <v>35</v>
      </c>
      <c r="Y12" s="2">
        <f>'Demand Stage 2'!I11</f>
        <v>20</v>
      </c>
      <c r="Z12" s="3"/>
      <c r="AA12" s="3"/>
      <c r="AB12" s="3"/>
      <c r="AC12" s="3"/>
      <c r="AD12" s="3"/>
      <c r="AE12" s="3"/>
      <c r="AF12" s="3"/>
      <c r="AG12" s="3"/>
      <c r="AH12" s="2">
        <f>'Demand Stage 2'!B11</f>
        <v>10</v>
      </c>
      <c r="AI12" s="2">
        <f>'Demand Stage 2'!C11</f>
        <v>10</v>
      </c>
      <c r="AJ12" s="2">
        <f>'Demand Stage 2'!D11</f>
        <v>10</v>
      </c>
      <c r="AK12" s="2">
        <f>'Demand Stage 2'!E11</f>
        <v>40</v>
      </c>
      <c r="AL12" s="2">
        <f>'Demand Stage 2'!F11</f>
        <v>40</v>
      </c>
      <c r="AM12" s="2">
        <f>'Demand Stage 2'!G11</f>
        <v>40</v>
      </c>
      <c r="AN12" s="2">
        <f>'Demand Stage 2'!H11</f>
        <v>35</v>
      </c>
      <c r="AO12" s="2">
        <f>'Demand Stage 2'!I11</f>
        <v>20</v>
      </c>
      <c r="AP12" s="3"/>
      <c r="AQ12" s="3"/>
      <c r="AR12" s="3"/>
      <c r="AS12" s="3"/>
      <c r="AT12" s="3"/>
      <c r="AU12" s="3"/>
      <c r="AV12" s="3"/>
      <c r="AW12" s="3"/>
      <c r="AX12" s="2">
        <f>'Demand Stage 2'!B11</f>
        <v>10</v>
      </c>
      <c r="AY12" s="2">
        <f>'Demand Stage 2'!C11</f>
        <v>10</v>
      </c>
      <c r="AZ12" s="2">
        <f>'Demand Stage 2'!D11</f>
        <v>10</v>
      </c>
      <c r="BA12" s="2">
        <f>'Demand Stage 2'!E11</f>
        <v>40</v>
      </c>
      <c r="BB12" s="2">
        <f>'Demand Stage 2'!F11</f>
        <v>40</v>
      </c>
      <c r="BC12" s="2">
        <f>'Demand Stage 2'!G11</f>
        <v>40</v>
      </c>
      <c r="BD12" s="2">
        <f>'Demand Stage 2'!H11</f>
        <v>35</v>
      </c>
      <c r="BE12" s="2">
        <f>'Demand Stage 2'!I11</f>
        <v>20</v>
      </c>
      <c r="BF12" s="3"/>
      <c r="BG12" s="3"/>
      <c r="BH12" s="3"/>
      <c r="BI12" s="3"/>
      <c r="BJ12" s="3"/>
      <c r="BK12" s="3"/>
      <c r="BL12" s="3"/>
      <c r="BM12" s="3"/>
      <c r="BN12" s="2">
        <f>'Demand Stage 2'!R11</f>
        <v>10</v>
      </c>
      <c r="BO12" s="2">
        <f>'Demand Stage 2'!S11</f>
        <v>10</v>
      </c>
      <c r="BP12" s="2">
        <f>'Demand Stage 2'!T11</f>
        <v>10</v>
      </c>
      <c r="BQ12" s="2">
        <f>'Demand Stage 2'!U11</f>
        <v>40</v>
      </c>
      <c r="BR12" s="2">
        <f>'Demand Stage 2'!V11</f>
        <v>40</v>
      </c>
      <c r="BS12" s="2">
        <f>'Demand Stage 2'!W11</f>
        <v>40</v>
      </c>
      <c r="BT12" s="2">
        <f>'Demand Stage 2'!X11</f>
        <v>35</v>
      </c>
      <c r="BU12" s="2">
        <f>'Demand Stage 2'!Y11</f>
        <v>20</v>
      </c>
      <c r="BV12" s="3"/>
      <c r="BW12" s="3"/>
      <c r="BX12" s="3"/>
      <c r="BY12" s="3"/>
      <c r="BZ12" s="3"/>
      <c r="CA12" s="3"/>
      <c r="CB12" s="3"/>
      <c r="CC12" s="3"/>
      <c r="CD12" s="2">
        <f t="shared" si="38"/>
        <v>10</v>
      </c>
      <c r="CE12" s="2">
        <f t="shared" si="14"/>
        <v>10</v>
      </c>
      <c r="CF12" s="2">
        <f t="shared" si="14"/>
        <v>10</v>
      </c>
      <c r="CG12" s="2">
        <f t="shared" si="14"/>
        <v>40</v>
      </c>
      <c r="CH12" s="2">
        <f t="shared" si="14"/>
        <v>40</v>
      </c>
      <c r="CI12" s="2">
        <f t="shared" si="14"/>
        <v>40</v>
      </c>
      <c r="CJ12" s="2">
        <f t="shared" si="14"/>
        <v>35</v>
      </c>
      <c r="CK12" s="2">
        <f t="shared" si="14"/>
        <v>20</v>
      </c>
      <c r="CL12" s="3"/>
      <c r="CM12" s="3"/>
      <c r="CN12" s="3"/>
      <c r="CO12" s="3"/>
      <c r="CP12" s="3"/>
      <c r="CQ12" s="3"/>
      <c r="CR12" s="3"/>
      <c r="CS12" s="3"/>
      <c r="CT12" s="2">
        <f t="shared" si="74"/>
        <v>10</v>
      </c>
      <c r="CU12" s="2">
        <f t="shared" si="16"/>
        <v>10</v>
      </c>
      <c r="CV12" s="2">
        <f t="shared" si="16"/>
        <v>10</v>
      </c>
      <c r="CW12" s="2">
        <f t="shared" si="16"/>
        <v>40</v>
      </c>
      <c r="CX12" s="2">
        <f t="shared" si="16"/>
        <v>40</v>
      </c>
      <c r="CY12" s="2">
        <f t="shared" si="16"/>
        <v>40</v>
      </c>
      <c r="CZ12" s="2">
        <f t="shared" si="16"/>
        <v>35</v>
      </c>
      <c r="DA12" s="2">
        <f t="shared" si="16"/>
        <v>20</v>
      </c>
      <c r="DB12" s="3"/>
      <c r="DC12" s="3"/>
      <c r="DD12" s="3"/>
      <c r="DE12" s="3"/>
      <c r="DF12" s="3"/>
      <c r="DG12" s="3"/>
      <c r="DH12" s="3"/>
      <c r="DI12" s="3"/>
      <c r="DJ12" s="2">
        <f t="shared" si="40"/>
        <v>10</v>
      </c>
      <c r="DK12" s="2">
        <f t="shared" si="24"/>
        <v>10</v>
      </c>
      <c r="DL12" s="2">
        <f t="shared" si="24"/>
        <v>10</v>
      </c>
      <c r="DM12" s="2">
        <f t="shared" si="24"/>
        <v>40</v>
      </c>
      <c r="DN12" s="2">
        <f t="shared" si="24"/>
        <v>40</v>
      </c>
      <c r="DO12" s="2">
        <f t="shared" si="24"/>
        <v>40</v>
      </c>
      <c r="DP12" s="2">
        <f t="shared" si="24"/>
        <v>35</v>
      </c>
      <c r="DQ12" s="2">
        <f t="shared" si="24"/>
        <v>20</v>
      </c>
      <c r="DR12" s="3"/>
      <c r="DS12" s="3"/>
      <c r="DT12" s="3"/>
      <c r="DU12" s="3"/>
      <c r="DV12" s="3"/>
      <c r="DW12" s="3"/>
      <c r="DX12" s="3"/>
      <c r="DY12" s="3"/>
      <c r="DZ12" s="2">
        <f>'Demand Stage 2'!AH11</f>
        <v>10</v>
      </c>
      <c r="EA12" s="2">
        <f>'Demand Stage 2'!AI11</f>
        <v>10</v>
      </c>
      <c r="EB12" s="2">
        <f>'Demand Stage 2'!AJ11</f>
        <v>10</v>
      </c>
      <c r="EC12" s="2">
        <f>'Demand Stage 2'!AK11</f>
        <v>40</v>
      </c>
      <c r="ED12" s="2">
        <f>'Demand Stage 2'!AL11</f>
        <v>40</v>
      </c>
      <c r="EE12" s="2">
        <f>'Demand Stage 2'!AM11</f>
        <v>40</v>
      </c>
      <c r="EF12" s="2">
        <f>'Demand Stage 2'!AN11</f>
        <v>35</v>
      </c>
      <c r="EG12" s="2">
        <f>'Demand Stage 2'!AO11</f>
        <v>20</v>
      </c>
      <c r="EH12" s="3"/>
      <c r="EI12" s="3"/>
      <c r="EJ12" s="3"/>
      <c r="EK12" s="3"/>
      <c r="EL12" s="3"/>
      <c r="EM12" s="3"/>
      <c r="EN12" s="3"/>
      <c r="EO12" s="3"/>
      <c r="EP12" s="2">
        <f t="shared" si="49"/>
        <v>10</v>
      </c>
      <c r="EQ12" s="2">
        <f t="shared" si="26"/>
        <v>10</v>
      </c>
      <c r="ER12" s="2">
        <f t="shared" si="26"/>
        <v>10</v>
      </c>
      <c r="ES12" s="2">
        <f t="shared" si="26"/>
        <v>40</v>
      </c>
      <c r="ET12" s="2">
        <f t="shared" si="26"/>
        <v>40</v>
      </c>
      <c r="EU12" s="2">
        <f t="shared" si="26"/>
        <v>40</v>
      </c>
      <c r="EV12" s="2">
        <f t="shared" si="26"/>
        <v>35</v>
      </c>
      <c r="EW12" s="2">
        <f t="shared" si="26"/>
        <v>20</v>
      </c>
      <c r="EX12" s="3"/>
      <c r="EY12" s="3"/>
      <c r="EZ12" s="3"/>
      <c r="FA12" s="3"/>
      <c r="FB12" s="3"/>
      <c r="FC12" s="3"/>
      <c r="FD12" s="3"/>
      <c r="FE12" s="3"/>
      <c r="FF12" s="2">
        <f t="shared" si="51"/>
        <v>10</v>
      </c>
      <c r="FG12" s="2">
        <f t="shared" si="28"/>
        <v>10</v>
      </c>
      <c r="FH12" s="2">
        <f t="shared" si="28"/>
        <v>10</v>
      </c>
      <c r="FI12" s="2">
        <f t="shared" si="28"/>
        <v>40</v>
      </c>
      <c r="FJ12" s="2">
        <f t="shared" si="28"/>
        <v>40</v>
      </c>
      <c r="FK12" s="2">
        <f t="shared" si="28"/>
        <v>40</v>
      </c>
      <c r="FL12" s="2">
        <f t="shared" si="28"/>
        <v>35</v>
      </c>
      <c r="FM12" s="2">
        <f t="shared" si="28"/>
        <v>20</v>
      </c>
      <c r="FN12" s="3"/>
      <c r="FO12" s="3"/>
      <c r="FP12" s="3"/>
      <c r="FQ12" s="3"/>
      <c r="FR12" s="3"/>
      <c r="FS12" s="3"/>
      <c r="FT12" s="3"/>
      <c r="FU12" s="3"/>
      <c r="FV12" s="2">
        <f t="shared" si="60"/>
        <v>10</v>
      </c>
      <c r="FW12" s="2">
        <f t="shared" si="30"/>
        <v>10</v>
      </c>
      <c r="FX12" s="2">
        <f t="shared" si="30"/>
        <v>10</v>
      </c>
      <c r="FY12" s="2">
        <f t="shared" si="30"/>
        <v>40</v>
      </c>
      <c r="FZ12" s="2">
        <f t="shared" si="30"/>
        <v>40</v>
      </c>
      <c r="GA12" s="2">
        <f t="shared" si="30"/>
        <v>40</v>
      </c>
      <c r="GB12" s="2">
        <f t="shared" si="30"/>
        <v>35</v>
      </c>
      <c r="GC12" s="2">
        <f t="shared" si="30"/>
        <v>20</v>
      </c>
      <c r="GD12" s="3"/>
      <c r="GE12" s="3"/>
      <c r="GF12" s="3"/>
      <c r="GG12" s="3"/>
      <c r="GH12" s="3"/>
      <c r="GI12" s="3"/>
      <c r="GJ12" s="3"/>
      <c r="GK12" s="3"/>
      <c r="GL12" s="2">
        <f>'Demand Stage 2'!AX11</f>
        <v>10</v>
      </c>
      <c r="GM12" s="2">
        <f>'Demand Stage 2'!AY11</f>
        <v>10</v>
      </c>
      <c r="GN12" s="2">
        <f>'Demand Stage 2'!AZ11</f>
        <v>10</v>
      </c>
      <c r="GO12" s="2">
        <f>'Demand Stage 2'!BA11</f>
        <v>40</v>
      </c>
      <c r="GP12" s="2">
        <f>'Demand Stage 2'!BB11</f>
        <v>40</v>
      </c>
      <c r="GQ12" s="2">
        <f>'Demand Stage 2'!BC11</f>
        <v>40</v>
      </c>
      <c r="GR12" s="2">
        <f>'Demand Stage 2'!BD11</f>
        <v>35</v>
      </c>
      <c r="GS12" s="2">
        <f>'Demand Stage 2'!BE11</f>
        <v>20</v>
      </c>
      <c r="GT12" s="3"/>
      <c r="GU12" s="3"/>
      <c r="GV12" s="3"/>
      <c r="GW12" s="3"/>
      <c r="GX12" s="3"/>
      <c r="GY12" s="3"/>
      <c r="GZ12" s="3"/>
      <c r="HA12" s="3"/>
      <c r="HB12" s="2">
        <f t="shared" si="75"/>
        <v>10</v>
      </c>
      <c r="HC12" s="2">
        <f t="shared" si="32"/>
        <v>10</v>
      </c>
      <c r="HD12" s="2">
        <f t="shared" si="32"/>
        <v>10</v>
      </c>
      <c r="HE12" s="2">
        <f t="shared" si="32"/>
        <v>40</v>
      </c>
      <c r="HF12" s="2">
        <f t="shared" si="32"/>
        <v>40</v>
      </c>
      <c r="HG12" s="2">
        <f t="shared" si="32"/>
        <v>40</v>
      </c>
      <c r="HH12" s="2">
        <f t="shared" si="32"/>
        <v>35</v>
      </c>
      <c r="HI12" s="2">
        <f t="shared" si="32"/>
        <v>20</v>
      </c>
      <c r="HJ12" s="3"/>
      <c r="HK12" s="3"/>
      <c r="HL12" s="3"/>
      <c r="HM12" s="3"/>
      <c r="HN12" s="3"/>
      <c r="HO12" s="3"/>
      <c r="HP12" s="3"/>
      <c r="HQ12" s="3"/>
      <c r="HR12" s="2">
        <f t="shared" si="70"/>
        <v>10</v>
      </c>
      <c r="HS12" s="2">
        <f t="shared" si="34"/>
        <v>10</v>
      </c>
      <c r="HT12" s="2">
        <f t="shared" si="34"/>
        <v>10</v>
      </c>
      <c r="HU12" s="2">
        <f t="shared" si="34"/>
        <v>40</v>
      </c>
      <c r="HV12" s="2">
        <f t="shared" si="34"/>
        <v>40</v>
      </c>
      <c r="HW12" s="2">
        <f t="shared" si="34"/>
        <v>40</v>
      </c>
      <c r="HX12" s="2">
        <f t="shared" si="34"/>
        <v>35</v>
      </c>
      <c r="HY12" s="2">
        <f t="shared" si="34"/>
        <v>20</v>
      </c>
      <c r="HZ12" s="3"/>
      <c r="IA12" s="3"/>
      <c r="IB12" s="3"/>
      <c r="IC12" s="3"/>
      <c r="ID12" s="3"/>
      <c r="IE12" s="3"/>
      <c r="IF12" s="3"/>
      <c r="IG12" s="3"/>
      <c r="IH12" s="2">
        <f t="shared" si="72"/>
        <v>10</v>
      </c>
      <c r="II12" s="2">
        <f t="shared" si="36"/>
        <v>10</v>
      </c>
      <c r="IJ12" s="2">
        <f t="shared" si="36"/>
        <v>10</v>
      </c>
      <c r="IK12" s="2">
        <f t="shared" si="36"/>
        <v>40</v>
      </c>
      <c r="IL12" s="2">
        <f t="shared" si="36"/>
        <v>40</v>
      </c>
      <c r="IM12" s="2">
        <f t="shared" si="36"/>
        <v>40</v>
      </c>
      <c r="IN12" s="2">
        <f t="shared" si="36"/>
        <v>35</v>
      </c>
      <c r="IO12" s="2">
        <f t="shared" si="36"/>
        <v>20</v>
      </c>
      <c r="IP12" s="3"/>
      <c r="IQ12" s="3"/>
      <c r="IR12" s="3"/>
      <c r="IS12" s="3"/>
      <c r="IT12" s="3"/>
      <c r="IU12" s="3"/>
      <c r="IV12" s="3"/>
      <c r="IW12" s="3"/>
    </row>
    <row r="13" spans="1:257" x14ac:dyDescent="0.2">
      <c r="A13" s="1">
        <v>7</v>
      </c>
      <c r="B13" s="2">
        <f>'Demand Stage 2'!B12</f>
        <v>10</v>
      </c>
      <c r="C13" s="2">
        <f>'Demand Stage 2'!C12</f>
        <v>10</v>
      </c>
      <c r="D13" s="2">
        <f>'Demand Stage 2'!D12</f>
        <v>10</v>
      </c>
      <c r="E13" s="2">
        <f>'Demand Stage 2'!E12</f>
        <v>50</v>
      </c>
      <c r="F13" s="2">
        <f>'Demand Stage 2'!F12</f>
        <v>50</v>
      </c>
      <c r="G13" s="2">
        <f>'Demand Stage 2'!G12</f>
        <v>40</v>
      </c>
      <c r="H13" s="2">
        <f>'Demand Stage 2'!H12</f>
        <v>45</v>
      </c>
      <c r="I13" s="2">
        <f>'Demand Stage 2'!I12</f>
        <v>20</v>
      </c>
      <c r="J13" s="3"/>
      <c r="K13" s="3"/>
      <c r="L13" s="3"/>
      <c r="M13" s="3"/>
      <c r="N13" s="3"/>
      <c r="O13" s="3"/>
      <c r="P13" s="3"/>
      <c r="Q13" s="3"/>
      <c r="R13" s="2">
        <f>'Demand Stage 2'!B12</f>
        <v>10</v>
      </c>
      <c r="S13" s="2">
        <f>'Demand Stage 2'!C12</f>
        <v>10</v>
      </c>
      <c r="T13" s="2">
        <f>'Demand Stage 2'!D12</f>
        <v>10</v>
      </c>
      <c r="U13" s="2">
        <f>'Demand Stage 2'!E12</f>
        <v>50</v>
      </c>
      <c r="V13" s="2">
        <f>'Demand Stage 2'!F12</f>
        <v>50</v>
      </c>
      <c r="W13" s="2">
        <f>'Demand Stage 2'!G12</f>
        <v>40</v>
      </c>
      <c r="X13" s="2">
        <f>'Demand Stage 2'!H12</f>
        <v>45</v>
      </c>
      <c r="Y13" s="2">
        <f>'Demand Stage 2'!I12</f>
        <v>20</v>
      </c>
      <c r="Z13" s="3"/>
      <c r="AA13" s="3"/>
      <c r="AB13" s="3"/>
      <c r="AC13" s="3"/>
      <c r="AD13" s="3"/>
      <c r="AE13" s="3"/>
      <c r="AF13" s="3"/>
      <c r="AG13" s="3"/>
      <c r="AH13" s="2">
        <f>'Demand Stage 2'!B12</f>
        <v>10</v>
      </c>
      <c r="AI13" s="2">
        <f>'Demand Stage 2'!C12</f>
        <v>10</v>
      </c>
      <c r="AJ13" s="2">
        <f>'Demand Stage 2'!D12</f>
        <v>10</v>
      </c>
      <c r="AK13" s="2">
        <f>'Demand Stage 2'!E12</f>
        <v>50</v>
      </c>
      <c r="AL13" s="2">
        <f>'Demand Stage 2'!F12</f>
        <v>50</v>
      </c>
      <c r="AM13" s="2">
        <f>'Demand Stage 2'!G12</f>
        <v>40</v>
      </c>
      <c r="AN13" s="2">
        <f>'Demand Stage 2'!H12</f>
        <v>45</v>
      </c>
      <c r="AO13" s="2">
        <f>'Demand Stage 2'!I12</f>
        <v>20</v>
      </c>
      <c r="AP13" s="3"/>
      <c r="AQ13" s="3"/>
      <c r="AR13" s="3"/>
      <c r="AS13" s="3"/>
      <c r="AT13" s="3"/>
      <c r="AU13" s="3"/>
      <c r="AV13" s="3"/>
      <c r="AW13" s="3"/>
      <c r="AX13" s="2">
        <f>'Demand Stage 2'!B12</f>
        <v>10</v>
      </c>
      <c r="AY13" s="2">
        <f>'Demand Stage 2'!C12</f>
        <v>10</v>
      </c>
      <c r="AZ13" s="2">
        <f>'Demand Stage 2'!D12</f>
        <v>10</v>
      </c>
      <c r="BA13" s="2">
        <f>'Demand Stage 2'!E12</f>
        <v>50</v>
      </c>
      <c r="BB13" s="2">
        <f>'Demand Stage 2'!F12</f>
        <v>50</v>
      </c>
      <c r="BC13" s="2">
        <f>'Demand Stage 2'!G12</f>
        <v>40</v>
      </c>
      <c r="BD13" s="2">
        <f>'Demand Stage 2'!H12</f>
        <v>45</v>
      </c>
      <c r="BE13" s="2">
        <f>'Demand Stage 2'!I12</f>
        <v>20</v>
      </c>
      <c r="BF13" s="3"/>
      <c r="BG13" s="3"/>
      <c r="BH13" s="3"/>
      <c r="BI13" s="3"/>
      <c r="BJ13" s="3"/>
      <c r="BK13" s="3"/>
      <c r="BL13" s="3"/>
      <c r="BM13" s="3"/>
      <c r="BN13" s="2">
        <f>'Demand Stage 2'!R12</f>
        <v>10</v>
      </c>
      <c r="BO13" s="2">
        <f>'Demand Stage 2'!S12</f>
        <v>10</v>
      </c>
      <c r="BP13" s="2">
        <f>'Demand Stage 2'!T12</f>
        <v>10</v>
      </c>
      <c r="BQ13" s="2">
        <f>'Demand Stage 2'!U12</f>
        <v>50</v>
      </c>
      <c r="BR13" s="2">
        <f>'Demand Stage 2'!V12</f>
        <v>50</v>
      </c>
      <c r="BS13" s="2">
        <f>'Demand Stage 2'!W12</f>
        <v>40</v>
      </c>
      <c r="BT13" s="2">
        <f>'Demand Stage 2'!X12</f>
        <v>35</v>
      </c>
      <c r="BU13" s="2">
        <f>'Demand Stage 2'!Y12</f>
        <v>20</v>
      </c>
      <c r="BV13" s="3"/>
      <c r="BW13" s="3"/>
      <c r="BX13" s="3"/>
      <c r="BY13" s="3"/>
      <c r="BZ13" s="3"/>
      <c r="CA13" s="3"/>
      <c r="CB13" s="3"/>
      <c r="CC13" s="3"/>
      <c r="CD13" s="2">
        <f t="shared" si="38"/>
        <v>10</v>
      </c>
      <c r="CE13" s="2">
        <f t="shared" si="14"/>
        <v>10</v>
      </c>
      <c r="CF13" s="2">
        <f t="shared" si="14"/>
        <v>10</v>
      </c>
      <c r="CG13" s="2">
        <f t="shared" si="14"/>
        <v>50</v>
      </c>
      <c r="CH13" s="2">
        <f t="shared" si="14"/>
        <v>50</v>
      </c>
      <c r="CI13" s="2">
        <f t="shared" si="14"/>
        <v>40</v>
      </c>
      <c r="CJ13" s="2">
        <f t="shared" si="14"/>
        <v>35</v>
      </c>
      <c r="CK13" s="2">
        <f t="shared" si="14"/>
        <v>20</v>
      </c>
      <c r="CL13" s="3"/>
      <c r="CM13" s="3"/>
      <c r="CN13" s="3"/>
      <c r="CO13" s="3"/>
      <c r="CP13" s="3"/>
      <c r="CQ13" s="3"/>
      <c r="CR13" s="3"/>
      <c r="CS13" s="3"/>
      <c r="CT13" s="2">
        <f t="shared" si="74"/>
        <v>10</v>
      </c>
      <c r="CU13" s="2">
        <f t="shared" si="16"/>
        <v>10</v>
      </c>
      <c r="CV13" s="2">
        <f t="shared" si="16"/>
        <v>10</v>
      </c>
      <c r="CW13" s="2">
        <f t="shared" si="16"/>
        <v>50</v>
      </c>
      <c r="CX13" s="2">
        <f t="shared" si="16"/>
        <v>50</v>
      </c>
      <c r="CY13" s="2">
        <f t="shared" si="16"/>
        <v>40</v>
      </c>
      <c r="CZ13" s="2">
        <f>CJ13</f>
        <v>35</v>
      </c>
      <c r="DA13" s="2">
        <f t="shared" si="16"/>
        <v>20</v>
      </c>
      <c r="DB13" s="3"/>
      <c r="DC13" s="3"/>
      <c r="DD13" s="3"/>
      <c r="DE13" s="3"/>
      <c r="DF13" s="3"/>
      <c r="DG13" s="3"/>
      <c r="DH13" s="3"/>
      <c r="DI13" s="3"/>
      <c r="DJ13" s="2">
        <f t="shared" si="40"/>
        <v>10</v>
      </c>
      <c r="DK13" s="2">
        <f t="shared" si="24"/>
        <v>10</v>
      </c>
      <c r="DL13" s="2">
        <f t="shared" si="24"/>
        <v>10</v>
      </c>
      <c r="DM13" s="2">
        <f t="shared" si="24"/>
        <v>50</v>
      </c>
      <c r="DN13" s="2">
        <f t="shared" si="24"/>
        <v>50</v>
      </c>
      <c r="DO13" s="2">
        <f t="shared" si="24"/>
        <v>40</v>
      </c>
      <c r="DP13" s="2">
        <f t="shared" si="24"/>
        <v>35</v>
      </c>
      <c r="DQ13" s="2">
        <f t="shared" si="24"/>
        <v>20</v>
      </c>
      <c r="DR13" s="3"/>
      <c r="DS13" s="3"/>
      <c r="DT13" s="3"/>
      <c r="DU13" s="3"/>
      <c r="DV13" s="3"/>
      <c r="DW13" s="3"/>
      <c r="DX13" s="3"/>
      <c r="DY13" s="3"/>
      <c r="DZ13" s="2">
        <f>'Demand Stage 2'!AH12</f>
        <v>10</v>
      </c>
      <c r="EA13" s="2">
        <f>'Demand Stage 2'!AI12</f>
        <v>10</v>
      </c>
      <c r="EB13" s="2">
        <f>'Demand Stage 2'!AJ12</f>
        <v>10</v>
      </c>
      <c r="EC13" s="2">
        <f>'Demand Stage 2'!AK12</f>
        <v>40</v>
      </c>
      <c r="ED13" s="2">
        <f>'Demand Stage 2'!AL12</f>
        <v>40</v>
      </c>
      <c r="EE13" s="2">
        <f>'Demand Stage 2'!AM12</f>
        <v>40</v>
      </c>
      <c r="EF13" s="2">
        <f>'Demand Stage 2'!AN12</f>
        <v>45</v>
      </c>
      <c r="EG13" s="2">
        <f>'Demand Stage 2'!AO12</f>
        <v>20</v>
      </c>
      <c r="EH13" s="3"/>
      <c r="EI13" s="3"/>
      <c r="EJ13" s="3"/>
      <c r="EK13" s="3"/>
      <c r="EL13" s="3"/>
      <c r="EM13" s="3"/>
      <c r="EN13" s="3"/>
      <c r="EO13" s="3"/>
      <c r="EP13" s="2">
        <f t="shared" si="49"/>
        <v>10</v>
      </c>
      <c r="EQ13" s="2">
        <f t="shared" si="26"/>
        <v>10</v>
      </c>
      <c r="ER13" s="2">
        <f t="shared" si="26"/>
        <v>10</v>
      </c>
      <c r="ES13" s="2">
        <f t="shared" si="26"/>
        <v>40</v>
      </c>
      <c r="ET13" s="2">
        <f t="shared" si="26"/>
        <v>40</v>
      </c>
      <c r="EU13" s="2">
        <f t="shared" si="26"/>
        <v>40</v>
      </c>
      <c r="EV13" s="2">
        <f t="shared" si="26"/>
        <v>45</v>
      </c>
      <c r="EW13" s="2">
        <f t="shared" si="26"/>
        <v>20</v>
      </c>
      <c r="EX13" s="3"/>
      <c r="EY13" s="3"/>
      <c r="EZ13" s="3"/>
      <c r="FA13" s="3"/>
      <c r="FB13" s="3"/>
      <c r="FC13" s="3"/>
      <c r="FD13" s="3"/>
      <c r="FE13" s="3"/>
      <c r="FF13" s="2">
        <f t="shared" si="51"/>
        <v>10</v>
      </c>
      <c r="FG13" s="2">
        <f t="shared" si="28"/>
        <v>10</v>
      </c>
      <c r="FH13" s="2">
        <f t="shared" si="28"/>
        <v>10</v>
      </c>
      <c r="FI13" s="2">
        <f t="shared" si="28"/>
        <v>40</v>
      </c>
      <c r="FJ13" s="2">
        <f t="shared" si="28"/>
        <v>40</v>
      </c>
      <c r="FK13" s="2">
        <f t="shared" si="28"/>
        <v>40</v>
      </c>
      <c r="FL13" s="2">
        <f t="shared" si="28"/>
        <v>45</v>
      </c>
      <c r="FM13" s="2">
        <f t="shared" si="28"/>
        <v>20</v>
      </c>
      <c r="FN13" s="3"/>
      <c r="FO13" s="3"/>
      <c r="FP13" s="3"/>
      <c r="FQ13" s="3"/>
      <c r="FR13" s="3"/>
      <c r="FS13" s="3"/>
      <c r="FT13" s="3"/>
      <c r="FU13" s="3"/>
      <c r="FV13" s="2">
        <f t="shared" si="60"/>
        <v>10</v>
      </c>
      <c r="FW13" s="2">
        <f t="shared" si="30"/>
        <v>10</v>
      </c>
      <c r="FX13" s="2">
        <f t="shared" si="30"/>
        <v>10</v>
      </c>
      <c r="FY13" s="2">
        <f t="shared" si="30"/>
        <v>40</v>
      </c>
      <c r="FZ13" s="2">
        <f t="shared" si="30"/>
        <v>40</v>
      </c>
      <c r="GA13" s="2">
        <f t="shared" si="30"/>
        <v>40</v>
      </c>
      <c r="GB13" s="2">
        <f t="shared" si="30"/>
        <v>45</v>
      </c>
      <c r="GC13" s="2">
        <f t="shared" si="30"/>
        <v>20</v>
      </c>
      <c r="GD13" s="3"/>
      <c r="GE13" s="3"/>
      <c r="GF13" s="3"/>
      <c r="GG13" s="3"/>
      <c r="GH13" s="3"/>
      <c r="GI13" s="3"/>
      <c r="GJ13" s="3"/>
      <c r="GK13" s="3"/>
      <c r="GL13" s="2">
        <f>'Demand Stage 2'!AX12</f>
        <v>10</v>
      </c>
      <c r="GM13" s="2">
        <f>'Demand Stage 2'!AY12</f>
        <v>10</v>
      </c>
      <c r="GN13" s="2">
        <f>'Demand Stage 2'!AZ12</f>
        <v>10</v>
      </c>
      <c r="GO13" s="2">
        <f>'Demand Stage 2'!BA12</f>
        <v>40</v>
      </c>
      <c r="GP13" s="2">
        <f>'Demand Stage 2'!BB12</f>
        <v>40</v>
      </c>
      <c r="GQ13" s="2">
        <f>'Demand Stage 2'!BC12</f>
        <v>40</v>
      </c>
      <c r="GR13" s="2">
        <f>'Demand Stage 2'!BD12</f>
        <v>35</v>
      </c>
      <c r="GS13" s="2">
        <f>'Demand Stage 2'!BE12</f>
        <v>20</v>
      </c>
      <c r="GT13" s="3"/>
      <c r="GU13" s="3"/>
      <c r="GV13" s="3"/>
      <c r="GW13" s="3"/>
      <c r="GX13" s="3"/>
      <c r="GY13" s="3"/>
      <c r="GZ13" s="3"/>
      <c r="HA13" s="3"/>
      <c r="HB13" s="2">
        <f t="shared" si="75"/>
        <v>10</v>
      </c>
      <c r="HC13" s="2">
        <f t="shared" si="32"/>
        <v>10</v>
      </c>
      <c r="HD13" s="2">
        <f t="shared" si="32"/>
        <v>10</v>
      </c>
      <c r="HE13" s="2">
        <f t="shared" si="32"/>
        <v>40</v>
      </c>
      <c r="HF13" s="2">
        <f t="shared" si="32"/>
        <v>40</v>
      </c>
      <c r="HG13" s="2">
        <f t="shared" si="32"/>
        <v>40</v>
      </c>
      <c r="HH13" s="2">
        <f t="shared" si="32"/>
        <v>35</v>
      </c>
      <c r="HI13" s="2">
        <f t="shared" si="32"/>
        <v>20</v>
      </c>
      <c r="HJ13" s="3"/>
      <c r="HK13" s="3"/>
      <c r="HL13" s="3"/>
      <c r="HM13" s="3"/>
      <c r="HN13" s="3"/>
      <c r="HO13" s="3"/>
      <c r="HP13" s="3"/>
      <c r="HQ13" s="3"/>
      <c r="HR13" s="2">
        <f t="shared" si="70"/>
        <v>10</v>
      </c>
      <c r="HS13" s="2">
        <f t="shared" si="34"/>
        <v>10</v>
      </c>
      <c r="HT13" s="2">
        <f t="shared" si="34"/>
        <v>10</v>
      </c>
      <c r="HU13" s="2">
        <f t="shared" si="34"/>
        <v>40</v>
      </c>
      <c r="HV13" s="2">
        <f t="shared" si="34"/>
        <v>40</v>
      </c>
      <c r="HW13" s="2">
        <f t="shared" si="34"/>
        <v>40</v>
      </c>
      <c r="HX13" s="2">
        <f t="shared" si="34"/>
        <v>35</v>
      </c>
      <c r="HY13" s="2">
        <f t="shared" si="34"/>
        <v>20</v>
      </c>
      <c r="HZ13" s="3"/>
      <c r="IA13" s="3"/>
      <c r="IB13" s="3"/>
      <c r="IC13" s="3"/>
      <c r="ID13" s="3"/>
      <c r="IE13" s="3"/>
      <c r="IF13" s="3"/>
      <c r="IG13" s="3"/>
      <c r="IH13" s="2">
        <f t="shared" si="72"/>
        <v>10</v>
      </c>
      <c r="II13" s="2">
        <f t="shared" si="36"/>
        <v>10</v>
      </c>
      <c r="IJ13" s="2">
        <f t="shared" si="36"/>
        <v>10</v>
      </c>
      <c r="IK13" s="2">
        <f t="shared" si="36"/>
        <v>40</v>
      </c>
      <c r="IL13" s="2">
        <f t="shared" si="36"/>
        <v>40</v>
      </c>
      <c r="IM13" s="2">
        <f t="shared" si="36"/>
        <v>40</v>
      </c>
      <c r="IN13" s="2">
        <f t="shared" si="36"/>
        <v>35</v>
      </c>
      <c r="IO13" s="2">
        <f t="shared" si="36"/>
        <v>20</v>
      </c>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217</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K9"/>
  <sheetViews>
    <sheetView zoomScale="210" zoomScaleNormal="210" workbookViewId="0">
      <selection activeCell="I13" sqref="I13"/>
    </sheetView>
  </sheetViews>
  <sheetFormatPr baseColWidth="10" defaultRowHeight="16" x14ac:dyDescent="0.2"/>
  <cols>
    <col min="1" max="1" width="13" bestFit="1" customWidth="1"/>
  </cols>
  <sheetData>
    <row r="1" spans="1:11" x14ac:dyDescent="0.2">
      <c r="A1" s="8" t="s">
        <v>17</v>
      </c>
      <c r="B1" s="8" t="s">
        <v>109</v>
      </c>
      <c r="C1" s="8" t="s">
        <v>119</v>
      </c>
      <c r="D1" s="8" t="s">
        <v>115</v>
      </c>
      <c r="E1" s="8" t="s">
        <v>120</v>
      </c>
      <c r="F1" s="8" t="s">
        <v>334</v>
      </c>
      <c r="G1" s="8" t="s">
        <v>121</v>
      </c>
      <c r="H1" s="8" t="s">
        <v>122</v>
      </c>
      <c r="I1" s="8" t="s">
        <v>117</v>
      </c>
      <c r="K1" s="8" t="s">
        <v>336</v>
      </c>
    </row>
    <row r="2" spans="1:11" x14ac:dyDescent="0.2">
      <c r="A2">
        <v>1</v>
      </c>
      <c r="B2">
        <v>26</v>
      </c>
      <c r="C2">
        <v>26</v>
      </c>
      <c r="D2">
        <v>26</v>
      </c>
      <c r="E2">
        <v>28</v>
      </c>
      <c r="F2">
        <v>28</v>
      </c>
      <c r="G2">
        <v>29</v>
      </c>
      <c r="H2">
        <v>30</v>
      </c>
      <c r="I2">
        <v>30</v>
      </c>
      <c r="K2">
        <f>AVERAGE(B2:I2)</f>
        <v>27.875</v>
      </c>
    </row>
    <row r="3" spans="1:11" x14ac:dyDescent="0.2">
      <c r="A3">
        <v>2</v>
      </c>
      <c r="B3">
        <v>26</v>
      </c>
      <c r="C3">
        <v>26</v>
      </c>
      <c r="D3">
        <v>26</v>
      </c>
      <c r="E3">
        <v>28</v>
      </c>
      <c r="F3">
        <v>28</v>
      </c>
      <c r="G3">
        <v>29</v>
      </c>
      <c r="H3">
        <v>30</v>
      </c>
      <c r="I3">
        <v>30</v>
      </c>
      <c r="K3">
        <f t="shared" ref="K3:K9" si="0">AVERAGE(B3:I3)</f>
        <v>27.875</v>
      </c>
    </row>
    <row r="4" spans="1:11" x14ac:dyDescent="0.2">
      <c r="A4">
        <v>3</v>
      </c>
      <c r="B4">
        <v>26</v>
      </c>
      <c r="C4">
        <v>26</v>
      </c>
      <c r="D4">
        <v>26</v>
      </c>
      <c r="E4">
        <v>28</v>
      </c>
      <c r="F4">
        <v>28</v>
      </c>
      <c r="G4">
        <v>29</v>
      </c>
      <c r="H4">
        <v>30</v>
      </c>
      <c r="I4">
        <v>30</v>
      </c>
      <c r="K4">
        <f t="shared" si="0"/>
        <v>27.875</v>
      </c>
    </row>
    <row r="5" spans="1:11" x14ac:dyDescent="0.2">
      <c r="A5">
        <v>4</v>
      </c>
      <c r="B5">
        <v>26</v>
      </c>
      <c r="C5">
        <v>26</v>
      </c>
      <c r="D5">
        <v>26</v>
      </c>
      <c r="E5">
        <v>28</v>
      </c>
      <c r="F5">
        <v>28</v>
      </c>
      <c r="G5">
        <v>29</v>
      </c>
      <c r="H5">
        <v>30</v>
      </c>
      <c r="I5">
        <v>30</v>
      </c>
      <c r="K5">
        <f t="shared" si="0"/>
        <v>27.875</v>
      </c>
    </row>
    <row r="6" spans="1:11" x14ac:dyDescent="0.2">
      <c r="A6">
        <v>5</v>
      </c>
      <c r="B6">
        <v>28</v>
      </c>
      <c r="C6">
        <v>28</v>
      </c>
      <c r="D6">
        <v>28</v>
      </c>
      <c r="E6">
        <v>30</v>
      </c>
      <c r="F6">
        <v>30</v>
      </c>
      <c r="G6">
        <v>31</v>
      </c>
      <c r="H6">
        <v>32</v>
      </c>
      <c r="I6">
        <v>30</v>
      </c>
      <c r="K6">
        <f t="shared" si="0"/>
        <v>29.625</v>
      </c>
    </row>
    <row r="7" spans="1:11" x14ac:dyDescent="0.2">
      <c r="A7">
        <v>6</v>
      </c>
      <c r="B7">
        <v>27</v>
      </c>
      <c r="C7">
        <v>27</v>
      </c>
      <c r="D7">
        <v>27</v>
      </c>
      <c r="E7">
        <v>29</v>
      </c>
      <c r="F7">
        <v>29</v>
      </c>
      <c r="G7">
        <v>30</v>
      </c>
      <c r="H7">
        <v>31</v>
      </c>
      <c r="I7">
        <v>30</v>
      </c>
      <c r="K7">
        <f t="shared" si="0"/>
        <v>28.75</v>
      </c>
    </row>
    <row r="8" spans="1:11" x14ac:dyDescent="0.2">
      <c r="A8">
        <v>7</v>
      </c>
      <c r="B8">
        <v>27</v>
      </c>
      <c r="C8">
        <v>27</v>
      </c>
      <c r="D8">
        <v>27</v>
      </c>
      <c r="E8">
        <v>29</v>
      </c>
      <c r="F8">
        <v>29</v>
      </c>
      <c r="G8">
        <v>30</v>
      </c>
      <c r="H8">
        <v>31</v>
      </c>
      <c r="I8">
        <v>30</v>
      </c>
      <c r="K8">
        <f t="shared" si="0"/>
        <v>28.75</v>
      </c>
    </row>
    <row r="9" spans="1:11" x14ac:dyDescent="0.2">
      <c r="A9">
        <v>8</v>
      </c>
      <c r="B9">
        <v>29</v>
      </c>
      <c r="C9">
        <v>29</v>
      </c>
      <c r="D9">
        <v>29</v>
      </c>
      <c r="E9">
        <v>31</v>
      </c>
      <c r="F9">
        <v>31</v>
      </c>
      <c r="G9">
        <v>32</v>
      </c>
      <c r="H9">
        <v>33</v>
      </c>
      <c r="I9">
        <v>30</v>
      </c>
      <c r="K9">
        <f t="shared" si="0"/>
        <v>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9"/>
  <sheetViews>
    <sheetView zoomScale="160" zoomScaleNormal="160" workbookViewId="0">
      <selection activeCell="K10" sqref="K10"/>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row r="6" spans="1:9" x14ac:dyDescent="0.2">
      <c r="A6">
        <v>5</v>
      </c>
      <c r="B6">
        <v>1</v>
      </c>
      <c r="C6">
        <v>1</v>
      </c>
      <c r="D6">
        <v>1</v>
      </c>
      <c r="E6">
        <v>1</v>
      </c>
      <c r="F6">
        <v>1</v>
      </c>
      <c r="G6">
        <v>1</v>
      </c>
      <c r="H6">
        <v>1</v>
      </c>
      <c r="I6">
        <v>1</v>
      </c>
    </row>
    <row r="7" spans="1:9" x14ac:dyDescent="0.2">
      <c r="A7">
        <v>6</v>
      </c>
      <c r="B7">
        <v>1</v>
      </c>
      <c r="C7">
        <v>1</v>
      </c>
      <c r="D7">
        <v>1</v>
      </c>
      <c r="E7">
        <v>1</v>
      </c>
      <c r="F7">
        <v>1</v>
      </c>
      <c r="G7">
        <v>1</v>
      </c>
      <c r="H7">
        <v>1</v>
      </c>
      <c r="I7">
        <v>1</v>
      </c>
    </row>
    <row r="8" spans="1:9" x14ac:dyDescent="0.2">
      <c r="A8">
        <v>7</v>
      </c>
      <c r="B8">
        <v>1</v>
      </c>
      <c r="C8">
        <v>1</v>
      </c>
      <c r="D8">
        <v>1</v>
      </c>
      <c r="E8">
        <v>1</v>
      </c>
      <c r="F8">
        <v>1</v>
      </c>
      <c r="G8">
        <v>1</v>
      </c>
      <c r="H8">
        <v>1</v>
      </c>
      <c r="I8">
        <v>1</v>
      </c>
    </row>
    <row r="9" spans="1:9" x14ac:dyDescent="0.2">
      <c r="A9">
        <v>8</v>
      </c>
      <c r="B9">
        <v>1</v>
      </c>
      <c r="C9">
        <v>1</v>
      </c>
      <c r="D9">
        <v>1</v>
      </c>
      <c r="E9">
        <v>1</v>
      </c>
      <c r="F9">
        <v>1</v>
      </c>
      <c r="G9">
        <v>1</v>
      </c>
      <c r="H9">
        <v>1</v>
      </c>
      <c r="I9">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4"/>
  <sheetViews>
    <sheetView zoomScale="180" zoomScaleNormal="180" workbookViewId="0">
      <selection activeCell="B15" sqref="B15"/>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309</v>
      </c>
      <c r="B3">
        <v>1</v>
      </c>
    </row>
    <row r="4" spans="1:2" x14ac:dyDescent="0.2">
      <c r="A4" s="8" t="s">
        <v>310</v>
      </c>
      <c r="B4">
        <v>1</v>
      </c>
    </row>
    <row r="5" spans="1:2" x14ac:dyDescent="0.2">
      <c r="A5" s="8" t="s">
        <v>311</v>
      </c>
      <c r="B5">
        <v>1</v>
      </c>
    </row>
    <row r="6" spans="1:2" x14ac:dyDescent="0.2">
      <c r="A6" s="8" t="s">
        <v>30</v>
      </c>
      <c r="B6">
        <v>0.25</v>
      </c>
    </row>
    <row r="7" spans="1:2" x14ac:dyDescent="0.2">
      <c r="A7" s="8" t="s">
        <v>61</v>
      </c>
      <c r="B7">
        <v>8</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row r="12" spans="1:2" x14ac:dyDescent="0.2">
      <c r="A12" s="8" t="s">
        <v>342</v>
      </c>
      <c r="B12">
        <v>1</v>
      </c>
    </row>
    <row r="13" spans="1:2" x14ac:dyDescent="0.2">
      <c r="A13" s="8" t="s">
        <v>343</v>
      </c>
      <c r="B13">
        <v>1.04</v>
      </c>
    </row>
    <row r="14" spans="1:2" x14ac:dyDescent="0.2">
      <c r="A14" s="8" t="s">
        <v>344</v>
      </c>
      <c r="B14">
        <v>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Q62"/>
  <sheetViews>
    <sheetView tabSelected="1" zoomScale="160" zoomScaleNormal="160" workbookViewId="0">
      <selection activeCell="H10" sqref="H10"/>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4" customWidth="1"/>
    <col min="9" max="9" width="8.33203125" customWidth="1"/>
    <col min="10" max="10" width="16" bestFit="1" customWidth="1"/>
    <col min="13" max="13" width="13.1640625" bestFit="1" customWidth="1"/>
    <col min="14" max="14" width="18.5" bestFit="1" customWidth="1"/>
    <col min="15" max="15" width="23.5" customWidth="1"/>
    <col min="16" max="16" width="34.1640625" bestFit="1" customWidth="1"/>
    <col min="17" max="17" width="15" bestFit="1" customWidth="1"/>
  </cols>
  <sheetData>
    <row r="1" spans="1:17"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c r="O1" s="54" t="s">
        <v>331</v>
      </c>
      <c r="P1" s="54" t="s">
        <v>332</v>
      </c>
      <c r="Q1" s="54" t="s">
        <v>333</v>
      </c>
    </row>
    <row r="2" spans="1:17" x14ac:dyDescent="0.2">
      <c r="A2" s="1">
        <v>1</v>
      </c>
      <c r="B2" s="19" t="s">
        <v>10</v>
      </c>
      <c r="C2" s="19" t="s">
        <v>133</v>
      </c>
      <c r="D2" s="19" t="s">
        <v>134</v>
      </c>
      <c r="E2" s="19" t="s">
        <v>135</v>
      </c>
      <c r="F2" s="19" t="s">
        <v>89</v>
      </c>
      <c r="G2" s="19" t="s">
        <v>92</v>
      </c>
      <c r="H2" s="1" t="str">
        <f>"LINESTRING(" &amp; O2 &amp; "," &amp; Q2 &amp; "," &amp; P2 &amp; ")"</f>
        <v>LINESTRING(2.89805500000006 60.5606330000001,2.96794024746388 60.5519809989487,3.0378254949277 60.5433289978974)</v>
      </c>
      <c r="I2" s="1">
        <v>48.1</v>
      </c>
      <c r="J2" s="1" t="str">
        <f t="shared" ref="J2:J45" si="0">IF(I2=100,"Capacity unknown","")</f>
        <v/>
      </c>
      <c r="K2" s="1">
        <f>INDEX(Nodes!$A:$A,MATCH(Arcs!F2,Nodes!$B:$B,0))</f>
        <v>6</v>
      </c>
      <c r="L2" s="1">
        <f>INDEX(Nodes!$A:$A,MATCH(Arcs!G2,Nodes!$B:$B,0))</f>
        <v>7</v>
      </c>
      <c r="M2" s="2">
        <v>1E-3</v>
      </c>
      <c r="N2" s="3">
        <v>1E-3</v>
      </c>
      <c r="O2" t="str" cm="1">
        <f t="array" ref="O2">SUBSTITUTE(INDEX(Nodes!$A$3:$E$64,Arcs!K2,4) &amp; " " &amp; INDEX(Nodes!$A$3:$E$64,Arcs!K2,5), ",",".")</f>
        <v>2.89805500000006 60.5606330000001</v>
      </c>
      <c r="P2" t="str" cm="1">
        <f t="array" ref="P2">SUBSTITUTE(INDEX(Nodes!$A$3:$E$64,Arcs!L2,4) &amp; " " &amp; INDEX(Nodes!$A$3:$E$64,Arcs!L2,5), ",",".")</f>
        <v>3.0378254949277 60.5433289978974</v>
      </c>
      <c r="Q2" t="str">
        <f>SUBSTITUTE(AVERAGE(INDEX(Nodes!$A$3:$E$64,Arcs!K2,4), INDEX(Nodes!$A$3:$E$64,Arcs!L2,4)) &amp; " " &amp; AVERAGE(INDEX(Nodes!$A$3:$E$64,Arcs!K2,5), INDEX(Nodes!$A$3:$E$64,Arcs!L2,5)), ",", ".")</f>
        <v>2.96794024746388 60.5519809989487</v>
      </c>
    </row>
    <row r="3" spans="1:17" x14ac:dyDescent="0.2">
      <c r="A3" s="1">
        <v>2</v>
      </c>
      <c r="B3" s="19" t="s">
        <v>137</v>
      </c>
      <c r="C3" s="19" t="s">
        <v>133</v>
      </c>
      <c r="D3" s="19" t="s">
        <v>134</v>
      </c>
      <c r="E3" s="19" t="s">
        <v>138</v>
      </c>
      <c r="F3" s="19" t="s">
        <v>80</v>
      </c>
      <c r="G3" s="19" t="s">
        <v>79</v>
      </c>
      <c r="H3" s="1" t="str">
        <f t="shared" ref="H3:H62" si="1">"LINESTRING(" &amp; O3 &amp; "," &amp; Q3 &amp; "," &amp; P3 &amp; ")"</f>
        <v>LINESTRING(6.44125800000006 64.233255,7.11614205264601 64.2919112956052,7.79102610529196 64.3505675912103)</v>
      </c>
      <c r="I3" s="1">
        <v>5</v>
      </c>
      <c r="J3" s="1" t="str">
        <f t="shared" si="0"/>
        <v/>
      </c>
      <c r="K3" s="1">
        <f>INDEX(Nodes!$A:$A,MATCH(Arcs!F3,Nodes!$B:$B,0))</f>
        <v>13</v>
      </c>
      <c r="L3" s="1">
        <f>INDEX(Nodes!$A:$A,MATCH(Arcs!G3,Nodes!$B:$B,0))</f>
        <v>14</v>
      </c>
      <c r="M3" s="2">
        <v>1E-3</v>
      </c>
      <c r="N3" s="3">
        <v>1E-3</v>
      </c>
      <c r="O3" t="str" cm="1">
        <f t="array" ref="O3">SUBSTITUTE(INDEX(Nodes!$A$3:$E$64,Arcs!K3,4) &amp; " " &amp; INDEX(Nodes!$A$3:$E$64,Arcs!K3,5), ",",".")</f>
        <v>6.44125800000006 64.233255</v>
      </c>
      <c r="P3" t="str" cm="1">
        <f t="array" ref="P3">SUBSTITUTE(INDEX(Nodes!$A$3:$E$64,Arcs!L3,4) &amp; " " &amp; INDEX(Nodes!$A$3:$E$64,Arcs!L3,5), ",",".")</f>
        <v>7.79102610529196 64.3505675912103</v>
      </c>
      <c r="Q3" t="str">
        <f>SUBSTITUTE(AVERAGE(INDEX(Nodes!$A$3:$E$64,Arcs!K3,4), INDEX(Nodes!$A$3:$E$64,Arcs!L3,4)) &amp; " " &amp; AVERAGE(INDEX(Nodes!$A$3:$E$64,Arcs!K3,5), INDEX(Nodes!$A$3:$E$64,Arcs!L3,5)), ",", ".")</f>
        <v>7.11614205264601 64.2919112956052</v>
      </c>
    </row>
    <row r="4" spans="1:17" x14ac:dyDescent="0.2">
      <c r="A4" s="1">
        <v>3</v>
      </c>
      <c r="B4" s="19" t="s">
        <v>68</v>
      </c>
      <c r="C4" s="19" t="s">
        <v>139</v>
      </c>
      <c r="D4" s="19" t="s">
        <v>134</v>
      </c>
      <c r="E4" s="19" t="s">
        <v>140</v>
      </c>
      <c r="F4" s="19" t="s">
        <v>206</v>
      </c>
      <c r="G4" s="19" t="s">
        <v>207</v>
      </c>
      <c r="H4" s="1" t="str">
        <f t="shared" si="1"/>
        <v>LINESTRING(4.68854112718991 62.3027286385494,5.10073123031673 60.7874221331929,5.51292133344356 59.2721156278364)</v>
      </c>
      <c r="I4" s="1">
        <v>70</v>
      </c>
      <c r="J4" s="1" t="str">
        <f t="shared" si="0"/>
        <v/>
      </c>
      <c r="K4" s="1">
        <f>INDEX(Nodes!$A:$A,MATCH(Arcs!F4,Nodes!$B:$B,0))</f>
        <v>2</v>
      </c>
      <c r="L4" s="1">
        <f>INDEX(Nodes!$A:$A,MATCH(Arcs!G4,Nodes!$B:$B,0))</f>
        <v>36</v>
      </c>
      <c r="M4" s="2">
        <v>1E-3</v>
      </c>
      <c r="N4" s="3">
        <v>1E-3</v>
      </c>
      <c r="O4" t="str" cm="1">
        <f t="array" ref="O4">SUBSTITUTE(INDEX(Nodes!$A$3:$E$64,Arcs!K4,4) &amp; " " &amp; INDEX(Nodes!$A$3:$E$64,Arcs!K4,5), ",",".")</f>
        <v>4.68854112718991 62.3027286385494</v>
      </c>
      <c r="P4" t="str" cm="1">
        <f t="array" ref="P4">SUBSTITUTE(INDEX(Nodes!$A$3:$E$64,Arcs!L4,4) &amp; " " &amp; INDEX(Nodes!$A$3:$E$64,Arcs!L4,5), ",",".")</f>
        <v>5.51292133344356 59.2721156278364</v>
      </c>
      <c r="Q4" t="str">
        <f>SUBSTITUTE(AVERAGE(INDEX(Nodes!$A$3:$E$64,Arcs!K4,4), INDEX(Nodes!$A$3:$E$64,Arcs!L4,4)) &amp; " " &amp; AVERAGE(INDEX(Nodes!$A$3:$E$64,Arcs!K4,5), INDEX(Nodes!$A$3:$E$64,Arcs!L4,5)), ",", ".")</f>
        <v>5.10073123031673 60.7874221331929</v>
      </c>
    </row>
    <row r="5" spans="1:17" x14ac:dyDescent="0.2">
      <c r="A5" s="1">
        <v>4</v>
      </c>
      <c r="B5" s="19" t="s">
        <v>12</v>
      </c>
      <c r="C5" s="19" t="s">
        <v>139</v>
      </c>
      <c r="D5" s="19" t="s">
        <v>134</v>
      </c>
      <c r="E5" s="19" t="s">
        <v>141</v>
      </c>
      <c r="F5" s="19" t="s">
        <v>106</v>
      </c>
      <c r="G5" s="20" t="s">
        <v>118</v>
      </c>
      <c r="H5" s="1" t="str">
        <f t="shared" si="1"/>
        <v>LINESTRING(2.46440416605363 58.1881490174125,3.34351308302685 56.9475590087063,4.22262200000006 55.7069690000001)</v>
      </c>
      <c r="I5" s="42">
        <v>45.7</v>
      </c>
      <c r="J5" s="1" t="str">
        <f t="shared" si="0"/>
        <v/>
      </c>
      <c r="K5" s="1">
        <f>INDEX(Nodes!$A:$A,MATCH(Arcs!F5,Nodes!$B:$B,0))</f>
        <v>15</v>
      </c>
      <c r="L5" s="1">
        <f>INDEX(Nodes!$A:$A,MATCH(Arcs!G5,Nodes!$B:$B,0))</f>
        <v>23</v>
      </c>
      <c r="M5" s="2">
        <v>1E-3</v>
      </c>
      <c r="N5" s="3">
        <v>1E-3</v>
      </c>
      <c r="O5" t="str" cm="1">
        <f t="array" ref="O5">SUBSTITUTE(INDEX(Nodes!$A$3:$E$64,Arcs!K5,4) &amp; " " &amp; INDEX(Nodes!$A$3:$E$64,Arcs!K5,5), ",",".")</f>
        <v>2.46440416605363 58.1881490174125</v>
      </c>
      <c r="P5" t="str" cm="1">
        <f t="array" ref="P5">SUBSTITUTE(INDEX(Nodes!$A$3:$E$64,Arcs!L5,4) &amp; " " &amp; INDEX(Nodes!$A$3:$E$64,Arcs!L5,5), ",",".")</f>
        <v>4.22262200000006 55.7069690000001</v>
      </c>
      <c r="Q5" t="str">
        <f>SUBSTITUTE(AVERAGE(INDEX(Nodes!$A$3:$E$64,Arcs!K5,4), INDEX(Nodes!$A$3:$E$64,Arcs!L5,4)) &amp; " " &amp; AVERAGE(INDEX(Nodes!$A$3:$E$64,Arcs!K5,5), INDEX(Nodes!$A$3:$E$64,Arcs!L5,5)), ",", ".")</f>
        <v>3.34351308302685 56.9475590087063</v>
      </c>
    </row>
    <row r="6" spans="1:17" x14ac:dyDescent="0.2">
      <c r="A6" s="1">
        <v>5</v>
      </c>
      <c r="B6" s="19" t="s">
        <v>12</v>
      </c>
      <c r="C6" s="19" t="s">
        <v>139</v>
      </c>
      <c r="D6" s="19" t="s">
        <v>134</v>
      </c>
      <c r="E6" s="19" t="s">
        <v>141</v>
      </c>
      <c r="F6" s="20" t="s">
        <v>118</v>
      </c>
      <c r="G6" s="19" t="s">
        <v>334</v>
      </c>
      <c r="H6" s="1" t="str">
        <f t="shared" si="1"/>
        <v>LINESTRING(4.22262200000006 55.7069690000001,5.77452100000005 54.6933345000001,7.32642000000004 53.6797000000001)</v>
      </c>
      <c r="I6" s="42">
        <v>45.7</v>
      </c>
      <c r="J6" s="1" t="str">
        <f t="shared" si="0"/>
        <v/>
      </c>
      <c r="K6" s="1">
        <f>INDEX(Nodes!$A:$A,MATCH(Arcs!F6,Nodes!$B:$B,0))</f>
        <v>23</v>
      </c>
      <c r="L6" s="1">
        <f>INDEX(Nodes!$A:$A,MATCH(Arcs!G6,Nodes!$B:$B,0))</f>
        <v>21</v>
      </c>
      <c r="M6" s="2">
        <v>1E-3</v>
      </c>
      <c r="N6" s="3">
        <v>1E-3</v>
      </c>
      <c r="O6" t="str" cm="1">
        <f t="array" ref="O6">SUBSTITUTE(INDEX(Nodes!$A$3:$E$64,Arcs!K6,4) &amp; " " &amp; INDEX(Nodes!$A$3:$E$64,Arcs!K6,5), ",",".")</f>
        <v>4.22262200000006 55.7069690000001</v>
      </c>
      <c r="P6" t="str" cm="1">
        <f t="array" ref="P6">SUBSTITUTE(INDEX(Nodes!$A$3:$E$64,Arcs!L6,4) &amp; " " &amp; INDEX(Nodes!$A$3:$E$64,Arcs!L6,5), ",",".")</f>
        <v>7.32642000000004 53.6797000000001</v>
      </c>
      <c r="Q6" t="str">
        <f>SUBSTITUTE(AVERAGE(INDEX(Nodes!$A$3:$E$64,Arcs!K6,4), INDEX(Nodes!$A$3:$E$64,Arcs!L6,4)) &amp; " " &amp; AVERAGE(INDEX(Nodes!$A$3:$E$64,Arcs!K6,5), INDEX(Nodes!$A$3:$E$64,Arcs!L6,5)), ",", ".")</f>
        <v>5.77452100000005 54.6933345000001</v>
      </c>
    </row>
    <row r="7" spans="1:17" x14ac:dyDescent="0.2">
      <c r="A7" s="1">
        <v>6</v>
      </c>
      <c r="B7" s="19" t="s">
        <v>301</v>
      </c>
      <c r="C7" s="19" t="s">
        <v>139</v>
      </c>
      <c r="D7" s="19" t="s">
        <v>134</v>
      </c>
      <c r="E7" s="19" t="s">
        <v>142</v>
      </c>
      <c r="F7" s="19" t="s">
        <v>207</v>
      </c>
      <c r="G7" s="19" t="s">
        <v>112</v>
      </c>
      <c r="H7" s="1" t="str">
        <f t="shared" si="1"/>
        <v>LINESTRING(5.51292133344356 59.2721156278364,6.00836066672178 57.4910578139182,6.5038 55.71)</v>
      </c>
      <c r="I7" s="42">
        <v>73.5</v>
      </c>
      <c r="J7" s="1" t="str">
        <f t="shared" si="0"/>
        <v/>
      </c>
      <c r="K7" s="1">
        <f>INDEX(Nodes!$A:$A,MATCH(Arcs!F7,Nodes!$B:$B,0))</f>
        <v>36</v>
      </c>
      <c r="L7" s="1">
        <f>INDEX(Nodes!$A:$A,MATCH(Arcs!G7,Nodes!$B:$B,0))</f>
        <v>5</v>
      </c>
      <c r="M7" s="2">
        <v>1E-3</v>
      </c>
      <c r="N7" s="3">
        <v>1E-3</v>
      </c>
      <c r="O7" t="str" cm="1">
        <f t="array" ref="O7">SUBSTITUTE(INDEX(Nodes!$A$3:$E$64,Arcs!K7,4) &amp; " " &amp; INDEX(Nodes!$A$3:$E$64,Arcs!K7,5), ",",".")</f>
        <v>5.51292133344356 59.2721156278364</v>
      </c>
      <c r="P7" t="str" cm="1">
        <f t="array" ref="P7">SUBSTITUTE(INDEX(Nodes!$A$3:$E$64,Arcs!L7,4) &amp; " " &amp; INDEX(Nodes!$A$3:$E$64,Arcs!L7,5), ",",".")</f>
        <v>6.5038 55.71</v>
      </c>
      <c r="Q7" t="str">
        <f>SUBSTITUTE(AVERAGE(INDEX(Nodes!$A$3:$E$64,Arcs!K7,4), INDEX(Nodes!$A$3:$E$64,Arcs!L7,4)) &amp; " " &amp; AVERAGE(INDEX(Nodes!$A$3:$E$64,Arcs!K7,5), INDEX(Nodes!$A$3:$E$64,Arcs!L7,5)), ",", ".")</f>
        <v>6.00836066672178 57.4910578139182</v>
      </c>
    </row>
    <row r="8" spans="1:17" x14ac:dyDescent="0.2">
      <c r="A8" s="1">
        <v>7</v>
      </c>
      <c r="B8" s="19" t="s">
        <v>302</v>
      </c>
      <c r="C8" s="19" t="s">
        <v>139</v>
      </c>
      <c r="D8" s="19" t="s">
        <v>134</v>
      </c>
      <c r="E8" s="19" t="s">
        <v>142</v>
      </c>
      <c r="F8" s="19" t="s">
        <v>112</v>
      </c>
      <c r="G8" s="19" t="s">
        <v>334</v>
      </c>
      <c r="H8" s="1" t="str">
        <f t="shared" si="1"/>
        <v>LINESTRING(6.5038 55.71,6.91511000000002 54.69485,7.32642000000004 53.6797000000001)</v>
      </c>
      <c r="I8" s="42">
        <v>73.5</v>
      </c>
      <c r="J8" s="1" t="str">
        <f t="shared" si="0"/>
        <v/>
      </c>
      <c r="K8" s="1">
        <f>INDEX(Nodes!$A:$A,MATCH(Arcs!F8,Nodes!$B:$B,0))</f>
        <v>5</v>
      </c>
      <c r="L8" s="1">
        <f>INDEX(Nodes!$A:$A,MATCH(Arcs!G8,Nodes!$B:$B,0))</f>
        <v>21</v>
      </c>
      <c r="M8" s="2">
        <v>1E-3</v>
      </c>
      <c r="N8" s="3">
        <v>1E-3</v>
      </c>
      <c r="O8" t="str" cm="1">
        <f t="array" ref="O8">SUBSTITUTE(INDEX(Nodes!$A$3:$E$64,Arcs!K8,4) &amp; " " &amp; INDEX(Nodes!$A$3:$E$64,Arcs!K8,5), ",",".")</f>
        <v>6.5038 55.71</v>
      </c>
      <c r="P8" t="str" cm="1">
        <f t="array" ref="P8">SUBSTITUTE(INDEX(Nodes!$A$3:$E$64,Arcs!L8,4) &amp; " " &amp; INDEX(Nodes!$A$3:$E$64,Arcs!L8,5), ",",".")</f>
        <v>7.32642000000004 53.6797000000001</v>
      </c>
      <c r="Q8" t="str">
        <f>SUBSTITUTE(AVERAGE(INDEX(Nodes!$A$3:$E$64,Arcs!K8,4), INDEX(Nodes!$A$3:$E$64,Arcs!L8,4)) &amp; " " &amp; AVERAGE(INDEX(Nodes!$A$3:$E$64,Arcs!K8,5), INDEX(Nodes!$A$3:$E$64,Arcs!L8,5)), ",", ".")</f>
        <v>6.91511000000002 54.69485</v>
      </c>
    </row>
    <row r="9" spans="1:17" x14ac:dyDescent="0.2">
      <c r="A9" s="1">
        <v>8</v>
      </c>
      <c r="B9" s="19" t="s">
        <v>11</v>
      </c>
      <c r="C9" s="19" t="s">
        <v>139</v>
      </c>
      <c r="D9" s="19" t="s">
        <v>134</v>
      </c>
      <c r="E9" s="19" t="s">
        <v>144</v>
      </c>
      <c r="F9" s="19" t="s">
        <v>106</v>
      </c>
      <c r="G9" s="19" t="s">
        <v>122</v>
      </c>
      <c r="H9" s="1" t="str">
        <f t="shared" si="1"/>
        <v>LINESTRING(2.46440416605363 58.1881490174125,2.35855658302684 54.6172775087063,2.25270900000004 51.046406)</v>
      </c>
      <c r="I9" s="42">
        <v>54.2</v>
      </c>
      <c r="J9" s="1" t="str">
        <f t="shared" si="0"/>
        <v/>
      </c>
      <c r="K9" s="1">
        <f>INDEX(Nodes!$A:$A,MATCH(Arcs!F9,Nodes!$B:$B,0))</f>
        <v>15</v>
      </c>
      <c r="L9" s="1">
        <f>INDEX(Nodes!$A:$A,MATCH(Arcs!G9,Nodes!$B:$B,0))</f>
        <v>17</v>
      </c>
      <c r="M9" s="2">
        <v>1E-3</v>
      </c>
      <c r="N9" s="3">
        <v>1E-3</v>
      </c>
      <c r="O9" t="str" cm="1">
        <f t="array" ref="O9">SUBSTITUTE(INDEX(Nodes!$A$3:$E$64,Arcs!K9,4) &amp; " " &amp; INDEX(Nodes!$A$3:$E$64,Arcs!K9,5), ",",".")</f>
        <v>2.46440416605363 58.1881490174125</v>
      </c>
      <c r="P9" t="str" cm="1">
        <f t="array" ref="P9">SUBSTITUTE(INDEX(Nodes!$A$3:$E$64,Arcs!L9,4) &amp; " " &amp; INDEX(Nodes!$A$3:$E$64,Arcs!L9,5), ",",".")</f>
        <v>2.25270900000004 51.046406</v>
      </c>
      <c r="Q9" t="str">
        <f>SUBSTITUTE(AVERAGE(INDEX(Nodes!$A$3:$E$64,Arcs!K9,4), INDEX(Nodes!$A$3:$E$64,Arcs!L9,4)) &amp; " " &amp; AVERAGE(INDEX(Nodes!$A$3:$E$64,Arcs!K9,5), INDEX(Nodes!$A$3:$E$64,Arcs!L9,5)), ",", ".")</f>
        <v>2.35855658302684 54.6172775087063</v>
      </c>
    </row>
    <row r="10" spans="1:17" x14ac:dyDescent="0.2">
      <c r="A10" s="1">
        <v>9</v>
      </c>
      <c r="B10" s="19" t="s">
        <v>185</v>
      </c>
      <c r="C10" s="19" t="s">
        <v>139</v>
      </c>
      <c r="D10" s="19" t="s">
        <v>134</v>
      </c>
      <c r="E10" s="19" t="s">
        <v>145</v>
      </c>
      <c r="F10" s="19" t="s">
        <v>186</v>
      </c>
      <c r="G10" s="19" t="s">
        <v>91</v>
      </c>
      <c r="H10" s="1" t="str">
        <f t="shared" si="1"/>
        <v>LINESTRING(2.50707808340931 61.0775819356338,3.67283754339515 60.8114652109992,4.838597003381 60.5453484863646)</v>
      </c>
      <c r="I10" s="42">
        <v>33.5</v>
      </c>
      <c r="J10" s="1" t="str">
        <f t="shared" si="0"/>
        <v/>
      </c>
      <c r="K10" s="1">
        <f>INDEX(Nodes!$A:$A,MATCH(Arcs!F10,Nodes!$B:$B,0))</f>
        <v>38</v>
      </c>
      <c r="L10" s="1">
        <f>INDEX(Nodes!$A:$A,MATCH(Arcs!G10,Nodes!$B:$B,0))</f>
        <v>37</v>
      </c>
      <c r="M10" s="2">
        <v>1E-3</v>
      </c>
      <c r="N10" s="3">
        <v>1E-3</v>
      </c>
      <c r="O10" t="str" cm="1">
        <f t="array" ref="O10">SUBSTITUTE(INDEX(Nodes!$A$3:$E$64,Arcs!K10,4) &amp; " " &amp; INDEX(Nodes!$A$3:$E$64,Arcs!K10,5), ",",".")</f>
        <v>2.50707808340931 61.0775819356338</v>
      </c>
      <c r="P10" t="str" cm="1">
        <f t="array" ref="P10">SUBSTITUTE(INDEX(Nodes!$A$3:$E$64,Arcs!L10,4) &amp; " " &amp; INDEX(Nodes!$A$3:$E$64,Arcs!L10,5), ",",".")</f>
        <v>4.838597003381 60.5453484863646</v>
      </c>
      <c r="Q10" t="str">
        <f>SUBSTITUTE(AVERAGE(INDEX(Nodes!$A$3:$E$64,Arcs!K10,4), INDEX(Nodes!$A$3:$E$64,Arcs!L10,4)) &amp; " " &amp; AVERAGE(INDEX(Nodes!$A$3:$E$64,Arcs!K10,5), INDEX(Nodes!$A$3:$E$64,Arcs!L10,5)), ",", ".")</f>
        <v>3.67283754339515 60.8114652109992</v>
      </c>
    </row>
    <row r="11" spans="1:17" x14ac:dyDescent="0.2">
      <c r="A11" s="1">
        <v>10</v>
      </c>
      <c r="B11" s="19" t="s">
        <v>7</v>
      </c>
      <c r="C11" s="19" t="s">
        <v>139</v>
      </c>
      <c r="D11" s="19" t="s">
        <v>134</v>
      </c>
      <c r="E11" s="19" t="s">
        <v>146</v>
      </c>
      <c r="F11" s="19" t="s">
        <v>84</v>
      </c>
      <c r="G11" s="19" t="s">
        <v>105</v>
      </c>
      <c r="H11" s="1" t="str">
        <f t="shared" si="1"/>
        <v>LINESTRING(6.94577121700007 62.851558685,4.43081880699815 60.6082514294188,1.91586639699623 58.3649441738375)</v>
      </c>
      <c r="I11" s="42">
        <v>74.7</v>
      </c>
      <c r="J11" s="1" t="str">
        <f t="shared" si="0"/>
        <v/>
      </c>
      <c r="K11" s="1">
        <f>INDEX(Nodes!$A:$A,MATCH(Arcs!F11,Nodes!$B:$B,0))</f>
        <v>44</v>
      </c>
      <c r="L11" s="1">
        <f>INDEX(Nodes!$A:$A,MATCH(Arcs!G11,Nodes!$B:$B,0))</f>
        <v>51</v>
      </c>
      <c r="M11" s="2">
        <v>1E-3</v>
      </c>
      <c r="N11" s="3">
        <v>1E-3</v>
      </c>
      <c r="O11" t="str" cm="1">
        <f t="array" ref="O11">SUBSTITUTE(INDEX(Nodes!$A$3:$E$64,Arcs!K11,4) &amp; " " &amp; INDEX(Nodes!$A$3:$E$64,Arcs!K11,5), ",",".")</f>
        <v>6.94577121700007 62.851558685</v>
      </c>
      <c r="P11" t="str" cm="1">
        <f t="array" ref="P11">SUBSTITUTE(INDEX(Nodes!$A$3:$E$64,Arcs!L11,4) &amp; " " &amp; INDEX(Nodes!$A$3:$E$64,Arcs!L11,5), ",",".")</f>
        <v>1.91586639699623 58.3649441738375</v>
      </c>
      <c r="Q11" t="str">
        <f>SUBSTITUTE(AVERAGE(INDEX(Nodes!$A$3:$E$64,Arcs!K11,4), INDEX(Nodes!$A$3:$E$64,Arcs!L11,4)) &amp; " " &amp; AVERAGE(INDEX(Nodes!$A$3:$E$64,Arcs!K11,5), INDEX(Nodes!$A$3:$E$64,Arcs!L11,5)), ",", ".")</f>
        <v>4.43081880699815 60.6082514294188</v>
      </c>
    </row>
    <row r="12" spans="1:17" x14ac:dyDescent="0.2">
      <c r="A12" s="1">
        <v>11</v>
      </c>
      <c r="B12" s="19" t="s">
        <v>7</v>
      </c>
      <c r="C12" s="19" t="s">
        <v>139</v>
      </c>
      <c r="D12" s="19" t="s">
        <v>134</v>
      </c>
      <c r="E12" s="19" t="s">
        <v>147</v>
      </c>
      <c r="F12" s="19" t="s">
        <v>105</v>
      </c>
      <c r="G12" s="19" t="s">
        <v>119</v>
      </c>
      <c r="H12" s="1" t="str">
        <f t="shared" si="1"/>
        <v>LINESTRING(1.91586639699623 58.3649441738375,1.01594869849812 56.0120875869188,0.116031000000021 53.659231)</v>
      </c>
      <c r="I12" s="42">
        <v>73.8</v>
      </c>
      <c r="J12" s="1" t="str">
        <f t="shared" si="0"/>
        <v/>
      </c>
      <c r="K12" s="1">
        <f>INDEX(Nodes!$A:$A,MATCH(Arcs!F12,Nodes!$B:$B,0))</f>
        <v>51</v>
      </c>
      <c r="L12" s="1">
        <f>INDEX(Nodes!$A:$A,MATCH(Arcs!G12,Nodes!$B:$B,0))</f>
        <v>18</v>
      </c>
      <c r="M12" s="2">
        <v>1E-3</v>
      </c>
      <c r="N12" s="3">
        <v>1E-3</v>
      </c>
      <c r="O12" t="str" cm="1">
        <f t="array" ref="O12">SUBSTITUTE(INDEX(Nodes!$A$3:$E$64,Arcs!K12,4) &amp; " " &amp; INDEX(Nodes!$A$3:$E$64,Arcs!K12,5), ",",".")</f>
        <v>1.91586639699623 58.3649441738375</v>
      </c>
      <c r="P12" t="str" cm="1">
        <f t="array" ref="P12">SUBSTITUTE(INDEX(Nodes!$A$3:$E$64,Arcs!L12,4) &amp; " " &amp; INDEX(Nodes!$A$3:$E$64,Arcs!L12,5), ",",".")</f>
        <v>0.116031000000021 53.659231</v>
      </c>
      <c r="Q12" t="str">
        <f>SUBSTITUTE(AVERAGE(INDEX(Nodes!$A$3:$E$64,Arcs!K12,4), INDEX(Nodes!$A$3:$E$64,Arcs!L12,4)) &amp; " " &amp; AVERAGE(INDEX(Nodes!$A$3:$E$64,Arcs!K12,5), INDEX(Nodes!$A$3:$E$64,Arcs!L12,5)), ",", ".")</f>
        <v>1.01594869849812 56.0120875869188</v>
      </c>
    </row>
    <row r="13" spans="1:17" x14ac:dyDescent="0.2">
      <c r="A13" s="1">
        <v>12</v>
      </c>
      <c r="B13" s="19" t="s">
        <v>148</v>
      </c>
      <c r="C13" s="19" t="s">
        <v>139</v>
      </c>
      <c r="D13" s="19" t="s">
        <v>134</v>
      </c>
      <c r="E13" s="19" t="s">
        <v>149</v>
      </c>
      <c r="F13" s="19" t="s">
        <v>75</v>
      </c>
      <c r="G13" s="19" t="s">
        <v>78</v>
      </c>
      <c r="H13" s="1" t="str">
        <f t="shared" si="1"/>
        <v>LINESTRING(8.0785441179034 66.0293308994089,7.44000255895174 65.5569234497045,6.80146100000007 65.0845160000001)</v>
      </c>
      <c r="I13" s="42">
        <v>11</v>
      </c>
      <c r="J13" s="1" t="str">
        <f t="shared" si="0"/>
        <v/>
      </c>
      <c r="K13" s="1">
        <f>INDEX(Nodes!$A:$A,MATCH(Arcs!F13,Nodes!$B:$B,0))</f>
        <v>41</v>
      </c>
      <c r="L13" s="1">
        <f>INDEX(Nodes!$A:$A,MATCH(Arcs!G13,Nodes!$B:$B,0))</f>
        <v>42</v>
      </c>
      <c r="M13" s="2">
        <v>1E-3</v>
      </c>
      <c r="N13" s="3">
        <v>1E-3</v>
      </c>
      <c r="O13" t="str" cm="1">
        <f t="array" ref="O13">SUBSTITUTE(INDEX(Nodes!$A$3:$E$64,Arcs!K13,4) &amp; " " &amp; INDEX(Nodes!$A$3:$E$64,Arcs!K13,5), ",",".")</f>
        <v>8.0785441179034 66.0293308994089</v>
      </c>
      <c r="P13" t="str" cm="1">
        <f t="array" ref="P13">SUBSTITUTE(INDEX(Nodes!$A$3:$E$64,Arcs!L13,4) &amp; " " &amp; INDEX(Nodes!$A$3:$E$64,Arcs!L13,5), ",",".")</f>
        <v>6.80146100000007 65.0845160000001</v>
      </c>
      <c r="Q13" t="str">
        <f>SUBSTITUTE(AVERAGE(INDEX(Nodes!$A$3:$E$64,Arcs!K13,4), INDEX(Nodes!$A$3:$E$64,Arcs!L13,4)) &amp; " " &amp; AVERAGE(INDEX(Nodes!$A$3:$E$64,Arcs!K13,5), INDEX(Nodes!$A$3:$E$64,Arcs!L13,5)), ",", ".")</f>
        <v>7.44000255895174 65.5569234497045</v>
      </c>
    </row>
    <row r="14" spans="1:17" x14ac:dyDescent="0.2">
      <c r="A14" s="1">
        <v>13</v>
      </c>
      <c r="B14" s="19" t="s">
        <v>150</v>
      </c>
      <c r="C14" s="19" t="s">
        <v>139</v>
      </c>
      <c r="D14" s="19" t="s">
        <v>134</v>
      </c>
      <c r="E14" s="19" t="s">
        <v>151</v>
      </c>
      <c r="F14" s="19" t="s">
        <v>111</v>
      </c>
      <c r="G14" s="19" t="s">
        <v>110</v>
      </c>
      <c r="H14" s="1" t="str">
        <f t="shared" si="1"/>
        <v>LINESTRING(3.33050300000002 56.490369,3.28025150000001 56.5201845,3.23 56.55)</v>
      </c>
      <c r="I14" s="42">
        <v>44.4</v>
      </c>
      <c r="J14" s="1" t="str">
        <f t="shared" si="0"/>
        <v/>
      </c>
      <c r="K14" s="1">
        <f>INDEX(Nodes!$A:$A,MATCH(Arcs!F14,Nodes!$B:$B,0))</f>
        <v>43</v>
      </c>
      <c r="L14" s="1">
        <f>INDEX(Nodes!$A:$A,MATCH(Arcs!G14,Nodes!$B:$B,0))</f>
        <v>20</v>
      </c>
      <c r="M14" s="2">
        <v>1E-3</v>
      </c>
      <c r="N14" s="3">
        <v>1E-3</v>
      </c>
      <c r="O14" t="str" cm="1">
        <f t="array" ref="O14">SUBSTITUTE(INDEX(Nodes!$A$3:$E$64,Arcs!K14,4) &amp; " " &amp; INDEX(Nodes!$A$3:$E$64,Arcs!K14,5), ",",".")</f>
        <v>3.33050300000002 56.490369</v>
      </c>
      <c r="P14" t="str" cm="1">
        <f t="array" ref="P14">SUBSTITUTE(INDEX(Nodes!$A$3:$E$64,Arcs!L14,4) &amp; " " &amp; INDEX(Nodes!$A$3:$E$64,Arcs!L14,5), ",",".")</f>
        <v>3.23 56.55</v>
      </c>
      <c r="Q14" t="str">
        <f>SUBSTITUTE(AVERAGE(INDEX(Nodes!$A$3:$E$64,Arcs!K14,4), INDEX(Nodes!$A$3:$E$64,Arcs!L14,4)) &amp; " " &amp; AVERAGE(INDEX(Nodes!$A$3:$E$64,Arcs!K14,5), INDEX(Nodes!$A$3:$E$64,Arcs!L14,5)), ",", ".")</f>
        <v>3.28025150000001 56.5201845</v>
      </c>
    </row>
    <row r="15" spans="1:17" x14ac:dyDescent="0.2">
      <c r="A15" s="1">
        <v>14</v>
      </c>
      <c r="B15" s="19" t="s">
        <v>150</v>
      </c>
      <c r="C15" s="19" t="s">
        <v>139</v>
      </c>
      <c r="D15" s="19" t="s">
        <v>134</v>
      </c>
      <c r="E15" s="19" t="s">
        <v>152</v>
      </c>
      <c r="F15" s="19" t="s">
        <v>111</v>
      </c>
      <c r="G15" s="19" t="s">
        <v>113</v>
      </c>
      <c r="H15" s="1" t="str">
        <f t="shared" si="1"/>
        <v>LINESTRING(3.33050300000002 56.490369,3.94372505908058 55.9746756858192,4.55694711816114 55.4589823716383)</v>
      </c>
      <c r="I15" s="42">
        <v>44.4</v>
      </c>
      <c r="J15" s="1" t="str">
        <f t="shared" si="0"/>
        <v/>
      </c>
      <c r="K15" s="1">
        <f>INDEX(Nodes!$A:$A,MATCH(Arcs!F15,Nodes!$B:$B,0))</f>
        <v>43</v>
      </c>
      <c r="L15" s="1">
        <f>INDEX(Nodes!$A:$A,MATCH(Arcs!G15,Nodes!$B:$B,0))</f>
        <v>4</v>
      </c>
      <c r="M15" s="2">
        <v>1E-3</v>
      </c>
      <c r="N15" s="3">
        <v>1E-3</v>
      </c>
      <c r="O15" t="str" cm="1">
        <f t="array" ref="O15">SUBSTITUTE(INDEX(Nodes!$A$3:$E$64,Arcs!K15,4) &amp; " " &amp; INDEX(Nodes!$A$3:$E$64,Arcs!K15,5), ",",".")</f>
        <v>3.33050300000002 56.490369</v>
      </c>
      <c r="P15" t="str" cm="1">
        <f t="array" ref="P15">SUBSTITUTE(INDEX(Nodes!$A$3:$E$64,Arcs!L15,4) &amp; " " &amp; INDEX(Nodes!$A$3:$E$64,Arcs!L15,5), ",",".")</f>
        <v>4.55694711816114 55.4589823716383</v>
      </c>
      <c r="Q15" t="str">
        <f>SUBSTITUTE(AVERAGE(INDEX(Nodes!$A$3:$E$64,Arcs!K15,4), INDEX(Nodes!$A$3:$E$64,Arcs!L15,4)) &amp; " " &amp; AVERAGE(INDEX(Nodes!$A$3:$E$64,Arcs!K15,5), INDEX(Nodes!$A$3:$E$64,Arcs!L15,5)), ",", ".")</f>
        <v>3.94372505908058 55.9746756858192</v>
      </c>
    </row>
    <row r="16" spans="1:17" x14ac:dyDescent="0.2">
      <c r="A16" s="1">
        <v>15</v>
      </c>
      <c r="B16" s="19" t="s">
        <v>150</v>
      </c>
      <c r="C16" s="19" t="s">
        <v>139</v>
      </c>
      <c r="D16" s="19" t="s">
        <v>134</v>
      </c>
      <c r="E16" s="19" t="s">
        <v>152</v>
      </c>
      <c r="F16" s="19" t="s">
        <v>113</v>
      </c>
      <c r="G16" s="19" t="s">
        <v>116</v>
      </c>
      <c r="H16" s="1" t="str">
        <f t="shared" si="1"/>
        <v>LINESTRING(4.55694711816114 55.4589823716383,5.2987903360241 54.982391852912,6.04063355388706 54.5058013341856)</v>
      </c>
      <c r="I16" s="42">
        <v>44.4</v>
      </c>
      <c r="J16" s="1" t="str">
        <f t="shared" si="0"/>
        <v/>
      </c>
      <c r="K16" s="1">
        <f>INDEX(Nodes!$A:$A,MATCH(Arcs!F16,Nodes!$B:$B,0))</f>
        <v>4</v>
      </c>
      <c r="L16" s="1">
        <f>INDEX(Nodes!$A:$A,MATCH(Arcs!G16,Nodes!$B:$B,0))</f>
        <v>30</v>
      </c>
      <c r="M16" s="2">
        <v>1E-3</v>
      </c>
      <c r="N16" s="3">
        <v>1E-3</v>
      </c>
      <c r="O16" t="str" cm="1">
        <f t="array" ref="O16">SUBSTITUTE(INDEX(Nodes!$A$3:$E$64,Arcs!K16,4) &amp; " " &amp; INDEX(Nodes!$A$3:$E$64,Arcs!K16,5), ",",".")</f>
        <v>4.55694711816114 55.4589823716383</v>
      </c>
      <c r="P16" t="str" cm="1">
        <f t="array" ref="P16">SUBSTITUTE(INDEX(Nodes!$A$3:$E$64,Arcs!L16,4) &amp; " " &amp; INDEX(Nodes!$A$3:$E$64,Arcs!L16,5), ",",".")</f>
        <v>6.04063355388706 54.5058013341856</v>
      </c>
      <c r="Q16" t="str">
        <f>SUBSTITUTE(AVERAGE(INDEX(Nodes!$A$3:$E$64,Arcs!K16,4), INDEX(Nodes!$A$3:$E$64,Arcs!L16,4)) &amp; " " &amp; AVERAGE(INDEX(Nodes!$A$3:$E$64,Arcs!K16,5), INDEX(Nodes!$A$3:$E$64,Arcs!L16,5)), ",", ".")</f>
        <v>5.2987903360241 54.982391852912</v>
      </c>
    </row>
    <row r="17" spans="1:17" x14ac:dyDescent="0.2">
      <c r="A17" s="1">
        <v>16</v>
      </c>
      <c r="B17" s="19" t="s">
        <v>150</v>
      </c>
      <c r="C17" s="19" t="s">
        <v>139</v>
      </c>
      <c r="D17" s="19" t="s">
        <v>134</v>
      </c>
      <c r="E17" s="19" t="s">
        <v>152</v>
      </c>
      <c r="F17" s="19" t="s">
        <v>116</v>
      </c>
      <c r="G17" s="19" t="s">
        <v>120</v>
      </c>
      <c r="H17" s="1" t="str">
        <f t="shared" si="1"/>
        <v>LINESTRING(6.04063355388706 54.5058013341856,6.61496177694355 53.9260006670928,7.18929000000003 53.3462000000001)</v>
      </c>
      <c r="I17" s="42">
        <v>44.4</v>
      </c>
      <c r="J17" s="1" t="str">
        <f t="shared" si="0"/>
        <v/>
      </c>
      <c r="K17" s="1">
        <f>INDEX(Nodes!$A:$A,MATCH(Arcs!F17,Nodes!$B:$B,0))</f>
        <v>30</v>
      </c>
      <c r="L17" s="1">
        <f>INDEX(Nodes!$A:$A,MATCH(Arcs!G17,Nodes!$B:$B,0))</f>
        <v>22</v>
      </c>
      <c r="M17" s="2">
        <v>1E-3</v>
      </c>
      <c r="N17" s="3">
        <v>1E-3</v>
      </c>
      <c r="O17" t="str" cm="1">
        <f t="array" ref="O17">SUBSTITUTE(INDEX(Nodes!$A$3:$E$64,Arcs!K17,4) &amp; " " &amp; INDEX(Nodes!$A$3:$E$64,Arcs!K17,5), ",",".")</f>
        <v>6.04063355388706 54.5058013341856</v>
      </c>
      <c r="P17" t="str" cm="1">
        <f t="array" ref="P17">SUBSTITUTE(INDEX(Nodes!$A$3:$E$64,Arcs!L17,4) &amp; " " &amp; INDEX(Nodes!$A$3:$E$64,Arcs!L17,5), ",",".")</f>
        <v>7.18929000000003 53.3462000000001</v>
      </c>
      <c r="Q17" t="str">
        <f>SUBSTITUTE(AVERAGE(INDEX(Nodes!$A$3:$E$64,Arcs!K17,4), INDEX(Nodes!$A$3:$E$64,Arcs!L17,4)) &amp; " " &amp; AVERAGE(INDEX(Nodes!$A$3:$E$64,Arcs!K17,5), INDEX(Nodes!$A$3:$E$64,Arcs!L17,5)), ",", ".")</f>
        <v>6.61496177694355 53.9260006670928</v>
      </c>
    </row>
    <row r="18" spans="1:17" x14ac:dyDescent="0.2">
      <c r="A18" s="1">
        <v>17</v>
      </c>
      <c r="B18" s="19" t="s">
        <v>153</v>
      </c>
      <c r="C18" s="19" t="s">
        <v>139</v>
      </c>
      <c r="D18" s="19" t="s">
        <v>134</v>
      </c>
      <c r="E18" s="19" t="s">
        <v>154</v>
      </c>
      <c r="F18" s="19" t="s">
        <v>94</v>
      </c>
      <c r="G18" s="19" t="s">
        <v>96</v>
      </c>
      <c r="H18" s="1" t="str">
        <f t="shared" si="1"/>
        <v>LINESTRING(2.82404618697923 60.4869004536081,2.52963583723616 60.0289879024106,2.23522548749309 59.5710753512132)</v>
      </c>
      <c r="I18" s="42">
        <v>35</v>
      </c>
      <c r="J18" s="1" t="str">
        <f t="shared" si="0"/>
        <v/>
      </c>
      <c r="K18" s="1">
        <f>INDEX(Nodes!$A:$A,MATCH(Arcs!F18,Nodes!$B:$B,0))</f>
        <v>46</v>
      </c>
      <c r="L18" s="1">
        <f>INDEX(Nodes!$A:$A,MATCH(Arcs!G18,Nodes!$B:$B,0))</f>
        <v>33</v>
      </c>
      <c r="M18" s="2">
        <v>1E-3</v>
      </c>
      <c r="N18" s="3">
        <v>1E-3</v>
      </c>
      <c r="O18" t="str" cm="1">
        <f t="array" ref="O18">SUBSTITUTE(INDEX(Nodes!$A$3:$E$64,Arcs!K18,4) &amp; " " &amp; INDEX(Nodes!$A$3:$E$64,Arcs!K18,5), ",",".")</f>
        <v>2.82404618697923 60.4869004536081</v>
      </c>
      <c r="P18" t="str" cm="1">
        <f t="array" ref="P18">SUBSTITUTE(INDEX(Nodes!$A$3:$E$64,Arcs!L18,4) &amp; " " &amp; INDEX(Nodes!$A$3:$E$64,Arcs!L18,5), ",",".")</f>
        <v>2.23522548749309 59.5710753512132</v>
      </c>
      <c r="Q18" t="str">
        <f>SUBSTITUTE(AVERAGE(INDEX(Nodes!$A$3:$E$64,Arcs!K18,4), INDEX(Nodes!$A$3:$E$64,Arcs!L18,4)) &amp; " " &amp; AVERAGE(INDEX(Nodes!$A$3:$E$64,Arcs!K18,5), INDEX(Nodes!$A$3:$E$64,Arcs!L18,5)), ",", ".")</f>
        <v>2.52963583723616 60.0289879024106</v>
      </c>
    </row>
    <row r="19" spans="1:17" x14ac:dyDescent="0.2">
      <c r="A19" s="1">
        <v>18</v>
      </c>
      <c r="B19" s="19" t="s">
        <v>10</v>
      </c>
      <c r="C19" s="19" t="s">
        <v>139</v>
      </c>
      <c r="D19" s="19" t="s">
        <v>134</v>
      </c>
      <c r="E19" s="19" t="s">
        <v>155</v>
      </c>
      <c r="F19" s="19" t="s">
        <v>86</v>
      </c>
      <c r="G19" s="19" t="s">
        <v>207</v>
      </c>
      <c r="H19" s="1" t="str">
        <f t="shared" si="1"/>
        <v>LINESTRING(1.84593600000005 61.1858300000001,3.67942866672181 60.2289728139182,5.51292133344356 59.2721156278364)</v>
      </c>
      <c r="I19" s="1">
        <v>25</v>
      </c>
      <c r="J19" s="1" t="str">
        <f t="shared" si="0"/>
        <v/>
      </c>
      <c r="K19" s="1">
        <f>INDEX(Nodes!$A:$A,MATCH(Arcs!F19,Nodes!$B:$B,0))</f>
        <v>53</v>
      </c>
      <c r="L19" s="1">
        <f>INDEX(Nodes!$A:$A,MATCH(Arcs!G19,Nodes!$B:$B,0))</f>
        <v>36</v>
      </c>
      <c r="M19" s="2">
        <v>1E-3</v>
      </c>
      <c r="N19" s="3">
        <v>1E-3</v>
      </c>
      <c r="O19" t="str" cm="1">
        <f t="array" ref="O19">SUBSTITUTE(INDEX(Nodes!$A$3:$E$64,Arcs!K19,4) &amp; " " &amp; INDEX(Nodes!$A$3:$E$64,Arcs!K19,5), ",",".")</f>
        <v>1.84593600000005 61.1858300000001</v>
      </c>
      <c r="P19" t="str" cm="1">
        <f t="array" ref="P19">SUBSTITUTE(INDEX(Nodes!$A$3:$E$64,Arcs!L19,4) &amp; " " &amp; INDEX(Nodes!$A$3:$E$64,Arcs!L19,5), ",",".")</f>
        <v>5.51292133344356 59.2721156278364</v>
      </c>
      <c r="Q19" t="str">
        <f>SUBSTITUTE(AVERAGE(INDEX(Nodes!$A$3:$E$64,Arcs!K19,4), INDEX(Nodes!$A$3:$E$64,Arcs!L19,4)) &amp; " " &amp; AVERAGE(INDEX(Nodes!$A$3:$E$64,Arcs!K19,5), INDEX(Nodes!$A$3:$E$64,Arcs!L19,5)), ",", ".")</f>
        <v>3.67942866672181 60.2289728139182</v>
      </c>
    </row>
    <row r="20" spans="1:17" x14ac:dyDescent="0.2">
      <c r="A20" s="1">
        <v>19</v>
      </c>
      <c r="B20" s="19" t="s">
        <v>10</v>
      </c>
      <c r="C20" s="19" t="s">
        <v>139</v>
      </c>
      <c r="D20" s="19" t="s">
        <v>134</v>
      </c>
      <c r="E20" s="19" t="s">
        <v>156</v>
      </c>
      <c r="F20" s="19" t="s">
        <v>97</v>
      </c>
      <c r="G20" s="19" t="s">
        <v>107</v>
      </c>
      <c r="H20" s="1" t="str">
        <f t="shared" si="1"/>
        <v>LINESTRING(2.23452257796894 59.5707378727449,2.35412777628591 58.8775735508799,2.47373297460288 58.1844092290148)</v>
      </c>
      <c r="I20" s="42">
        <v>30.7</v>
      </c>
      <c r="J20" s="1" t="str">
        <f t="shared" si="0"/>
        <v/>
      </c>
      <c r="K20" s="1">
        <f>INDEX(Nodes!$A:$A,MATCH(Arcs!F20,Nodes!$B:$B,0))</f>
        <v>32</v>
      </c>
      <c r="L20" s="1">
        <f>INDEX(Nodes!$A:$A,MATCH(Arcs!G20,Nodes!$B:$B,0))</f>
        <v>16</v>
      </c>
      <c r="M20" s="2">
        <v>1E-3</v>
      </c>
      <c r="N20" s="3">
        <v>1E-3</v>
      </c>
      <c r="O20" t="str" cm="1">
        <f t="array" ref="O20">SUBSTITUTE(INDEX(Nodes!$A$3:$E$64,Arcs!K20,4) &amp; " " &amp; INDEX(Nodes!$A$3:$E$64,Arcs!K20,5), ",",".")</f>
        <v>2.23452257796894 59.5707378727449</v>
      </c>
      <c r="P20" t="str" cm="1">
        <f t="array" ref="P20">SUBSTITUTE(INDEX(Nodes!$A$3:$E$64,Arcs!L20,4) &amp; " " &amp; INDEX(Nodes!$A$3:$E$64,Arcs!L20,5), ",",".")</f>
        <v>2.47373297460288 58.1844092290148</v>
      </c>
      <c r="Q20" t="str">
        <f>SUBSTITUTE(AVERAGE(INDEX(Nodes!$A$3:$E$64,Arcs!K20,4), INDEX(Nodes!$A$3:$E$64,Arcs!L20,4)) &amp; " " &amp; AVERAGE(INDEX(Nodes!$A$3:$E$64,Arcs!K20,5), INDEX(Nodes!$A$3:$E$64,Arcs!L20,5)), ",", ".")</f>
        <v>2.35412777628591 58.8775735508799</v>
      </c>
    </row>
    <row r="21" spans="1:17" x14ac:dyDescent="0.2">
      <c r="A21" s="1">
        <v>20</v>
      </c>
      <c r="B21" s="19" t="s">
        <v>10</v>
      </c>
      <c r="C21" s="19" t="s">
        <v>139</v>
      </c>
      <c r="D21" s="19" t="s">
        <v>134</v>
      </c>
      <c r="E21" s="19" t="s">
        <v>156</v>
      </c>
      <c r="F21" s="19" t="s">
        <v>207</v>
      </c>
      <c r="G21" s="19" t="s">
        <v>107</v>
      </c>
      <c r="H21" s="1" t="str">
        <f t="shared" si="1"/>
        <v>LINESTRING(5.51292133344356 59.2721156278364,3.99332715402322 58.7282624284256,2.47373297460288 58.1844092290148)</v>
      </c>
      <c r="I21" s="42">
        <v>21.1</v>
      </c>
      <c r="J21" s="1" t="str">
        <f t="shared" si="0"/>
        <v/>
      </c>
      <c r="K21" s="1">
        <f>INDEX(Nodes!$A:$A,MATCH(Arcs!F21,Nodes!$B:$B,0))</f>
        <v>36</v>
      </c>
      <c r="L21" s="1">
        <f>INDEX(Nodes!$A:$A,MATCH(Arcs!G21,Nodes!$B:$B,0))</f>
        <v>16</v>
      </c>
      <c r="M21" s="2">
        <v>1E-3</v>
      </c>
      <c r="N21" s="3">
        <v>1E-3</v>
      </c>
      <c r="O21" t="str" cm="1">
        <f t="array" ref="O21">SUBSTITUTE(INDEX(Nodes!$A$3:$E$64,Arcs!K21,4) &amp; " " &amp; INDEX(Nodes!$A$3:$E$64,Arcs!K21,5), ",",".")</f>
        <v>5.51292133344356 59.2721156278364</v>
      </c>
      <c r="P21" t="str" cm="1">
        <f t="array" ref="P21">SUBSTITUTE(INDEX(Nodes!$A$3:$E$64,Arcs!L21,4) &amp; " " &amp; INDEX(Nodes!$A$3:$E$64,Arcs!L21,5), ",",".")</f>
        <v>2.47373297460288 58.1844092290148</v>
      </c>
      <c r="Q21" t="str">
        <f>SUBSTITUTE(AVERAGE(INDEX(Nodes!$A$3:$E$64,Arcs!K21,4), INDEX(Nodes!$A$3:$E$64,Arcs!L21,4)) &amp; " " &amp; AVERAGE(INDEX(Nodes!$A$3:$E$64,Arcs!K21,5), INDEX(Nodes!$A$3:$E$64,Arcs!L21,5)), ",", ".")</f>
        <v>3.99332715402322 58.7282624284256</v>
      </c>
    </row>
    <row r="22" spans="1:17" x14ac:dyDescent="0.2">
      <c r="A22" s="1">
        <v>21</v>
      </c>
      <c r="B22" s="19" t="s">
        <v>10</v>
      </c>
      <c r="C22" s="19" t="s">
        <v>139</v>
      </c>
      <c r="D22" s="19" t="s">
        <v>134</v>
      </c>
      <c r="E22" s="19" t="s">
        <v>156</v>
      </c>
      <c r="F22" s="19" t="s">
        <v>107</v>
      </c>
      <c r="G22" s="19" t="s">
        <v>111</v>
      </c>
      <c r="H22" s="1" t="str">
        <f t="shared" si="1"/>
        <v>LINESTRING(2.47373297460288 58.1844092290148,2.90211798730145 57.3373891145074,3.33050300000002 56.490369)</v>
      </c>
      <c r="I22" s="42">
        <v>44.4</v>
      </c>
      <c r="J22" s="1" t="str">
        <f t="shared" si="0"/>
        <v/>
      </c>
      <c r="K22" s="1">
        <f>INDEX(Nodes!$A:$A,MATCH(Arcs!F22,Nodes!$B:$B,0))</f>
        <v>16</v>
      </c>
      <c r="L22" s="1">
        <f>INDEX(Nodes!$A:$A,MATCH(Arcs!G22,Nodes!$B:$B,0))</f>
        <v>43</v>
      </c>
      <c r="M22" s="2">
        <v>1E-3</v>
      </c>
      <c r="N22" s="3">
        <v>1E-3</v>
      </c>
      <c r="O22" t="str" cm="1">
        <f t="array" ref="O22">SUBSTITUTE(INDEX(Nodes!$A$3:$E$64,Arcs!K22,4) &amp; " " &amp; INDEX(Nodes!$A$3:$E$64,Arcs!K22,5), ",",".")</f>
        <v>2.47373297460288 58.1844092290148</v>
      </c>
      <c r="P22" t="str" cm="1">
        <f t="array" ref="P22">SUBSTITUTE(INDEX(Nodes!$A$3:$E$64,Arcs!L22,4) &amp; " " &amp; INDEX(Nodes!$A$3:$E$64,Arcs!L22,5), ",",".")</f>
        <v>3.33050300000002 56.490369</v>
      </c>
      <c r="Q22" t="str">
        <f>SUBSTITUTE(AVERAGE(INDEX(Nodes!$A$3:$E$64,Arcs!K22,4), INDEX(Nodes!$A$3:$E$64,Arcs!L22,4)) &amp; " " &amp; AVERAGE(INDEX(Nodes!$A$3:$E$64,Arcs!K22,5), INDEX(Nodes!$A$3:$E$64,Arcs!L22,5)), ",", ".")</f>
        <v>2.90211798730145 57.3373891145074</v>
      </c>
    </row>
    <row r="23" spans="1:17" x14ac:dyDescent="0.2">
      <c r="A23" s="1">
        <v>22</v>
      </c>
      <c r="B23" s="19" t="s">
        <v>10</v>
      </c>
      <c r="C23" s="19" t="s">
        <v>139</v>
      </c>
      <c r="D23" s="19" t="s">
        <v>134</v>
      </c>
      <c r="E23" s="19" t="s">
        <v>155</v>
      </c>
      <c r="F23" s="19" t="s">
        <v>85</v>
      </c>
      <c r="G23" s="19" t="s">
        <v>86</v>
      </c>
      <c r="H23" s="1" t="str">
        <f t="shared" si="1"/>
        <v>LINESTRING(1.83152577758408 61.2024450476016,1.83873088879207 61.1941375238008,1.84593600000005 61.1858300000001)</v>
      </c>
      <c r="I23" s="1">
        <v>25</v>
      </c>
      <c r="J23" s="1" t="str">
        <f t="shared" si="0"/>
        <v/>
      </c>
      <c r="K23" s="1">
        <f>INDEX(Nodes!$A:$A,MATCH(Arcs!F23,Nodes!$B:$B,0))</f>
        <v>54</v>
      </c>
      <c r="L23" s="1">
        <f>INDEX(Nodes!$A:$A,MATCH(Arcs!G23,Nodes!$B:$B,0))</f>
        <v>53</v>
      </c>
      <c r="M23" s="2">
        <v>1E-3</v>
      </c>
      <c r="N23" s="3">
        <v>1E-3</v>
      </c>
      <c r="O23" t="str" cm="1">
        <f t="array" ref="O23">SUBSTITUTE(INDEX(Nodes!$A$3:$E$64,Arcs!K23,4) &amp; " " &amp; INDEX(Nodes!$A$3:$E$64,Arcs!K23,5), ",",".")</f>
        <v>1.83152577758408 61.2024450476016</v>
      </c>
      <c r="P23" t="str" cm="1">
        <f t="array" ref="P23">SUBSTITUTE(INDEX(Nodes!$A$3:$E$64,Arcs!L23,4) &amp; " " &amp; INDEX(Nodes!$A$3:$E$64,Arcs!L23,5), ",",".")</f>
        <v>1.84593600000005 61.1858300000001</v>
      </c>
      <c r="Q23" t="str">
        <f>SUBSTITUTE(AVERAGE(INDEX(Nodes!$A$3:$E$64,Arcs!K23,4), INDEX(Nodes!$A$3:$E$64,Arcs!L23,4)) &amp; " " &amp; AVERAGE(INDEX(Nodes!$A$3:$E$64,Arcs!K23,5), INDEX(Nodes!$A$3:$E$64,Arcs!L23,5)), ",", ".")</f>
        <v>1.83873088879207 61.1941375238008</v>
      </c>
    </row>
    <row r="24" spans="1:17" x14ac:dyDescent="0.2">
      <c r="A24" s="1">
        <v>23</v>
      </c>
      <c r="B24" s="19" t="s">
        <v>5</v>
      </c>
      <c r="C24" s="19" t="s">
        <v>139</v>
      </c>
      <c r="D24" s="19" t="s">
        <v>134</v>
      </c>
      <c r="E24" s="19" t="s">
        <v>157</v>
      </c>
      <c r="F24" s="19" t="s">
        <v>85</v>
      </c>
      <c r="G24" s="19" t="s">
        <v>88</v>
      </c>
      <c r="H24" s="1" t="str">
        <f t="shared" si="1"/>
        <v>LINESTRING(1.83152577758408 61.2024450476016,1.76585744579207 61.1122317403008,1.70018911400007 61.022018433)</v>
      </c>
      <c r="I24" s="42">
        <v>25</v>
      </c>
      <c r="J24" s="1" t="str">
        <f t="shared" si="0"/>
        <v/>
      </c>
      <c r="K24" s="1">
        <f>INDEX(Nodes!$A:$A,MATCH(Arcs!F24,Nodes!$B:$B,0))</f>
        <v>54</v>
      </c>
      <c r="L24" s="1">
        <f>INDEX(Nodes!$A:$A,MATCH(Arcs!G24,Nodes!$B:$B,0))</f>
        <v>24</v>
      </c>
      <c r="M24" s="2">
        <v>1E-3</v>
      </c>
      <c r="N24" s="3">
        <v>1E-3</v>
      </c>
      <c r="O24" t="str" cm="1">
        <f t="array" ref="O24">SUBSTITUTE(INDEX(Nodes!$A$3:$E$64,Arcs!K24,4) &amp; " " &amp; INDEX(Nodes!$A$3:$E$64,Arcs!K24,5), ",",".")</f>
        <v>1.83152577758408 61.2024450476016</v>
      </c>
      <c r="P24" t="str" cm="1">
        <f t="array" ref="P24">SUBSTITUTE(INDEX(Nodes!$A$3:$E$64,Arcs!L24,4) &amp; " " &amp; INDEX(Nodes!$A$3:$E$64,Arcs!L24,5), ",",".")</f>
        <v>1.70018911400007 61.022018433</v>
      </c>
      <c r="Q24" t="str">
        <f>SUBSTITUTE(AVERAGE(INDEX(Nodes!$A$3:$E$64,Arcs!K24,4), INDEX(Nodes!$A$3:$E$64,Arcs!L24,4)) &amp; " " &amp; AVERAGE(INDEX(Nodes!$A$3:$E$64,Arcs!K24,5), INDEX(Nodes!$A$3:$E$64,Arcs!L24,5)), ",", ".")</f>
        <v>1.76585744579207 61.1122317403008</v>
      </c>
    </row>
    <row r="25" spans="1:17" x14ac:dyDescent="0.2">
      <c r="A25" s="1">
        <v>24</v>
      </c>
      <c r="B25" s="19" t="s">
        <v>6</v>
      </c>
      <c r="C25" s="19" t="s">
        <v>139</v>
      </c>
      <c r="D25" s="19" t="s">
        <v>134</v>
      </c>
      <c r="E25" s="19" t="s">
        <v>154</v>
      </c>
      <c r="F25" s="19" t="s">
        <v>96</v>
      </c>
      <c r="G25" s="19" t="s">
        <v>109</v>
      </c>
      <c r="H25" s="1" t="str">
        <f t="shared" si="1"/>
        <v>LINESTRING(2.23522548749309 59.5710753512132,0.204787243746546 58.5755231756066,-1.825651 57.579971)</v>
      </c>
      <c r="I25" s="42">
        <v>36.9</v>
      </c>
      <c r="J25" s="1" t="str">
        <f t="shared" si="0"/>
        <v/>
      </c>
      <c r="K25" s="1">
        <f>INDEX(Nodes!$A:$A,MATCH(Arcs!F25,Nodes!$B:$B,0))</f>
        <v>33</v>
      </c>
      <c r="L25" s="1">
        <f>INDEX(Nodes!$A:$A,MATCH(Arcs!G25,Nodes!$B:$B,0))</f>
        <v>52</v>
      </c>
      <c r="M25" s="2">
        <v>1E-3</v>
      </c>
      <c r="N25" s="3">
        <v>1E-3</v>
      </c>
      <c r="O25" t="str" cm="1">
        <f t="array" ref="O25">SUBSTITUTE(INDEX(Nodes!$A$3:$E$64,Arcs!K25,4) &amp; " " &amp; INDEX(Nodes!$A$3:$E$64,Arcs!K25,5), ",",".")</f>
        <v>2.23522548749309 59.5710753512132</v>
      </c>
      <c r="P25" t="str" cm="1">
        <f t="array" ref="P25">SUBSTITUTE(INDEX(Nodes!$A$3:$E$64,Arcs!L25,4) &amp; " " &amp; INDEX(Nodes!$A$3:$E$64,Arcs!L25,5), ",",".")</f>
        <v>-1.825651 57.579971</v>
      </c>
      <c r="Q25" t="str">
        <f>SUBSTITUTE(AVERAGE(INDEX(Nodes!$A$3:$E$64,Arcs!K25,4), INDEX(Nodes!$A$3:$E$64,Arcs!L25,4)) &amp; " " &amp; AVERAGE(INDEX(Nodes!$A$3:$E$64,Arcs!K25,5), INDEX(Nodes!$A$3:$E$64,Arcs!L25,5)), ",", ".")</f>
        <v>0.204787243746546 58.5755231756066</v>
      </c>
    </row>
    <row r="26" spans="1:17" x14ac:dyDescent="0.2">
      <c r="A26" s="1">
        <v>25</v>
      </c>
      <c r="B26" s="19" t="s">
        <v>158</v>
      </c>
      <c r="C26" s="19" t="s">
        <v>139</v>
      </c>
      <c r="D26" s="19" t="s">
        <v>134</v>
      </c>
      <c r="E26" s="19" t="s">
        <v>159</v>
      </c>
      <c r="F26" s="19" t="s">
        <v>105</v>
      </c>
      <c r="G26" s="19" t="s">
        <v>114</v>
      </c>
      <c r="H26" s="1" t="str">
        <f t="shared" si="1"/>
        <v>LINESTRING(1.91586639699623 58.3649441738375,2.60784119849812 56.5772190869188,3.29981600000002 54.789494)</v>
      </c>
      <c r="I26" s="42">
        <v>42.2</v>
      </c>
      <c r="J26" s="1" t="str">
        <f t="shared" si="0"/>
        <v/>
      </c>
      <c r="K26" s="1">
        <f>INDEX(Nodes!$A:$A,MATCH(Arcs!F26,Nodes!$B:$B,0))</f>
        <v>51</v>
      </c>
      <c r="L26" s="1">
        <f>INDEX(Nodes!$A:$A,MATCH(Arcs!G26,Nodes!$B:$B,0))</f>
        <v>59</v>
      </c>
      <c r="M26" s="2">
        <v>1E-3</v>
      </c>
      <c r="N26" s="3">
        <v>1E-3</v>
      </c>
      <c r="O26" t="str" cm="1">
        <f t="array" ref="O26">SUBSTITUTE(INDEX(Nodes!$A$3:$E$64,Arcs!K26,4) &amp; " " &amp; INDEX(Nodes!$A$3:$E$64,Arcs!K26,5), ",",".")</f>
        <v>1.91586639699623 58.3649441738375</v>
      </c>
      <c r="P26" t="str" cm="1">
        <f t="array" ref="P26">SUBSTITUTE(INDEX(Nodes!$A$3:$E$64,Arcs!L26,4) &amp; " " &amp; INDEX(Nodes!$A$3:$E$64,Arcs!L26,5), ",",".")</f>
        <v>3.29981600000002 54.789494</v>
      </c>
      <c r="Q26" t="str">
        <f>SUBSTITUTE(AVERAGE(INDEX(Nodes!$A$3:$E$64,Arcs!K26,4), INDEX(Nodes!$A$3:$E$64,Arcs!L26,4)) &amp; " " &amp; AVERAGE(INDEX(Nodes!$A$3:$E$64,Arcs!K26,5), INDEX(Nodes!$A$3:$E$64,Arcs!L26,5)), ",", ".")</f>
        <v>2.60784119849812 56.5772190869188</v>
      </c>
    </row>
    <row r="27" spans="1:17" x14ac:dyDescent="0.2">
      <c r="A27" s="1">
        <v>26</v>
      </c>
      <c r="B27" s="19" t="s">
        <v>158</v>
      </c>
      <c r="C27" s="19" t="s">
        <v>139</v>
      </c>
      <c r="D27" s="19" t="s">
        <v>134</v>
      </c>
      <c r="E27" s="19" t="s">
        <v>159</v>
      </c>
      <c r="F27" s="19" t="s">
        <v>114</v>
      </c>
      <c r="G27" s="19" t="s">
        <v>121</v>
      </c>
      <c r="H27" s="1" t="str">
        <f t="shared" si="1"/>
        <v>LINESTRING(3.29981600000002 54.789494,3.26480650000005 53.070001,3.22979700000008 51.350508)</v>
      </c>
      <c r="I27" s="42">
        <v>42.2</v>
      </c>
      <c r="J27" s="1" t="str">
        <f t="shared" si="0"/>
        <v/>
      </c>
      <c r="K27" s="1">
        <f>INDEX(Nodes!$A:$A,MATCH(Arcs!F27,Nodes!$B:$B,0))</f>
        <v>59</v>
      </c>
      <c r="L27" s="1">
        <f>INDEX(Nodes!$A:$A,MATCH(Arcs!G27,Nodes!$B:$B,0))</f>
        <v>58</v>
      </c>
      <c r="M27" s="2">
        <v>1E-3</v>
      </c>
      <c r="N27" s="3">
        <v>1E-3</v>
      </c>
      <c r="O27" t="str" cm="1">
        <f t="array" ref="O27">SUBSTITUTE(INDEX(Nodes!$A$3:$E$64,Arcs!K27,4) &amp; " " &amp; INDEX(Nodes!$A$3:$E$64,Arcs!K27,5), ",",".")</f>
        <v>3.29981600000002 54.789494</v>
      </c>
      <c r="P27" t="str" cm="1">
        <f t="array" ref="P27">SUBSTITUTE(INDEX(Nodes!$A$3:$E$64,Arcs!L27,4) &amp; " " &amp; INDEX(Nodes!$A$3:$E$64,Arcs!L27,5), ",",".")</f>
        <v>3.22979700000008 51.350508</v>
      </c>
      <c r="Q27" t="str">
        <f>SUBSTITUTE(AVERAGE(INDEX(Nodes!$A$3:$E$64,Arcs!K27,4), INDEX(Nodes!$A$3:$E$64,Arcs!L27,4)) &amp; " " &amp; AVERAGE(INDEX(Nodes!$A$3:$E$64,Arcs!K27,5), INDEX(Nodes!$A$3:$E$64,Arcs!L27,5)), ",", ".")</f>
        <v>3.26480650000005 53.070001</v>
      </c>
    </row>
    <row r="28" spans="1:17" x14ac:dyDescent="0.2">
      <c r="A28" s="1">
        <v>27</v>
      </c>
      <c r="B28" s="19" t="s">
        <v>8</v>
      </c>
      <c r="C28" s="19" t="s">
        <v>139</v>
      </c>
      <c r="D28" s="19" t="s">
        <v>134</v>
      </c>
      <c r="E28" s="19" t="s">
        <v>160</v>
      </c>
      <c r="F28" s="19" t="s">
        <v>91</v>
      </c>
      <c r="G28" s="19" t="s">
        <v>105</v>
      </c>
      <c r="H28" s="1" t="str">
        <f t="shared" si="1"/>
        <v>LINESTRING(4.838597003381 60.5453484863646,3.37723170018861 59.455146330101,1.91586639699623 58.3649441738375)</v>
      </c>
      <c r="I28" s="42">
        <v>74</v>
      </c>
      <c r="J28" s="1" t="str">
        <f t="shared" si="0"/>
        <v/>
      </c>
      <c r="K28" s="1">
        <f>INDEX(Nodes!$A:$A,MATCH(Arcs!F28,Nodes!$B:$B,0))</f>
        <v>37</v>
      </c>
      <c r="L28" s="1">
        <f>INDEX(Nodes!$A:$A,MATCH(Arcs!G28,Nodes!$B:$B,0))</f>
        <v>51</v>
      </c>
      <c r="M28" s="2">
        <v>1E-3</v>
      </c>
      <c r="N28" s="3">
        <v>1E-3</v>
      </c>
      <c r="O28" t="str" cm="1">
        <f t="array" ref="O28">SUBSTITUTE(INDEX(Nodes!$A$3:$E$64,Arcs!K28,4) &amp; " " &amp; INDEX(Nodes!$A$3:$E$64,Arcs!K28,5), ",",".")</f>
        <v>4.838597003381 60.5453484863646</v>
      </c>
      <c r="P28" t="str" cm="1">
        <f t="array" ref="P28">SUBSTITUTE(INDEX(Nodes!$A$3:$E$64,Arcs!L28,4) &amp; " " &amp; INDEX(Nodes!$A$3:$E$64,Arcs!L28,5), ",",".")</f>
        <v>1.91586639699623 58.3649441738375</v>
      </c>
      <c r="Q28" t="str">
        <f>SUBSTITUTE(AVERAGE(INDEX(Nodes!$A$3:$E$64,Arcs!K28,4), INDEX(Nodes!$A$3:$E$64,Arcs!L28,4)) &amp; " " &amp; AVERAGE(INDEX(Nodes!$A$3:$E$64,Arcs!K28,5), INDEX(Nodes!$A$3:$E$64,Arcs!L28,5)), ",", ".")</f>
        <v>3.37723170018861 59.455146330101</v>
      </c>
    </row>
    <row r="29" spans="1:17" x14ac:dyDescent="0.2">
      <c r="A29" s="1">
        <v>28</v>
      </c>
      <c r="B29" s="19" t="s">
        <v>9</v>
      </c>
      <c r="C29" s="19" t="s">
        <v>139</v>
      </c>
      <c r="D29" s="19" t="s">
        <v>134</v>
      </c>
      <c r="E29" s="19" t="s">
        <v>161</v>
      </c>
      <c r="F29" s="19" t="s">
        <v>91</v>
      </c>
      <c r="G29" s="19" t="s">
        <v>106</v>
      </c>
      <c r="H29" s="1" t="str">
        <f t="shared" si="1"/>
        <v>LINESTRING(4.838597003381 60.5453484863646,3.65150058471732 59.3667487518886,2.46440416605363 58.1881490174125)</v>
      </c>
      <c r="I29" s="42">
        <v>73</v>
      </c>
      <c r="J29" s="1" t="str">
        <f t="shared" si="0"/>
        <v/>
      </c>
      <c r="K29" s="1">
        <f>INDEX(Nodes!$A:$A,MATCH(Arcs!F29,Nodes!$B:$B,0))</f>
        <v>37</v>
      </c>
      <c r="L29" s="1">
        <f>INDEX(Nodes!$A:$A,MATCH(Arcs!G29,Nodes!$B:$B,0))</f>
        <v>15</v>
      </c>
      <c r="M29" s="2">
        <v>1E-3</v>
      </c>
      <c r="N29" s="3">
        <v>1E-3</v>
      </c>
      <c r="O29" t="str" cm="1">
        <f t="array" ref="O29">SUBSTITUTE(INDEX(Nodes!$A$3:$E$64,Arcs!K29,4) &amp; " " &amp; INDEX(Nodes!$A$3:$E$64,Arcs!K29,5), ",",".")</f>
        <v>4.838597003381 60.5453484863646</v>
      </c>
      <c r="P29" t="str" cm="1">
        <f t="array" ref="P29">SUBSTITUTE(INDEX(Nodes!$A$3:$E$64,Arcs!L29,4) &amp; " " &amp; INDEX(Nodes!$A$3:$E$64,Arcs!L29,5), ",",".")</f>
        <v>2.46440416605363 58.1881490174125</v>
      </c>
      <c r="Q29" t="str">
        <f>SUBSTITUTE(AVERAGE(INDEX(Nodes!$A$3:$E$64,Arcs!K29,4), INDEX(Nodes!$A$3:$E$64,Arcs!L29,4)) &amp; " " &amp; AVERAGE(INDEX(Nodes!$A$3:$E$64,Arcs!K29,5), INDEX(Nodes!$A$3:$E$64,Arcs!L29,5)), ",", ".")</f>
        <v>3.65150058471732 59.3667487518886</v>
      </c>
    </row>
    <row r="30" spans="1:17" x14ac:dyDescent="0.2">
      <c r="A30" s="1">
        <v>29</v>
      </c>
      <c r="B30" s="19" t="s">
        <v>187</v>
      </c>
      <c r="C30" s="19" t="s">
        <v>139</v>
      </c>
      <c r="D30" s="19" t="s">
        <v>134</v>
      </c>
      <c r="E30" s="19" t="s">
        <v>162</v>
      </c>
      <c r="F30" s="19" t="s">
        <v>188</v>
      </c>
      <c r="G30" s="19" t="s">
        <v>189</v>
      </c>
      <c r="H30" s="1" t="str">
        <f t="shared" si="1"/>
        <v>LINESTRING(1.69998526600006 61.02079773,2.80248752933371 61.1754957531437,3.90498979266736 61.3301937762874)</v>
      </c>
      <c r="I30" s="42">
        <v>18.2</v>
      </c>
      <c r="J30" s="1" t="str">
        <f t="shared" si="0"/>
        <v/>
      </c>
      <c r="K30" s="1">
        <f>INDEX(Nodes!$A:$A,MATCH(Arcs!F30,Nodes!$B:$B,0))</f>
        <v>26</v>
      </c>
      <c r="L30" s="1">
        <f>INDEX(Nodes!$A:$A,MATCH(Arcs!G30,Nodes!$B:$B,0))</f>
        <v>27</v>
      </c>
      <c r="M30" s="2">
        <v>1E-3</v>
      </c>
      <c r="N30" s="3">
        <v>1E-3</v>
      </c>
      <c r="O30" t="str" cm="1">
        <f t="array" ref="O30">SUBSTITUTE(INDEX(Nodes!$A$3:$E$64,Arcs!K30,4) &amp; " " &amp; INDEX(Nodes!$A$3:$E$64,Arcs!K30,5), ",",".")</f>
        <v>1.69998526600006 61.02079773</v>
      </c>
      <c r="P30" t="str" cm="1">
        <f t="array" ref="P30">SUBSTITUTE(INDEX(Nodes!$A$3:$E$64,Arcs!L30,4) &amp; " " &amp; INDEX(Nodes!$A$3:$E$64,Arcs!L30,5), ",",".")</f>
        <v>3.90498979266736 61.3301937762874</v>
      </c>
      <c r="Q30" t="str">
        <f>SUBSTITUTE(AVERAGE(INDEX(Nodes!$A$3:$E$64,Arcs!K30,4), INDEX(Nodes!$A$3:$E$64,Arcs!L30,4)) &amp; " " &amp; AVERAGE(INDEX(Nodes!$A$3:$E$64,Arcs!K30,5), INDEX(Nodes!$A$3:$E$64,Arcs!L30,5)), ",", ".")</f>
        <v>2.80248752933371 61.1754957531437</v>
      </c>
    </row>
    <row r="31" spans="1:17" x14ac:dyDescent="0.2">
      <c r="A31" s="1">
        <v>30</v>
      </c>
      <c r="B31" s="19" t="s">
        <v>190</v>
      </c>
      <c r="C31" s="19" t="s">
        <v>163</v>
      </c>
      <c r="D31" s="19" t="s">
        <v>134</v>
      </c>
      <c r="E31" s="19" t="s">
        <v>164</v>
      </c>
      <c r="F31" s="19" t="s">
        <v>96</v>
      </c>
      <c r="G31" s="19" t="s">
        <v>100</v>
      </c>
      <c r="H31" s="1" t="str">
        <f t="shared" si="1"/>
        <v>LINESTRING(2.23522548749309 59.5710753512132,2.36128039402701 59.3704008474222,2.48733530056093 59.1697263436312)</v>
      </c>
      <c r="I31" s="1">
        <v>10</v>
      </c>
      <c r="J31" s="1" t="str">
        <f t="shared" si="0"/>
        <v/>
      </c>
      <c r="K31" s="1">
        <f>INDEX(Nodes!$A:$A,MATCH(Arcs!F31,Nodes!$B:$B,0))</f>
        <v>33</v>
      </c>
      <c r="L31" s="1">
        <f>INDEX(Nodes!$A:$A,MATCH(Arcs!G31,Nodes!$B:$B,0))</f>
        <v>28</v>
      </c>
      <c r="M31" s="2">
        <v>1E-3</v>
      </c>
      <c r="N31" s="3">
        <v>1E-3</v>
      </c>
      <c r="O31" t="str" cm="1">
        <f t="array" ref="O31">SUBSTITUTE(INDEX(Nodes!$A$3:$E$64,Arcs!K31,4) &amp; " " &amp; INDEX(Nodes!$A$3:$E$64,Arcs!K31,5), ",",".")</f>
        <v>2.23522548749309 59.5710753512132</v>
      </c>
      <c r="P31" t="str" cm="1">
        <f t="array" ref="P31">SUBSTITUTE(INDEX(Nodes!$A$3:$E$64,Arcs!L31,4) &amp; " " &amp; INDEX(Nodes!$A$3:$E$64,Arcs!L31,5), ",",".")</f>
        <v>2.48733530056093 59.1697263436312</v>
      </c>
      <c r="Q31" t="str">
        <f>SUBSTITUTE(AVERAGE(INDEX(Nodes!$A$3:$E$64,Arcs!K31,4), INDEX(Nodes!$A$3:$E$64,Arcs!L31,4)) &amp; " " &amp; AVERAGE(INDEX(Nodes!$A$3:$E$64,Arcs!K31,5), INDEX(Nodes!$A$3:$E$64,Arcs!L31,5)), ",", ".")</f>
        <v>2.36128039402701 59.3704008474222</v>
      </c>
    </row>
    <row r="32" spans="1:17" x14ac:dyDescent="0.2">
      <c r="A32" s="1">
        <v>31</v>
      </c>
      <c r="B32" s="19" t="s">
        <v>191</v>
      </c>
      <c r="C32" s="19" t="s">
        <v>163</v>
      </c>
      <c r="D32" s="19" t="s">
        <v>134</v>
      </c>
      <c r="E32" s="19" t="s">
        <v>165</v>
      </c>
      <c r="F32" s="19" t="s">
        <v>101</v>
      </c>
      <c r="G32" s="19" t="s">
        <v>104</v>
      </c>
      <c r="H32" s="1" t="str">
        <f t="shared" si="1"/>
        <v>LINESTRING(1.7504700744274 58.8424105628707,1.82461800400345 58.6064721852943,1.89876593357951 58.370533807718)</v>
      </c>
      <c r="I32" s="1">
        <v>291.7</v>
      </c>
      <c r="J32" s="1" t="str">
        <f t="shared" si="0"/>
        <v/>
      </c>
      <c r="K32" s="1">
        <f>INDEX(Nodes!$A:$A,MATCH(Arcs!F32,Nodes!$B:$B,0))</f>
        <v>29</v>
      </c>
      <c r="L32" s="1">
        <f>INDEX(Nodes!$A:$A,MATCH(Arcs!G32,Nodes!$B:$B,0))</f>
        <v>50</v>
      </c>
      <c r="M32" s="2">
        <v>1E-3</v>
      </c>
      <c r="N32" s="3">
        <v>1E-3</v>
      </c>
      <c r="O32" t="str" cm="1">
        <f t="array" ref="O32">SUBSTITUTE(INDEX(Nodes!$A$3:$E$64,Arcs!K32,4) &amp; " " &amp; INDEX(Nodes!$A$3:$E$64,Arcs!K32,5), ",",".")</f>
        <v>1.7504700744274 58.8424105628707</v>
      </c>
      <c r="P32" t="str" cm="1">
        <f t="array" ref="P32">SUBSTITUTE(INDEX(Nodes!$A$3:$E$64,Arcs!L32,4) &amp; " " &amp; INDEX(Nodes!$A$3:$E$64,Arcs!L32,5), ",",".")</f>
        <v>1.89876593357951 58.370533807718</v>
      </c>
      <c r="Q32" t="str">
        <f>SUBSTITUTE(AVERAGE(INDEX(Nodes!$A$3:$E$64,Arcs!K32,4), INDEX(Nodes!$A$3:$E$64,Arcs!L32,4)) &amp; " " &amp; AVERAGE(INDEX(Nodes!$A$3:$E$64,Arcs!K32,5), INDEX(Nodes!$A$3:$E$64,Arcs!L32,5)), ",", ".")</f>
        <v>1.82461800400345 58.6064721852943</v>
      </c>
    </row>
    <row r="33" spans="1:17" x14ac:dyDescent="0.2">
      <c r="A33" s="1">
        <v>32</v>
      </c>
      <c r="B33" s="19" t="s">
        <v>166</v>
      </c>
      <c r="C33" s="19" t="s">
        <v>139</v>
      </c>
      <c r="D33" s="19" t="s">
        <v>134</v>
      </c>
      <c r="E33" s="19" t="s">
        <v>167</v>
      </c>
      <c r="F33" s="19" t="s">
        <v>77</v>
      </c>
      <c r="G33" s="19" t="s">
        <v>83</v>
      </c>
      <c r="H33" s="1" t="str">
        <f t="shared" si="1"/>
        <v>LINESTRING(7.32024542386713 65.3214995786325,7.98923048166803 64.3601952705966,8.65821553946893 63.3988909625608)</v>
      </c>
      <c r="I33" s="42">
        <v>4.7</v>
      </c>
      <c r="J33" s="1" t="str">
        <f t="shared" si="0"/>
        <v/>
      </c>
      <c r="K33" s="1">
        <f>INDEX(Nodes!$A:$A,MATCH(Arcs!F33,Nodes!$B:$B,0))</f>
        <v>31</v>
      </c>
      <c r="L33" s="1">
        <f>INDEX(Nodes!$A:$A,MATCH(Arcs!G33,Nodes!$B:$B,0))</f>
        <v>56</v>
      </c>
      <c r="M33" s="2">
        <v>1E-3</v>
      </c>
      <c r="N33" s="3">
        <v>1E-3</v>
      </c>
      <c r="O33" t="str" cm="1">
        <f t="array" ref="O33">SUBSTITUTE(INDEX(Nodes!$A$3:$E$64,Arcs!K33,4) &amp; " " &amp; INDEX(Nodes!$A$3:$E$64,Arcs!K33,5), ",",".")</f>
        <v>7.32024542386713 65.3214995786325</v>
      </c>
      <c r="P33" t="str" cm="1">
        <f t="array" ref="P33">SUBSTITUTE(INDEX(Nodes!$A$3:$E$64,Arcs!L33,4) &amp; " " &amp; INDEX(Nodes!$A$3:$E$64,Arcs!L33,5), ",",".")</f>
        <v>8.65821553946893 63.3988909625608</v>
      </c>
      <c r="Q33" t="str">
        <f>SUBSTITUTE(AVERAGE(INDEX(Nodes!$A$3:$E$64,Arcs!K33,4), INDEX(Nodes!$A$3:$E$64,Arcs!L33,4)) &amp; " " &amp; AVERAGE(INDEX(Nodes!$A$3:$E$64,Arcs!K33,5), INDEX(Nodes!$A$3:$E$64,Arcs!L33,5)), ",", ".")</f>
        <v>7.98923048166803 64.3601952705966</v>
      </c>
    </row>
    <row r="34" spans="1:17" x14ac:dyDescent="0.2">
      <c r="A34" s="1">
        <v>33</v>
      </c>
      <c r="B34" s="19" t="s">
        <v>168</v>
      </c>
      <c r="C34" s="19" t="s">
        <v>163</v>
      </c>
      <c r="D34" s="19" t="s">
        <v>134</v>
      </c>
      <c r="E34" s="19" t="s">
        <v>149</v>
      </c>
      <c r="F34" s="19" t="s">
        <v>77</v>
      </c>
      <c r="G34" s="19" t="s">
        <v>78</v>
      </c>
      <c r="H34" s="1" t="str">
        <f t="shared" si="1"/>
        <v>LINESTRING(7.32024542386713 65.3214995786325,7.0608532119336 65.2030077893163,6.80146100000007 65.0845160000001)</v>
      </c>
      <c r="I34" s="1">
        <v>11</v>
      </c>
      <c r="J34" s="1" t="str">
        <f t="shared" si="0"/>
        <v/>
      </c>
      <c r="K34" s="1">
        <f>INDEX(Nodes!$A:$A,MATCH(Arcs!F34,Nodes!$B:$B,0))</f>
        <v>31</v>
      </c>
      <c r="L34" s="1">
        <f>INDEX(Nodes!$A:$A,MATCH(Arcs!G34,Nodes!$B:$B,0))</f>
        <v>42</v>
      </c>
      <c r="M34" s="2">
        <v>1E-3</v>
      </c>
      <c r="N34" s="3">
        <v>1E-3</v>
      </c>
      <c r="O34" t="str" cm="1">
        <f t="array" ref="O34">SUBSTITUTE(INDEX(Nodes!$A$3:$E$64,Arcs!K34,4) &amp; " " &amp; INDEX(Nodes!$A$3:$E$64,Arcs!K34,5), ",",".")</f>
        <v>7.32024542386713 65.3214995786325</v>
      </c>
      <c r="P34" t="str" cm="1">
        <f t="array" ref="P34">SUBSTITUTE(INDEX(Nodes!$A$3:$E$64,Arcs!L34,4) &amp; " " &amp; INDEX(Nodes!$A$3:$E$64,Arcs!L34,5), ",",".")</f>
        <v>6.80146100000007 65.0845160000001</v>
      </c>
      <c r="Q34" t="str">
        <f>SUBSTITUTE(AVERAGE(INDEX(Nodes!$A$3:$E$64,Arcs!K34,4), INDEX(Nodes!$A$3:$E$64,Arcs!L34,4)) &amp; " " &amp; AVERAGE(INDEX(Nodes!$A$3:$E$64,Arcs!K34,5), INDEX(Nodes!$A$3:$E$64,Arcs!L34,5)), ",", ".")</f>
        <v>7.0608532119336 65.2030077893163</v>
      </c>
    </row>
    <row r="35" spans="1:17" x14ac:dyDescent="0.2">
      <c r="A35" s="1">
        <v>34</v>
      </c>
      <c r="B35" s="19" t="s">
        <v>192</v>
      </c>
      <c r="C35" s="19" t="s">
        <v>163</v>
      </c>
      <c r="D35" s="19" t="s">
        <v>134</v>
      </c>
      <c r="E35" s="19" t="s">
        <v>169</v>
      </c>
      <c r="F35" s="19" t="s">
        <v>99</v>
      </c>
      <c r="G35" s="19" t="s">
        <v>102</v>
      </c>
      <c r="H35" s="1" t="str">
        <f t="shared" si="1"/>
        <v>LINESTRING(5.05417600000004 59.326808,3.80597375650467 59.0843695361675,2.5577715130093 58.8419310723351)</v>
      </c>
      <c r="I35" s="1">
        <v>5</v>
      </c>
      <c r="J35" s="1" t="str">
        <f t="shared" si="0"/>
        <v/>
      </c>
      <c r="K35" s="1">
        <f>INDEX(Nodes!$A:$A,MATCH(Arcs!F35,Nodes!$B:$B,0))</f>
        <v>34</v>
      </c>
      <c r="L35" s="1">
        <f>INDEX(Nodes!$A:$A,MATCH(Arcs!G35,Nodes!$B:$B,0))</f>
        <v>35</v>
      </c>
      <c r="M35" s="2">
        <v>1E-3</v>
      </c>
      <c r="N35" s="3">
        <v>1E-3</v>
      </c>
      <c r="O35" t="str" cm="1">
        <f t="array" ref="O35">SUBSTITUTE(INDEX(Nodes!$A$3:$E$64,Arcs!K35,4) &amp; " " &amp; INDEX(Nodes!$A$3:$E$64,Arcs!K35,5), ",",".")</f>
        <v>5.05417600000004 59.326808</v>
      </c>
      <c r="P35" t="str" cm="1">
        <f t="array" ref="P35">SUBSTITUTE(INDEX(Nodes!$A$3:$E$64,Arcs!L35,4) &amp; " " &amp; INDEX(Nodes!$A$3:$E$64,Arcs!L35,5), ",",".")</f>
        <v>2.5577715130093 58.8419310723351</v>
      </c>
      <c r="Q35" t="str">
        <f>SUBSTITUTE(AVERAGE(INDEX(Nodes!$A$3:$E$64,Arcs!K35,4), INDEX(Nodes!$A$3:$E$64,Arcs!L35,4)) &amp; " " &amp; AVERAGE(INDEX(Nodes!$A$3:$E$64,Arcs!K35,5), INDEX(Nodes!$A$3:$E$64,Arcs!L35,5)), ",", ".")</f>
        <v>3.80597375650467 59.0843695361675</v>
      </c>
    </row>
    <row r="36" spans="1:17" x14ac:dyDescent="0.2">
      <c r="A36" s="1">
        <v>35</v>
      </c>
      <c r="B36" s="19" t="s">
        <v>193</v>
      </c>
      <c r="C36" s="19" t="s">
        <v>163</v>
      </c>
      <c r="D36" s="19" t="s">
        <v>134</v>
      </c>
      <c r="E36" s="19" t="s">
        <v>170</v>
      </c>
      <c r="F36" s="19" t="s">
        <v>95</v>
      </c>
      <c r="G36" s="19" t="s">
        <v>93</v>
      </c>
      <c r="H36" s="1" t="str">
        <f t="shared" si="1"/>
        <v>LINESTRING(2.01751548100003 59.8949619730001,2.01445157351417 60.1984986400223,2.01138766602831 60.5020353070445)</v>
      </c>
      <c r="I36" s="1">
        <v>48.1</v>
      </c>
      <c r="J36" s="1" t="str">
        <f t="shared" si="0"/>
        <v/>
      </c>
      <c r="K36" s="1">
        <f>INDEX(Nodes!$A:$A,MATCH(Arcs!F36,Nodes!$B:$B,0))</f>
        <v>39</v>
      </c>
      <c r="L36" s="1">
        <f>INDEX(Nodes!$A:$A,MATCH(Arcs!G36,Nodes!$B:$B,0))</f>
        <v>25</v>
      </c>
      <c r="M36" s="2">
        <v>1E-3</v>
      </c>
      <c r="N36" s="3">
        <v>1E-3</v>
      </c>
      <c r="O36" t="str" cm="1">
        <f t="array" ref="O36">SUBSTITUTE(INDEX(Nodes!$A$3:$E$64,Arcs!K36,4) &amp; " " &amp; INDEX(Nodes!$A$3:$E$64,Arcs!K36,5), ",",".")</f>
        <v>2.01751548100003 59.8949619730001</v>
      </c>
      <c r="P36" t="str" cm="1">
        <f t="array" ref="P36">SUBSTITUTE(INDEX(Nodes!$A$3:$E$64,Arcs!L36,4) &amp; " " &amp; INDEX(Nodes!$A$3:$E$64,Arcs!L36,5), ",",".")</f>
        <v>2.01138766602831 60.5020353070445</v>
      </c>
      <c r="Q36" t="str">
        <f>SUBSTITUTE(AVERAGE(INDEX(Nodes!$A$3:$E$64,Arcs!K36,4), INDEX(Nodes!$A$3:$E$64,Arcs!L36,4)) &amp; " " &amp; AVERAGE(INDEX(Nodes!$A$3:$E$64,Arcs!K36,5), INDEX(Nodes!$A$3:$E$64,Arcs!L36,5)), ",", ".")</f>
        <v>2.01445157351417 60.1984986400223</v>
      </c>
    </row>
    <row r="37" spans="1:17" x14ac:dyDescent="0.2">
      <c r="A37" s="1">
        <v>36</v>
      </c>
      <c r="B37" s="19" t="s">
        <v>171</v>
      </c>
      <c r="C37" s="19" t="s">
        <v>172</v>
      </c>
      <c r="D37" s="19" t="s">
        <v>134</v>
      </c>
      <c r="E37" s="19" t="s">
        <v>146</v>
      </c>
      <c r="F37" s="19" t="s">
        <v>81</v>
      </c>
      <c r="G37" s="19" t="s">
        <v>84</v>
      </c>
      <c r="H37" s="1" t="str">
        <f t="shared" si="1"/>
        <v>LINESTRING(5.38676357200006 63.5280816700001,6.16626739450007 63.1898201775001,6.94577121700007 62.851558685)</v>
      </c>
      <c r="I37" s="43">
        <v>61</v>
      </c>
      <c r="J37" s="1" t="str">
        <f t="shared" si="0"/>
        <v/>
      </c>
      <c r="K37" s="1">
        <f>INDEX(Nodes!$A:$A,MATCH(Arcs!F37,Nodes!$B:$B,0))</f>
        <v>45</v>
      </c>
      <c r="L37" s="1">
        <f>INDEX(Nodes!$A:$A,MATCH(Arcs!G37,Nodes!$B:$B,0))</f>
        <v>44</v>
      </c>
      <c r="M37" s="2">
        <v>1E-3</v>
      </c>
      <c r="N37" s="3">
        <v>1E-3</v>
      </c>
      <c r="O37" t="str" cm="1">
        <f t="array" ref="O37">SUBSTITUTE(INDEX(Nodes!$A$3:$E$64,Arcs!K37,4) &amp; " " &amp; INDEX(Nodes!$A$3:$E$64,Arcs!K37,5), ",",".")</f>
        <v>5.38676357200006 63.5280816700001</v>
      </c>
      <c r="P37" t="str" cm="1">
        <f t="array" ref="P37">SUBSTITUTE(INDEX(Nodes!$A$3:$E$64,Arcs!L37,4) &amp; " " &amp; INDEX(Nodes!$A$3:$E$64,Arcs!L37,5), ",",".")</f>
        <v>6.94577121700007 62.851558685</v>
      </c>
      <c r="Q37" t="str">
        <f>SUBSTITUTE(AVERAGE(INDEX(Nodes!$A$3:$E$64,Arcs!K37,4), INDEX(Nodes!$A$3:$E$64,Arcs!L37,4)) &amp; " " &amp; AVERAGE(INDEX(Nodes!$A$3:$E$64,Arcs!K37,5), INDEX(Nodes!$A$3:$E$64,Arcs!L37,5)), ",", ".")</f>
        <v>6.16626739450007 63.1898201775001</v>
      </c>
    </row>
    <row r="38" spans="1:17" x14ac:dyDescent="0.2">
      <c r="A38" s="1">
        <v>37</v>
      </c>
      <c r="B38" s="19" t="s">
        <v>175</v>
      </c>
      <c r="C38" s="19" t="s">
        <v>139</v>
      </c>
      <c r="D38" s="19" t="s">
        <v>134</v>
      </c>
      <c r="E38" s="19" t="s">
        <v>176</v>
      </c>
      <c r="F38" s="19" t="s">
        <v>74</v>
      </c>
      <c r="G38" s="19" t="s">
        <v>84</v>
      </c>
      <c r="H38" s="1" t="str">
        <f t="shared" si="1"/>
        <v>LINESTRING(7.10722700000002 67.0556100000001,7.02649910850005 64.9535843425001,6.94577121700007 62.851558685)</v>
      </c>
      <c r="I38" s="42">
        <v>57.6</v>
      </c>
      <c r="J38" s="1" t="str">
        <f t="shared" si="0"/>
        <v/>
      </c>
      <c r="K38" s="1">
        <f>INDEX(Nodes!$A:$A,MATCH(Arcs!F38,Nodes!$B:$B,0))</f>
        <v>1</v>
      </c>
      <c r="L38" s="1">
        <f>INDEX(Nodes!$A:$A,MATCH(Arcs!G38,Nodes!$B:$B,0))</f>
        <v>44</v>
      </c>
      <c r="M38" s="2">
        <v>1E-3</v>
      </c>
      <c r="N38" s="3">
        <v>1E-3</v>
      </c>
      <c r="O38" t="str" cm="1">
        <f t="array" ref="O38">SUBSTITUTE(INDEX(Nodes!$A$3:$E$64,Arcs!K38,4) &amp; " " &amp; INDEX(Nodes!$A$3:$E$64,Arcs!K38,5), ",",".")</f>
        <v>7.10722700000002 67.0556100000001</v>
      </c>
      <c r="P38" t="str" cm="1">
        <f t="array" ref="P38">SUBSTITUTE(INDEX(Nodes!$A$3:$E$64,Arcs!L38,4) &amp; " " &amp; INDEX(Nodes!$A$3:$E$64,Arcs!L38,5), ",",".")</f>
        <v>6.94577121700007 62.851558685</v>
      </c>
      <c r="Q38" t="str">
        <f>SUBSTITUTE(AVERAGE(INDEX(Nodes!$A$3:$E$64,Arcs!K38,4), INDEX(Nodes!$A$3:$E$64,Arcs!L38,4)) &amp; " " &amp; AVERAGE(INDEX(Nodes!$A$3:$E$64,Arcs!K38,5), INDEX(Nodes!$A$3:$E$64,Arcs!L38,5)), ",", ".")</f>
        <v>7.02649910850005 64.9535843425001</v>
      </c>
    </row>
    <row r="39" spans="1:17" x14ac:dyDescent="0.2">
      <c r="A39" s="1">
        <v>38</v>
      </c>
      <c r="B39" s="19" t="s">
        <v>194</v>
      </c>
      <c r="C39" s="19" t="s">
        <v>177</v>
      </c>
      <c r="D39" s="19" t="s">
        <v>134</v>
      </c>
      <c r="E39" s="19" t="s">
        <v>178</v>
      </c>
      <c r="F39" s="19" t="s">
        <v>76</v>
      </c>
      <c r="G39" s="19" t="s">
        <v>205</v>
      </c>
      <c r="H39" s="1" t="str">
        <f t="shared" si="1"/>
        <v>LINESTRING(7.65583281980168 65.6937438991215,7.22974632790087 65.3941076995608,6.80365983600007 65.0944715000001)</v>
      </c>
      <c r="I39" s="1">
        <v>48.1</v>
      </c>
      <c r="J39" s="1" t="str">
        <f t="shared" si="0"/>
        <v/>
      </c>
      <c r="K39" s="1">
        <f>INDEX(Nodes!$A:$A,MATCH(Arcs!F39,Nodes!$B:$B,0))</f>
        <v>49</v>
      </c>
      <c r="L39" s="1">
        <f>INDEX(Nodes!$A:$A,MATCH(Arcs!G39,Nodes!$B:$B,0))</f>
        <v>3</v>
      </c>
      <c r="M39" s="2">
        <v>1E-3</v>
      </c>
      <c r="N39" s="3">
        <v>1E-3</v>
      </c>
      <c r="O39" t="str" cm="1">
        <f t="array" ref="O39">SUBSTITUTE(INDEX(Nodes!$A$3:$E$64,Arcs!K39,4) &amp; " " &amp; INDEX(Nodes!$A$3:$E$64,Arcs!K39,5), ",",".")</f>
        <v>7.65583281980168 65.6937438991215</v>
      </c>
      <c r="P39" t="str" cm="1">
        <f t="array" ref="P39">SUBSTITUTE(INDEX(Nodes!$A$3:$E$64,Arcs!L39,4) &amp; " " &amp; INDEX(Nodes!$A$3:$E$64,Arcs!L39,5), ",",".")</f>
        <v>6.80365983600007 65.0944715000001</v>
      </c>
      <c r="Q39" t="str">
        <f>SUBSTITUTE(AVERAGE(INDEX(Nodes!$A$3:$E$64,Arcs!K39,4), INDEX(Nodes!$A$3:$E$64,Arcs!L39,4)) &amp; " " &amp; AVERAGE(INDEX(Nodes!$A$3:$E$64,Arcs!K39,5), INDEX(Nodes!$A$3:$E$64,Arcs!L39,5)), ",", ".")</f>
        <v>7.22974632790087 65.3941076995608</v>
      </c>
    </row>
    <row r="40" spans="1:17" x14ac:dyDescent="0.2">
      <c r="A40" s="1">
        <v>39</v>
      </c>
      <c r="B40" s="19" t="s">
        <v>196</v>
      </c>
      <c r="C40" s="19" t="s">
        <v>163</v>
      </c>
      <c r="D40" s="19" t="s">
        <v>134</v>
      </c>
      <c r="E40" s="19" t="s">
        <v>160</v>
      </c>
      <c r="F40" s="19" t="s">
        <v>90</v>
      </c>
      <c r="G40" s="19" t="s">
        <v>91</v>
      </c>
      <c r="H40" s="1" t="str">
        <f t="shared" si="1"/>
        <v>LINESTRING(4.83583000000004 60.5501750000001,4.83721350169052 60.5477617431823,4.838597003381 60.5453484863646)</v>
      </c>
      <c r="I40" s="43">
        <v>110</v>
      </c>
      <c r="J40" s="1" t="str">
        <f t="shared" si="0"/>
        <v/>
      </c>
      <c r="K40" s="1">
        <f>INDEX(Nodes!$A:$A,MATCH(Arcs!F40,Nodes!$B:$B,0))</f>
        <v>57</v>
      </c>
      <c r="L40" s="1">
        <f>INDEX(Nodes!$A:$A,MATCH(Arcs!G40,Nodes!$B:$B,0))</f>
        <v>37</v>
      </c>
      <c r="M40" s="2">
        <v>1E-3</v>
      </c>
      <c r="N40" s="3">
        <v>1E-3</v>
      </c>
      <c r="O40" t="str" cm="1">
        <f t="array" ref="O40">SUBSTITUTE(INDEX(Nodes!$A$3:$E$64,Arcs!K40,4) &amp; " " &amp; INDEX(Nodes!$A$3:$E$64,Arcs!K40,5), ",",".")</f>
        <v>4.83583000000004 60.5501750000001</v>
      </c>
      <c r="P40" t="str" cm="1">
        <f t="array" ref="P40">SUBSTITUTE(INDEX(Nodes!$A$3:$E$64,Arcs!L40,4) &amp; " " &amp; INDEX(Nodes!$A$3:$E$64,Arcs!L40,5), ",",".")</f>
        <v>4.838597003381 60.5453484863646</v>
      </c>
      <c r="Q40" t="str">
        <f>SUBSTITUTE(AVERAGE(INDEX(Nodes!$A$3:$E$64,Arcs!K40,4), INDEX(Nodes!$A$3:$E$64,Arcs!L40,4)) &amp; " " &amp; AVERAGE(INDEX(Nodes!$A$3:$E$64,Arcs!K40,5), INDEX(Nodes!$A$3:$E$64,Arcs!L40,5)), ",", ".")</f>
        <v>4.83721350169052 60.5477617431823</v>
      </c>
    </row>
    <row r="41" spans="1:17" x14ac:dyDescent="0.2">
      <c r="A41" s="1">
        <v>40</v>
      </c>
      <c r="B41" s="19" t="s">
        <v>199</v>
      </c>
      <c r="C41" s="19" t="s">
        <v>139</v>
      </c>
      <c r="D41" s="19" t="s">
        <v>134</v>
      </c>
      <c r="E41" s="19" t="s">
        <v>182</v>
      </c>
      <c r="F41" s="19" t="s">
        <v>98</v>
      </c>
      <c r="G41" s="19" t="s">
        <v>103</v>
      </c>
      <c r="H41" s="1" t="str">
        <f t="shared" si="1"/>
        <v>LINESTRING(1.39113707900003 59.477978469,1.82264345536872 59.1586920721751,2.25414983173741 58.8394056753501)</v>
      </c>
      <c r="I41" s="1">
        <v>5</v>
      </c>
      <c r="J41" s="1" t="str">
        <f t="shared" si="0"/>
        <v/>
      </c>
      <c r="K41" s="1">
        <f>INDEX(Nodes!$A:$A,MATCH(Arcs!F41,Nodes!$B:$B,0))</f>
        <v>19</v>
      </c>
      <c r="L41" s="1">
        <f>INDEX(Nodes!$A:$A,MATCH(Arcs!G41,Nodes!$B:$B,0))</f>
        <v>48</v>
      </c>
      <c r="M41" s="2">
        <v>1E-3</v>
      </c>
      <c r="N41" s="3">
        <v>1E-3</v>
      </c>
      <c r="O41" t="str" cm="1">
        <f t="array" ref="O41">SUBSTITUTE(INDEX(Nodes!$A$3:$E$64,Arcs!K41,4) &amp; " " &amp; INDEX(Nodes!$A$3:$E$64,Arcs!K41,5), ",",".")</f>
        <v>1.39113707900003 59.477978469</v>
      </c>
      <c r="P41" t="str" cm="1">
        <f t="array" ref="P41">SUBSTITUTE(INDEX(Nodes!$A$3:$E$64,Arcs!L41,4) &amp; " " &amp; INDEX(Nodes!$A$3:$E$64,Arcs!L41,5), ",",".")</f>
        <v>2.25414983173741 58.8394056753501</v>
      </c>
      <c r="Q41" t="str">
        <f>SUBSTITUTE(AVERAGE(INDEX(Nodes!$A$3:$E$64,Arcs!K41,4), INDEX(Nodes!$A$3:$E$64,Arcs!L41,4)) &amp; " " &amp; AVERAGE(INDEX(Nodes!$A$3:$E$64,Arcs!K41,5), INDEX(Nodes!$A$3:$E$64,Arcs!L41,5)), ",", ".")</f>
        <v>1.82264345536872 59.1586920721751</v>
      </c>
    </row>
    <row r="42" spans="1:17" x14ac:dyDescent="0.2">
      <c r="A42" s="1">
        <v>41</v>
      </c>
      <c r="B42" s="19" t="s">
        <v>158</v>
      </c>
      <c r="C42" s="19" t="s">
        <v>139</v>
      </c>
      <c r="D42" s="19" t="s">
        <v>134</v>
      </c>
      <c r="E42" s="19" t="s">
        <v>159</v>
      </c>
      <c r="F42" s="19" t="s">
        <v>105</v>
      </c>
      <c r="G42" s="19" t="s">
        <v>107</v>
      </c>
      <c r="H42" s="1" t="str">
        <f t="shared" si="1"/>
        <v>LINESTRING(1.91586639699623 58.3649441738375,2.19479968579955 58.2746767014261,2.47373297460288 58.1844092290148)</v>
      </c>
      <c r="I42" s="42">
        <v>55</v>
      </c>
      <c r="J42" s="1" t="str">
        <f t="shared" si="0"/>
        <v/>
      </c>
      <c r="K42" s="1">
        <f>INDEX(Nodes!$A:$A,MATCH(Arcs!F42,Nodes!$B:$B,0))</f>
        <v>51</v>
      </c>
      <c r="L42" s="1">
        <f>INDEX(Nodes!$A:$A,MATCH(Arcs!G42,Nodes!$B:$B,0))</f>
        <v>16</v>
      </c>
      <c r="M42" s="2">
        <v>1E-3</v>
      </c>
      <c r="N42" s="3">
        <v>1E-3</v>
      </c>
      <c r="O42" t="str" cm="1">
        <f t="array" ref="O42">SUBSTITUTE(INDEX(Nodes!$A$3:$E$64,Arcs!K42,4) &amp; " " &amp; INDEX(Nodes!$A$3:$E$64,Arcs!K42,5), ",",".")</f>
        <v>1.91586639699623 58.3649441738375</v>
      </c>
      <c r="P42" t="str" cm="1">
        <f t="array" ref="P42">SUBSTITUTE(INDEX(Nodes!$A$3:$E$64,Arcs!L42,4) &amp; " " &amp; INDEX(Nodes!$A$3:$E$64,Arcs!L42,5), ",",".")</f>
        <v>2.47373297460288 58.1844092290148</v>
      </c>
      <c r="Q42" t="str">
        <f>SUBSTITUTE(AVERAGE(INDEX(Nodes!$A$3:$E$64,Arcs!K42,4), INDEX(Nodes!$A$3:$E$64,Arcs!L42,4)) &amp; " " &amp; AVERAGE(INDEX(Nodes!$A$3:$E$64,Arcs!K42,5), INDEX(Nodes!$A$3:$E$64,Arcs!L42,5)), ",", ".")</f>
        <v>2.19479968579955 58.2746767014261</v>
      </c>
    </row>
    <row r="43" spans="1:17" x14ac:dyDescent="0.2">
      <c r="A43" s="1">
        <v>42</v>
      </c>
      <c r="B43" s="19" t="s">
        <v>303</v>
      </c>
      <c r="C43" s="19"/>
      <c r="D43" s="19"/>
      <c r="E43" s="19"/>
      <c r="F43" s="20" t="s">
        <v>112</v>
      </c>
      <c r="G43" s="20" t="s">
        <v>123</v>
      </c>
      <c r="H43" s="1" t="str">
        <f t="shared" si="1"/>
        <v>LINESTRING(6.5038 55.71,7.45555 55.7275,8.4073 55.745)</v>
      </c>
      <c r="I43" s="21">
        <v>32</v>
      </c>
      <c r="J43" s="1" t="str">
        <f t="shared" si="0"/>
        <v/>
      </c>
      <c r="K43" s="1">
        <f>INDEX(Nodes!$A:$A,MATCH(Arcs!F43,Nodes!$B:$B,0))</f>
        <v>5</v>
      </c>
      <c r="L43" s="1">
        <f>INDEX(Nodes!$A:$A,MATCH(Arcs!G43,Nodes!$B:$B,0))</f>
        <v>9</v>
      </c>
      <c r="M43" s="2">
        <v>1E-3</v>
      </c>
      <c r="N43" s="3">
        <v>1E-3</v>
      </c>
      <c r="O43" t="str" cm="1">
        <f t="array" ref="O43">SUBSTITUTE(INDEX(Nodes!$A$3:$E$64,Arcs!K43,4) &amp; " " &amp; INDEX(Nodes!$A$3:$E$64,Arcs!K43,5), ",",".")</f>
        <v>6.5038 55.71</v>
      </c>
      <c r="P43" t="str" cm="1">
        <f t="array" ref="P43">SUBSTITUTE(INDEX(Nodes!$A$3:$E$64,Arcs!L43,4) &amp; " " &amp; INDEX(Nodes!$A$3:$E$64,Arcs!L43,5), ",",".")</f>
        <v>8.4073 55.745</v>
      </c>
      <c r="Q43" t="str">
        <f>SUBSTITUTE(AVERAGE(INDEX(Nodes!$A$3:$E$64,Arcs!K43,4), INDEX(Nodes!$A$3:$E$64,Arcs!L43,4)) &amp; " " &amp; AVERAGE(INDEX(Nodes!$A$3:$E$64,Arcs!K43,5), INDEX(Nodes!$A$3:$E$64,Arcs!L43,5)), ",", ".")</f>
        <v>7.45555 55.7275</v>
      </c>
    </row>
    <row r="44" spans="1:17" x14ac:dyDescent="0.2">
      <c r="A44" s="1">
        <v>43</v>
      </c>
      <c r="B44" s="19" t="s">
        <v>304</v>
      </c>
      <c r="C44" s="19"/>
      <c r="D44" s="19"/>
      <c r="E44" s="19"/>
      <c r="F44" s="20" t="s">
        <v>124</v>
      </c>
      <c r="G44" s="20" t="s">
        <v>125</v>
      </c>
      <c r="H44" s="1" t="str">
        <f t="shared" si="1"/>
        <v>LINESTRING(9.3108 55.617,10.05295 55.452,10.7951 55.287)</v>
      </c>
      <c r="I44" s="21">
        <v>52</v>
      </c>
      <c r="J44" s="1" t="str">
        <f t="shared" si="0"/>
        <v/>
      </c>
      <c r="K44" s="1">
        <f>INDEX(Nodes!$A:$A,MATCH(Arcs!F44,Nodes!$B:$B,0))</f>
        <v>10</v>
      </c>
      <c r="L44" s="1">
        <f>INDEX(Nodes!$A:$A,MATCH(Arcs!G44,Nodes!$B:$B,0))</f>
        <v>11</v>
      </c>
      <c r="M44" s="2">
        <v>1E-3</v>
      </c>
      <c r="N44" s="3">
        <v>1E-3</v>
      </c>
      <c r="O44" t="str" cm="1">
        <f t="array" ref="O44">SUBSTITUTE(INDEX(Nodes!$A$3:$E$64,Arcs!K44,4) &amp; " " &amp; INDEX(Nodes!$A$3:$E$64,Arcs!K44,5), ",",".")</f>
        <v>9.3108 55.617</v>
      </c>
      <c r="P44" t="str" cm="1">
        <f t="array" ref="P44">SUBSTITUTE(INDEX(Nodes!$A$3:$E$64,Arcs!L44,4) &amp; " " &amp; INDEX(Nodes!$A$3:$E$64,Arcs!L44,5), ",",".")</f>
        <v>10.7951 55.287</v>
      </c>
      <c r="Q44" t="str">
        <f>SUBSTITUTE(AVERAGE(INDEX(Nodes!$A$3:$E$64,Arcs!K44,4), INDEX(Nodes!$A$3:$E$64,Arcs!L44,4)) &amp; " " &amp; AVERAGE(INDEX(Nodes!$A$3:$E$64,Arcs!K44,5), INDEX(Nodes!$A$3:$E$64,Arcs!L44,5)), ",", ".")</f>
        <v>10.05295 55.452</v>
      </c>
    </row>
    <row r="45" spans="1:17" x14ac:dyDescent="0.2">
      <c r="A45" s="1">
        <v>44</v>
      </c>
      <c r="B45" s="19" t="s">
        <v>305</v>
      </c>
      <c r="C45" s="19"/>
      <c r="D45" s="19"/>
      <c r="E45" s="19"/>
      <c r="F45" s="20" t="s">
        <v>126</v>
      </c>
      <c r="G45" s="20" t="s">
        <v>117</v>
      </c>
      <c r="H45" s="1" t="str">
        <f t="shared" si="1"/>
        <v>LINESTRING(11.2102 55.389,13.23505 54.5945,15.2599 53.8)</v>
      </c>
      <c r="I45" s="21">
        <v>32</v>
      </c>
      <c r="J45" s="1" t="str">
        <f t="shared" si="0"/>
        <v/>
      </c>
      <c r="K45" s="1">
        <f>INDEX(Nodes!$A:$A,MATCH(Arcs!F45,Nodes!$B:$B,0))</f>
        <v>12</v>
      </c>
      <c r="L45" s="1">
        <f>INDEX(Nodes!$A:$A,MATCH(Arcs!G45,Nodes!$B:$B,0))</f>
        <v>47</v>
      </c>
      <c r="M45" s="2">
        <v>1E-3</v>
      </c>
      <c r="N45" s="3">
        <v>1E-3</v>
      </c>
      <c r="O45" t="str" cm="1">
        <f t="array" ref="O45">SUBSTITUTE(INDEX(Nodes!$A$3:$E$64,Arcs!K45,4) &amp; " " &amp; INDEX(Nodes!$A$3:$E$64,Arcs!K45,5), ",",".")</f>
        <v>11.2102 55.389</v>
      </c>
      <c r="P45" t="str" cm="1">
        <f t="array" ref="P45">SUBSTITUTE(INDEX(Nodes!$A$3:$E$64,Arcs!L45,4) &amp; " " &amp; INDEX(Nodes!$A$3:$E$64,Arcs!L45,5), ",",".")</f>
        <v>15.2599 53.8</v>
      </c>
      <c r="Q45" t="str">
        <f>SUBSTITUTE(AVERAGE(INDEX(Nodes!$A$3:$E$64,Arcs!K45,4), INDEX(Nodes!$A$3:$E$64,Arcs!L45,4)) &amp; " " &amp; AVERAGE(INDEX(Nodes!$A$3:$E$64,Arcs!K45,5), INDEX(Nodes!$A$3:$E$64,Arcs!L45,5)), ",", ".")</f>
        <v>13.23505 54.5945</v>
      </c>
    </row>
    <row r="46" spans="1:17" x14ac:dyDescent="0.2">
      <c r="A46" s="1">
        <v>45</v>
      </c>
      <c r="B46" s="19" t="s">
        <v>183</v>
      </c>
      <c r="C46" s="19"/>
      <c r="D46" s="19"/>
      <c r="E46" s="19"/>
      <c r="F46" s="50" t="s">
        <v>108</v>
      </c>
      <c r="G46" s="50" t="s">
        <v>115</v>
      </c>
      <c r="H46" s="1" t="str">
        <f t="shared" si="1"/>
        <v>LINESTRING(1.803328 57.758069,0.349372 56.1913345,-1.104584 54.6246)</v>
      </c>
      <c r="I46" s="21">
        <v>48</v>
      </c>
      <c r="J46" s="1" t="s">
        <v>321</v>
      </c>
      <c r="K46" s="1">
        <f>INDEX(Nodes!$A:$A,MATCH(Arcs!F46,Nodes!$B:$B,0))</f>
        <v>8</v>
      </c>
      <c r="L46" s="1">
        <f>INDEX(Nodes!$A:$A,MATCH(Arcs!G46,Nodes!$B:$B,0))</f>
        <v>55</v>
      </c>
      <c r="M46" s="2">
        <v>1E-3</v>
      </c>
      <c r="N46" s="3">
        <v>1E-3</v>
      </c>
      <c r="O46" t="str" cm="1">
        <f t="array" ref="O46">SUBSTITUTE(INDEX(Nodes!$A$3:$E$64,Arcs!K46,4) &amp; " " &amp; INDEX(Nodes!$A$3:$E$64,Arcs!K46,5), ",",".")</f>
        <v>1.803328 57.758069</v>
      </c>
      <c r="P46" t="str" cm="1">
        <f t="array" ref="P46">SUBSTITUTE(INDEX(Nodes!$A$3:$E$64,Arcs!L46,4) &amp; " " &amp; INDEX(Nodes!$A$3:$E$64,Arcs!L46,5), ",",".")</f>
        <v>-1.104584 54.6246</v>
      </c>
      <c r="Q46" t="str">
        <f>SUBSTITUTE(AVERAGE(INDEX(Nodes!$A$3:$E$64,Arcs!K46,4), INDEX(Nodes!$A$3:$E$64,Arcs!L46,4)) &amp; " " &amp; AVERAGE(INDEX(Nodes!$A$3:$E$64,Arcs!K46,5), INDEX(Nodes!$A$3:$E$64,Arcs!L46,5)), ",", ".")</f>
        <v>0.349372 56.1913345</v>
      </c>
    </row>
    <row r="47" spans="1:17" x14ac:dyDescent="0.2">
      <c r="A47" s="1">
        <v>46</v>
      </c>
      <c r="B47" s="19" t="s">
        <v>184</v>
      </c>
      <c r="C47" s="19"/>
      <c r="D47" s="19"/>
      <c r="E47" s="19"/>
      <c r="F47" s="19" t="s">
        <v>87</v>
      </c>
      <c r="G47" s="19" t="s">
        <v>109</v>
      </c>
      <c r="H47" s="1" t="str">
        <f t="shared" si="1"/>
        <v>LINESTRING(1.705013 61.034477,-0.060319 59.307224,-1.825651 57.579971)</v>
      </c>
      <c r="I47" s="21">
        <v>33</v>
      </c>
      <c r="J47" s="1" t="str">
        <f t="shared" ref="J47:J55" si="2">IF(I47=100,"Capacity unknown","")</f>
        <v/>
      </c>
      <c r="K47" s="1">
        <f>INDEX(Nodes!$A:$A,MATCH(Arcs!F47,Nodes!$B:$B,0))</f>
        <v>40</v>
      </c>
      <c r="L47" s="1">
        <f>INDEX(Nodes!$A:$A,MATCH(Arcs!G47,Nodes!$B:$B,0))</f>
        <v>52</v>
      </c>
      <c r="M47" s="2">
        <v>1E-3</v>
      </c>
      <c r="N47" s="3">
        <v>1E-3</v>
      </c>
      <c r="O47" t="str" cm="1">
        <f t="array" ref="O47">SUBSTITUTE(INDEX(Nodes!$A$3:$E$64,Arcs!K47,4) &amp; " " &amp; INDEX(Nodes!$A$3:$E$64,Arcs!K47,5), ",",".")</f>
        <v>1.705013 61.034477</v>
      </c>
      <c r="P47" t="str" cm="1">
        <f t="array" ref="P47">SUBSTITUTE(INDEX(Nodes!$A$3:$E$64,Arcs!L47,4) &amp; " " &amp; INDEX(Nodes!$A$3:$E$64,Arcs!L47,5), ",",".")</f>
        <v>-1.825651 57.579971</v>
      </c>
      <c r="Q47" t="str">
        <f>SUBSTITUTE(AVERAGE(INDEX(Nodes!$A$3:$E$64,Arcs!K47,4), INDEX(Nodes!$A$3:$E$64,Arcs!L47,4)) &amp; " " &amp; AVERAGE(INDEX(Nodes!$A$3:$E$64,Arcs!K47,5), INDEX(Nodes!$A$3:$E$64,Arcs!L47,5)), ",", ".")</f>
        <v>-0.060319 59.307224</v>
      </c>
    </row>
    <row r="48" spans="1:17" x14ac:dyDescent="0.2">
      <c r="A48" s="1">
        <v>47</v>
      </c>
      <c r="B48" s="31" t="s">
        <v>220</v>
      </c>
      <c r="F48" s="32" t="s">
        <v>123</v>
      </c>
      <c r="G48" s="32" t="s">
        <v>124</v>
      </c>
      <c r="H48" s="1" t="str">
        <f t="shared" si="1"/>
        <v>LINESTRING(8.4073 55.745,8.85905 55.681,9.3108 55.617)</v>
      </c>
      <c r="I48" s="33">
        <v>1000</v>
      </c>
      <c r="J48" s="30" t="str">
        <f t="shared" si="2"/>
        <v/>
      </c>
      <c r="K48" s="1">
        <f>INDEX(Nodes!$A:$A,MATCH(Arcs!F48,Nodes!$B:$B,0))</f>
        <v>9</v>
      </c>
      <c r="L48" s="1">
        <f>INDEX(Nodes!$A:$A,MATCH(Arcs!G48,Nodes!$B:$B,0))</f>
        <v>10</v>
      </c>
      <c r="M48" s="2">
        <v>1E-3</v>
      </c>
      <c r="N48" s="3">
        <v>1E-3</v>
      </c>
      <c r="O48" t="str" cm="1">
        <f t="array" ref="O48">SUBSTITUTE(INDEX(Nodes!$A$3:$E$64,Arcs!K48,4) &amp; " " &amp; INDEX(Nodes!$A$3:$E$64,Arcs!K48,5), ",",".")</f>
        <v>8.4073 55.745</v>
      </c>
      <c r="P48" t="str" cm="1">
        <f t="array" ref="P48">SUBSTITUTE(INDEX(Nodes!$A$3:$E$64,Arcs!L48,4) &amp; " " &amp; INDEX(Nodes!$A$3:$E$64,Arcs!L48,5), ",",".")</f>
        <v>9.3108 55.617</v>
      </c>
      <c r="Q48" t="str">
        <f>SUBSTITUTE(AVERAGE(INDEX(Nodes!$A$3:$E$64,Arcs!K48,4), INDEX(Nodes!$A$3:$E$64,Arcs!L48,4)) &amp; " " &amp; AVERAGE(INDEX(Nodes!$A$3:$E$64,Arcs!K48,5), INDEX(Nodes!$A$3:$E$64,Arcs!L48,5)), ",", ".")</f>
        <v>8.85905 55.681</v>
      </c>
    </row>
    <row r="49" spans="1:17" x14ac:dyDescent="0.2">
      <c r="A49" s="1">
        <v>48</v>
      </c>
      <c r="B49" s="31" t="s">
        <v>221</v>
      </c>
      <c r="F49" s="20" t="s">
        <v>125</v>
      </c>
      <c r="G49" s="20" t="s">
        <v>126</v>
      </c>
      <c r="H49" s="1" t="str">
        <f t="shared" si="1"/>
        <v>LINESTRING(10.7951 55.287,11.00265 55.338,11.2102 55.389)</v>
      </c>
      <c r="I49" s="33">
        <v>1000</v>
      </c>
      <c r="J49" s="30" t="str">
        <f t="shared" si="2"/>
        <v/>
      </c>
      <c r="K49" s="1">
        <f>INDEX(Nodes!$A:$A,MATCH(Arcs!F49,Nodes!$B:$B,0))</f>
        <v>11</v>
      </c>
      <c r="L49" s="1">
        <f>INDEX(Nodes!$A:$A,MATCH(Arcs!G49,Nodes!$B:$B,0))</f>
        <v>12</v>
      </c>
      <c r="M49" s="2">
        <v>1E-3</v>
      </c>
      <c r="N49" s="3">
        <v>1E-3</v>
      </c>
      <c r="O49" t="str" cm="1">
        <f t="array" ref="O49">SUBSTITUTE(INDEX(Nodes!$A$3:$E$64,Arcs!K49,4) &amp; " " &amp; INDEX(Nodes!$A$3:$E$64,Arcs!K49,5), ",",".")</f>
        <v>10.7951 55.287</v>
      </c>
      <c r="P49" t="str" cm="1">
        <f t="array" ref="P49">SUBSTITUTE(INDEX(Nodes!$A$3:$E$64,Arcs!L49,4) &amp; " " &amp; INDEX(Nodes!$A$3:$E$64,Arcs!L49,5), ",",".")</f>
        <v>11.2102 55.389</v>
      </c>
      <c r="Q49" t="str">
        <f>SUBSTITUTE(AVERAGE(INDEX(Nodes!$A$3:$E$64,Arcs!K49,4), INDEX(Nodes!$A$3:$E$64,Arcs!L49,4)) &amp; " " &amp; AVERAGE(INDEX(Nodes!$A$3:$E$64,Arcs!K49,5), INDEX(Nodes!$A$3:$E$64,Arcs!L49,5)), ",", ".")</f>
        <v>11.00265 55.338</v>
      </c>
    </row>
    <row r="50" spans="1:17" x14ac:dyDescent="0.2">
      <c r="A50" s="1">
        <v>49</v>
      </c>
      <c r="B50" s="31" t="s">
        <v>316</v>
      </c>
      <c r="F50" s="32" t="s">
        <v>107</v>
      </c>
      <c r="G50" s="32" t="s">
        <v>106</v>
      </c>
      <c r="H50" s="1" t="str">
        <f t="shared" si="1"/>
        <v>LINESTRING(2.47373297460288 58.1844092290148,2.46906857032826 58.1862791232136,2.46440416605363 58.1881490174125)</v>
      </c>
      <c r="I50" s="33">
        <v>1000</v>
      </c>
      <c r="J50" s="30" t="str">
        <f t="shared" si="2"/>
        <v/>
      </c>
      <c r="K50" s="1">
        <f>INDEX(Nodes!$A:$A,MATCH(Arcs!F50,Nodes!$B:$B,0))</f>
        <v>16</v>
      </c>
      <c r="L50" s="1">
        <f>INDEX(Nodes!$A:$A,MATCH(Arcs!G50,Nodes!$B:$B,0))</f>
        <v>15</v>
      </c>
      <c r="M50" s="2">
        <v>1E-3</v>
      </c>
      <c r="N50" s="3">
        <v>1E-3</v>
      </c>
      <c r="O50" t="str" cm="1">
        <f t="array" ref="O50">SUBSTITUTE(INDEX(Nodes!$A$3:$E$64,Arcs!K50,4) &amp; " " &amp; INDEX(Nodes!$A$3:$E$64,Arcs!K50,5), ",",".")</f>
        <v>2.47373297460288 58.1844092290148</v>
      </c>
      <c r="P50" t="str" cm="1">
        <f t="array" ref="P50">SUBSTITUTE(INDEX(Nodes!$A$3:$E$64,Arcs!L50,4) &amp; " " &amp; INDEX(Nodes!$A$3:$E$64,Arcs!L50,5), ",",".")</f>
        <v>2.46440416605363 58.1881490174125</v>
      </c>
      <c r="Q50" t="str">
        <f>SUBSTITUTE(AVERAGE(INDEX(Nodes!$A$3:$E$64,Arcs!K50,4), INDEX(Nodes!$A$3:$E$64,Arcs!L50,4)) &amp; " " &amp; AVERAGE(INDEX(Nodes!$A$3:$E$64,Arcs!K50,5), INDEX(Nodes!$A$3:$E$64,Arcs!L50,5)), ",", ".")</f>
        <v>2.46906857032826 58.1862791232136</v>
      </c>
    </row>
    <row r="51" spans="1:17" x14ac:dyDescent="0.2">
      <c r="A51" s="1">
        <v>50</v>
      </c>
      <c r="B51" s="31" t="s">
        <v>317</v>
      </c>
      <c r="F51" s="32" t="s">
        <v>104</v>
      </c>
      <c r="G51" s="32" t="s">
        <v>105</v>
      </c>
      <c r="H51" s="1" t="str">
        <f t="shared" si="1"/>
        <v>LINESTRING(1.89876593357951 58.370533807718,1.90731616528787 58.3677389907777,1.91586639699623 58.3649441738375)</v>
      </c>
      <c r="I51" s="33">
        <v>1000</v>
      </c>
      <c r="J51" s="30" t="str">
        <f t="shared" si="2"/>
        <v/>
      </c>
      <c r="K51" s="1">
        <f>INDEX(Nodes!$A:$A,MATCH(Arcs!F51,Nodes!$B:$B,0))</f>
        <v>50</v>
      </c>
      <c r="L51" s="1">
        <f>INDEX(Nodes!$A:$A,MATCH(Arcs!G51,Nodes!$B:$B,0))</f>
        <v>51</v>
      </c>
      <c r="M51" s="2">
        <v>1E-3</v>
      </c>
      <c r="N51" s="3">
        <v>1E-3</v>
      </c>
      <c r="O51" t="str" cm="1">
        <f t="array" ref="O51">SUBSTITUTE(INDEX(Nodes!$A$3:$E$64,Arcs!K51,4) &amp; " " &amp; INDEX(Nodes!$A$3:$E$64,Arcs!K51,5), ",",".")</f>
        <v>1.89876593357951 58.370533807718</v>
      </c>
      <c r="P51" t="str" cm="1">
        <f t="array" ref="P51">SUBSTITUTE(INDEX(Nodes!$A$3:$E$64,Arcs!L51,4) &amp; " " &amp; INDEX(Nodes!$A$3:$E$64,Arcs!L51,5), ",",".")</f>
        <v>1.91586639699623 58.3649441738375</v>
      </c>
      <c r="Q51" t="str">
        <f>SUBSTITUTE(AVERAGE(INDEX(Nodes!$A$3:$E$64,Arcs!K51,4), INDEX(Nodes!$A$3:$E$64,Arcs!L51,4)) &amp; " " &amp; AVERAGE(INDEX(Nodes!$A$3:$E$64,Arcs!K51,5), INDEX(Nodes!$A$3:$E$64,Arcs!L51,5)), ",", ".")</f>
        <v>1.90731616528787 58.3677389907777</v>
      </c>
    </row>
    <row r="52" spans="1:17" x14ac:dyDescent="0.2">
      <c r="A52" s="1">
        <v>51</v>
      </c>
      <c r="B52" s="31" t="s">
        <v>318</v>
      </c>
      <c r="F52" s="32" t="s">
        <v>110</v>
      </c>
      <c r="G52" s="32" t="s">
        <v>111</v>
      </c>
      <c r="H52" s="1" t="str">
        <f t="shared" si="1"/>
        <v>LINESTRING(3.23 56.55,3.28025150000001 56.5201845,3.33050300000002 56.490369)</v>
      </c>
      <c r="I52" s="33">
        <v>1000</v>
      </c>
      <c r="J52" s="30" t="str">
        <f t="shared" si="2"/>
        <v/>
      </c>
      <c r="K52" s="1">
        <f>INDEX(Nodes!$A:$A,MATCH(Arcs!F52,Nodes!$B:$B,0))</f>
        <v>20</v>
      </c>
      <c r="L52" s="1">
        <f>INDEX(Nodes!$A:$A,MATCH(Arcs!G52,Nodes!$B:$B,0))</f>
        <v>43</v>
      </c>
      <c r="M52" s="2">
        <v>1E-3</v>
      </c>
      <c r="N52" s="3">
        <v>1E-3</v>
      </c>
      <c r="O52" t="str" cm="1">
        <f t="array" ref="O52">SUBSTITUTE(INDEX(Nodes!$A$3:$E$64,Arcs!K52,4) &amp; " " &amp; INDEX(Nodes!$A$3:$E$64,Arcs!K52,5), ",",".")</f>
        <v>3.23 56.55</v>
      </c>
      <c r="P52" t="str" cm="1">
        <f t="array" ref="P52">SUBSTITUTE(INDEX(Nodes!$A$3:$E$64,Arcs!L52,4) &amp; " " &amp; INDEX(Nodes!$A$3:$E$64,Arcs!L52,5), ",",".")</f>
        <v>3.33050300000002 56.490369</v>
      </c>
      <c r="Q52" t="str">
        <f>SUBSTITUTE(AVERAGE(INDEX(Nodes!$A$3:$E$64,Arcs!K52,4), INDEX(Nodes!$A$3:$E$64,Arcs!L52,4)) &amp; " " &amp; AVERAGE(INDEX(Nodes!$A$3:$E$64,Arcs!K52,5), INDEX(Nodes!$A$3:$E$64,Arcs!L52,5)), ",", ".")</f>
        <v>3.28025150000001 56.5201845</v>
      </c>
    </row>
    <row r="53" spans="1:17" x14ac:dyDescent="0.2">
      <c r="A53" s="1">
        <v>52</v>
      </c>
      <c r="B53" s="31" t="s">
        <v>319</v>
      </c>
      <c r="C53" s="1">
        <v>52</v>
      </c>
      <c r="D53" s="31" t="s">
        <v>319</v>
      </c>
      <c r="E53" s="1">
        <v>52</v>
      </c>
      <c r="F53" s="32" t="s">
        <v>79</v>
      </c>
      <c r="G53" s="32" t="s">
        <v>80</v>
      </c>
      <c r="H53" s="1" t="str">
        <f t="shared" si="1"/>
        <v>LINESTRING(7.79102610529196 64.3505675912103,7.11614205264601 64.2919112956052,6.44125800000006 64.233255)</v>
      </c>
      <c r="I53" s="33">
        <v>1000</v>
      </c>
      <c r="J53" s="30" t="str">
        <f t="shared" si="2"/>
        <v/>
      </c>
      <c r="K53" s="1">
        <f>INDEX(Nodes!$A:$A,MATCH(Arcs!F53,Nodes!$B:$B,0))</f>
        <v>14</v>
      </c>
      <c r="L53" s="1">
        <f>INDEX(Nodes!$A:$A,MATCH(Arcs!G53,Nodes!$B:$B,0))</f>
        <v>13</v>
      </c>
      <c r="M53" s="2">
        <v>1E-3</v>
      </c>
      <c r="N53" s="3">
        <v>1E-3</v>
      </c>
      <c r="O53" t="str" cm="1">
        <f t="array" ref="O53">SUBSTITUTE(INDEX(Nodes!$A$3:$E$64,Arcs!K53,4) &amp; " " &amp; INDEX(Nodes!$A$3:$E$64,Arcs!K53,5), ",",".")</f>
        <v>7.79102610529196 64.3505675912103</v>
      </c>
      <c r="P53" t="str" cm="1">
        <f t="array" ref="P53">SUBSTITUTE(INDEX(Nodes!$A$3:$E$64,Arcs!L53,4) &amp; " " &amp; INDEX(Nodes!$A$3:$E$64,Arcs!L53,5), ",",".")</f>
        <v>6.44125800000006 64.233255</v>
      </c>
      <c r="Q53" t="str">
        <f>SUBSTITUTE(AVERAGE(INDEX(Nodes!$A$3:$E$64,Arcs!K53,4), INDEX(Nodes!$A$3:$E$64,Arcs!L53,4)) &amp; " " &amp; AVERAGE(INDEX(Nodes!$A$3:$E$64,Arcs!K53,5), INDEX(Nodes!$A$3:$E$64,Arcs!L53,5)), ",", ".")</f>
        <v>7.11614205264601 64.2919112956052</v>
      </c>
    </row>
    <row r="54" spans="1:17" x14ac:dyDescent="0.2">
      <c r="A54" s="1">
        <v>53</v>
      </c>
      <c r="B54" s="31" t="s">
        <v>320</v>
      </c>
      <c r="C54" s="1">
        <v>53</v>
      </c>
      <c r="D54" s="31" t="s">
        <v>320</v>
      </c>
      <c r="E54" s="1">
        <v>53</v>
      </c>
      <c r="F54" s="32" t="s">
        <v>88</v>
      </c>
      <c r="G54" s="32" t="s">
        <v>87</v>
      </c>
      <c r="H54" s="1" t="str">
        <f t="shared" si="1"/>
        <v>LINESTRING(1.70018911400007 61.022018433,1.70260105700003 61.0282477165,1.705013 61.034477)</v>
      </c>
      <c r="I54" s="33">
        <v>1000</v>
      </c>
      <c r="J54" s="30" t="str">
        <f t="shared" si="2"/>
        <v/>
      </c>
      <c r="K54" s="1">
        <f>INDEX(Nodes!$A:$A,MATCH(Arcs!F54,Nodes!$B:$B,0))</f>
        <v>24</v>
      </c>
      <c r="L54" s="1">
        <f>INDEX(Nodes!$A:$A,MATCH(Arcs!G54,Nodes!$B:$B,0))</f>
        <v>40</v>
      </c>
      <c r="M54" s="2">
        <v>1E-3</v>
      </c>
      <c r="N54" s="3">
        <v>1E-3</v>
      </c>
      <c r="O54" t="str" cm="1">
        <f t="array" ref="O54">SUBSTITUTE(INDEX(Nodes!$A$3:$E$64,Arcs!K54,4) &amp; " " &amp; INDEX(Nodes!$A$3:$E$64,Arcs!K54,5), ",",".")</f>
        <v>1.70018911400007 61.022018433</v>
      </c>
      <c r="P54" t="str" cm="1">
        <f t="array" ref="P54">SUBSTITUTE(INDEX(Nodes!$A$3:$E$64,Arcs!L54,4) &amp; " " &amp; INDEX(Nodes!$A$3:$E$64,Arcs!L54,5), ",",".")</f>
        <v>1.705013 61.034477</v>
      </c>
      <c r="Q54" t="str">
        <f>SUBSTITUTE(AVERAGE(INDEX(Nodes!$A$3:$E$64,Arcs!K54,4), INDEX(Nodes!$A$3:$E$64,Arcs!L54,4)) &amp; " " &amp; AVERAGE(INDEX(Nodes!$A$3:$E$64,Arcs!K54,5), INDEX(Nodes!$A$3:$E$64,Arcs!L54,5)), ",", ".")</f>
        <v>1.70260105700003 61.0282477165</v>
      </c>
    </row>
    <row r="55" spans="1:17" x14ac:dyDescent="0.2">
      <c r="A55" s="1">
        <v>54</v>
      </c>
      <c r="B55" s="31" t="s">
        <v>324</v>
      </c>
      <c r="C55" s="1">
        <v>54</v>
      </c>
      <c r="D55" s="31" t="s">
        <v>324</v>
      </c>
      <c r="E55" s="1">
        <v>54</v>
      </c>
      <c r="F55" s="32" t="s">
        <v>205</v>
      </c>
      <c r="G55" s="19" t="s">
        <v>206</v>
      </c>
      <c r="H55" s="1" t="str">
        <f t="shared" si="1"/>
        <v>LINESTRING(6.80365983600007 65.0944715000001,5.74610048159499 63.6986000692747,4.68854112718991 62.3027286385494)</v>
      </c>
      <c r="I55" s="33">
        <v>1000</v>
      </c>
      <c r="J55" s="30" t="str">
        <f t="shared" si="2"/>
        <v/>
      </c>
      <c r="K55" s="1">
        <f>INDEX(Nodes!$A:$A,MATCH(Arcs!F55,Nodes!$B:$B,0))</f>
        <v>3</v>
      </c>
      <c r="L55" s="1">
        <f>INDEX(Nodes!$A:$A,MATCH(Arcs!G55,Nodes!$B:$B,0))</f>
        <v>2</v>
      </c>
      <c r="M55" s="2">
        <v>1E-3</v>
      </c>
      <c r="N55" s="3">
        <v>1E-3</v>
      </c>
      <c r="O55" t="str" cm="1">
        <f t="array" ref="O55">SUBSTITUTE(INDEX(Nodes!$A$3:$E$64,Arcs!K55,4) &amp; " " &amp; INDEX(Nodes!$A$3:$E$64,Arcs!K55,5), ",",".")</f>
        <v>6.80365983600007 65.0944715000001</v>
      </c>
      <c r="P55" t="str" cm="1">
        <f t="array" ref="P55">SUBSTITUTE(INDEX(Nodes!$A$3:$E$64,Arcs!L55,4) &amp; " " &amp; INDEX(Nodes!$A$3:$E$64,Arcs!L55,5), ",",".")</f>
        <v>4.68854112718991 62.3027286385494</v>
      </c>
      <c r="Q55" t="str">
        <f>SUBSTITUTE(AVERAGE(INDEX(Nodes!$A$3:$E$64,Arcs!K55,4), INDEX(Nodes!$A$3:$E$64,Arcs!L55,4)) &amp; " " &amp; AVERAGE(INDEX(Nodes!$A$3:$E$64,Arcs!K55,5), INDEX(Nodes!$A$3:$E$64,Arcs!L55,5)), ",", ".")</f>
        <v>5.74610048159499 63.6986000692747</v>
      </c>
    </row>
    <row r="56" spans="1:17" x14ac:dyDescent="0.2">
      <c r="A56" s="1">
        <v>55</v>
      </c>
      <c r="B56" s="31" t="s">
        <v>325</v>
      </c>
      <c r="F56" s="32" t="s">
        <v>92</v>
      </c>
      <c r="G56" s="32" t="s">
        <v>94</v>
      </c>
      <c r="H56" s="1" t="str">
        <f t="shared" si="1"/>
        <v>LINESTRING(3.0378254949277 60.5433289978974,2.93093584095346 60.5151147257528,2.82404618697923 60.4869004536081)</v>
      </c>
      <c r="I56" s="33">
        <v>1000</v>
      </c>
      <c r="J56" s="30" t="str">
        <f t="shared" ref="J56:J60" si="3">IF(I56=100,"Capacity unknown","")</f>
        <v/>
      </c>
      <c r="K56" s="1">
        <f>INDEX(Nodes!$A:$A,MATCH(Arcs!F56,Nodes!$B:$B,0))</f>
        <v>7</v>
      </c>
      <c r="L56" s="1">
        <f>INDEX(Nodes!$A:$A,MATCH(Arcs!G56,Nodes!$B:$B,0))</f>
        <v>46</v>
      </c>
      <c r="M56" s="2">
        <v>1E-3</v>
      </c>
      <c r="N56" s="3">
        <v>1E-3</v>
      </c>
      <c r="O56" t="str" cm="1">
        <f t="array" ref="O56">SUBSTITUTE(INDEX(Nodes!$A$3:$E$64,Arcs!K56,4) &amp; " " &amp; INDEX(Nodes!$A$3:$E$64,Arcs!K56,5), ",",".")</f>
        <v>3.0378254949277 60.5433289978974</v>
      </c>
      <c r="P56" t="str" cm="1">
        <f t="array" ref="P56">SUBSTITUTE(INDEX(Nodes!$A$3:$E$64,Arcs!L56,4) &amp; " " &amp; INDEX(Nodes!$A$3:$E$64,Arcs!L56,5), ",",".")</f>
        <v>2.82404618697923 60.4869004536081</v>
      </c>
      <c r="Q56" t="str">
        <f>SUBSTITUTE(AVERAGE(INDEX(Nodes!$A$3:$E$64,Arcs!K56,4), INDEX(Nodes!$A$3:$E$64,Arcs!L56,4)) &amp; " " &amp; AVERAGE(INDEX(Nodes!$A$3:$E$64,Arcs!K56,5), INDEX(Nodes!$A$3:$E$64,Arcs!L56,5)), ",", ".")</f>
        <v>2.93093584095346 60.5151147257528</v>
      </c>
    </row>
    <row r="57" spans="1:17" x14ac:dyDescent="0.2">
      <c r="A57" s="1">
        <v>56</v>
      </c>
      <c r="B57" s="31" t="s">
        <v>326</v>
      </c>
      <c r="F57" s="32" t="s">
        <v>79</v>
      </c>
      <c r="G57" s="32" t="s">
        <v>206</v>
      </c>
      <c r="H57" s="1" t="str">
        <f t="shared" si="1"/>
        <v>LINESTRING(7.79102610529196 64.3505675912103,6.23978361624093 63.3266481148799,4.68854112718991 62.3027286385494)</v>
      </c>
      <c r="I57" s="33">
        <v>1000</v>
      </c>
      <c r="J57" s="30" t="str">
        <f t="shared" si="3"/>
        <v/>
      </c>
      <c r="K57" s="1">
        <f>INDEX(Nodes!$A:$A,MATCH(Arcs!F57,Nodes!$B:$B,0))</f>
        <v>14</v>
      </c>
      <c r="L57" s="1">
        <f>INDEX(Nodes!$A:$A,MATCH(Arcs!G57,Nodes!$B:$B,0))</f>
        <v>2</v>
      </c>
      <c r="M57" s="2">
        <v>1E-3</v>
      </c>
      <c r="N57" s="3">
        <v>1E-3</v>
      </c>
      <c r="O57" t="str" cm="1">
        <f t="array" ref="O57">SUBSTITUTE(INDEX(Nodes!$A$3:$E$64,Arcs!K57,4) &amp; " " &amp; INDEX(Nodes!$A$3:$E$64,Arcs!K57,5), ",",".")</f>
        <v>7.79102610529196 64.3505675912103</v>
      </c>
      <c r="P57" t="str" cm="1">
        <f t="array" ref="P57">SUBSTITUTE(INDEX(Nodes!$A$3:$E$64,Arcs!L57,4) &amp; " " &amp; INDEX(Nodes!$A$3:$E$64,Arcs!L57,5), ",",".")</f>
        <v>4.68854112718991 62.3027286385494</v>
      </c>
      <c r="Q57" t="str">
        <f>SUBSTITUTE(AVERAGE(INDEX(Nodes!$A$3:$E$64,Arcs!K57,4), INDEX(Nodes!$A$3:$E$64,Arcs!L57,4)) &amp; " " &amp; AVERAGE(INDEX(Nodes!$A$3:$E$64,Arcs!K57,5), INDEX(Nodes!$A$3:$E$64,Arcs!L57,5)), ",", ".")</f>
        <v>6.23978361624093 63.3266481148799</v>
      </c>
    </row>
    <row r="58" spans="1:17" x14ac:dyDescent="0.2">
      <c r="A58" s="1">
        <v>57</v>
      </c>
      <c r="B58" s="31" t="s">
        <v>327</v>
      </c>
      <c r="F58" s="32" t="s">
        <v>103</v>
      </c>
      <c r="G58" t="s">
        <v>99</v>
      </c>
      <c r="H58" s="1" t="str">
        <f t="shared" si="1"/>
        <v>LINESTRING(2.25414983173741 58.8394056753501,3.65416291586873 59.0831068376751,5.05417600000004 59.326808)</v>
      </c>
      <c r="I58" s="33">
        <v>1000</v>
      </c>
      <c r="J58" s="30" t="str">
        <f t="shared" si="3"/>
        <v/>
      </c>
      <c r="K58" s="1">
        <f>INDEX(Nodes!$A:$A,MATCH(Arcs!F58,Nodes!$B:$B,0))</f>
        <v>48</v>
      </c>
      <c r="L58" s="1">
        <f>INDEX(Nodes!$A:$A,MATCH(Arcs!G58,Nodes!$B:$B,0))</f>
        <v>34</v>
      </c>
      <c r="M58" s="2">
        <v>1E-3</v>
      </c>
      <c r="N58" s="3">
        <v>1E-3</v>
      </c>
      <c r="O58" t="str" cm="1">
        <f t="array" ref="O58">SUBSTITUTE(INDEX(Nodes!$A$3:$E$64,Arcs!K58,4) &amp; " " &amp; INDEX(Nodes!$A$3:$E$64,Arcs!K58,5), ",",".")</f>
        <v>2.25414983173741 58.8394056753501</v>
      </c>
      <c r="P58" t="str" cm="1">
        <f t="array" ref="P58">SUBSTITUTE(INDEX(Nodes!$A$3:$E$64,Arcs!L58,4) &amp; " " &amp; INDEX(Nodes!$A$3:$E$64,Arcs!L58,5), ",",".")</f>
        <v>5.05417600000004 59.326808</v>
      </c>
      <c r="Q58" t="str">
        <f>SUBSTITUTE(AVERAGE(INDEX(Nodes!$A$3:$E$64,Arcs!K58,4), INDEX(Nodes!$A$3:$E$64,Arcs!L58,4)) &amp; " " &amp; AVERAGE(INDEX(Nodes!$A$3:$E$64,Arcs!K58,5), INDEX(Nodes!$A$3:$E$64,Arcs!L58,5)), ",", ".")</f>
        <v>3.65416291586873 59.0831068376751</v>
      </c>
    </row>
    <row r="59" spans="1:17" x14ac:dyDescent="0.2">
      <c r="A59" s="1">
        <v>58</v>
      </c>
      <c r="B59" s="31" t="s">
        <v>328</v>
      </c>
      <c r="F59" t="s">
        <v>102</v>
      </c>
      <c r="G59" s="52" t="s">
        <v>207</v>
      </c>
      <c r="H59" s="1" t="str">
        <f t="shared" si="1"/>
        <v>LINESTRING(2.5577715130093 58.8419310723351,4.03534642322643 59.0570233500857,5.51292133344356 59.2721156278364)</v>
      </c>
      <c r="I59" s="33">
        <v>1000</v>
      </c>
      <c r="J59" s="30" t="str">
        <f t="shared" si="3"/>
        <v/>
      </c>
      <c r="K59" s="1">
        <f>INDEX(Nodes!$A:$A,MATCH(Arcs!F59,Nodes!$B:$B,0))</f>
        <v>35</v>
      </c>
      <c r="L59" s="1">
        <f>INDEX(Nodes!$A:$A,MATCH(Arcs!G59,Nodes!$B:$B,0))</f>
        <v>36</v>
      </c>
      <c r="M59" s="2">
        <v>1E-3</v>
      </c>
      <c r="N59" s="3">
        <v>1E-3</v>
      </c>
      <c r="O59" t="str" cm="1">
        <f t="array" ref="O59">SUBSTITUTE(INDEX(Nodes!$A$3:$E$64,Arcs!K59,4) &amp; " " &amp; INDEX(Nodes!$A$3:$E$64,Arcs!K59,5), ",",".")</f>
        <v>2.5577715130093 58.8419310723351</v>
      </c>
      <c r="P59" t="str" cm="1">
        <f t="array" ref="P59">SUBSTITUTE(INDEX(Nodes!$A$3:$E$64,Arcs!L59,4) &amp; " " &amp; INDEX(Nodes!$A$3:$E$64,Arcs!L59,5), ",",".")</f>
        <v>5.51292133344356 59.2721156278364</v>
      </c>
      <c r="Q59" t="str">
        <f>SUBSTITUTE(AVERAGE(INDEX(Nodes!$A$3:$E$64,Arcs!K59,4), INDEX(Nodes!$A$3:$E$64,Arcs!L59,4)) &amp; " " &amp; AVERAGE(INDEX(Nodes!$A$3:$E$64,Arcs!K59,5), INDEX(Nodes!$A$3:$E$64,Arcs!L59,5)), ",", ".")</f>
        <v>4.03534642322643 59.0570233500857</v>
      </c>
    </row>
    <row r="60" spans="1:17" x14ac:dyDescent="0.2">
      <c r="A60" s="1">
        <v>59</v>
      </c>
      <c r="B60" s="31" t="s">
        <v>329</v>
      </c>
      <c r="F60" s="19" t="s">
        <v>78</v>
      </c>
      <c r="G60" s="19" t="s">
        <v>206</v>
      </c>
      <c r="H60" s="1" t="str">
        <f t="shared" si="1"/>
        <v>LINESTRING(6.80146100000007 65.0845160000001,5.74500106359499 63.6936223192747,4.68854112718991 62.3027286385494)</v>
      </c>
      <c r="I60" s="33">
        <v>1000</v>
      </c>
      <c r="J60" s="30" t="str">
        <f t="shared" si="3"/>
        <v/>
      </c>
      <c r="K60" s="1">
        <f>INDEX(Nodes!$A:$A,MATCH(Arcs!F60,Nodes!$B:$B,0))</f>
        <v>42</v>
      </c>
      <c r="L60" s="1">
        <f>INDEX(Nodes!$A:$A,MATCH(Arcs!G60,Nodes!$B:$B,0))</f>
        <v>2</v>
      </c>
      <c r="M60" s="2">
        <v>1E-3</v>
      </c>
      <c r="N60" s="3">
        <v>1E-3</v>
      </c>
      <c r="O60" t="str" cm="1">
        <f t="array" ref="O60">SUBSTITUTE(INDEX(Nodes!$A$3:$E$64,Arcs!K60,4) &amp; " " &amp; INDEX(Nodes!$A$3:$E$64,Arcs!K60,5), ",",".")</f>
        <v>6.80146100000007 65.0845160000001</v>
      </c>
      <c r="P60" t="str" cm="1">
        <f t="array" ref="P60">SUBSTITUTE(INDEX(Nodes!$A$3:$E$64,Arcs!L60,4) &amp; " " &amp; INDEX(Nodes!$A$3:$E$64,Arcs!L60,5), ",",".")</f>
        <v>4.68854112718991 62.3027286385494</v>
      </c>
      <c r="Q60" t="str">
        <f>SUBSTITUTE(AVERAGE(INDEX(Nodes!$A$3:$E$64,Arcs!K60,4), INDEX(Nodes!$A$3:$E$64,Arcs!L60,4)) &amp; " " &amp; AVERAGE(INDEX(Nodes!$A$3:$E$64,Arcs!K60,5), INDEX(Nodes!$A$3:$E$64,Arcs!L60,5)), ",", ".")</f>
        <v>5.74500106359499 63.6936223192747</v>
      </c>
    </row>
    <row r="61" spans="1:17" x14ac:dyDescent="0.2">
      <c r="A61" s="1">
        <v>60</v>
      </c>
      <c r="B61" s="31" t="s">
        <v>330</v>
      </c>
      <c r="F61" s="53" t="s">
        <v>95</v>
      </c>
      <c r="G61" s="52" t="s">
        <v>96</v>
      </c>
      <c r="H61" s="1" t="str">
        <f t="shared" si="1"/>
        <v>LINESTRING(2.01751548100003 59.8949619730001,2.12637048424656 59.7330186621066,2.23522548749309 59.5710753512132)</v>
      </c>
      <c r="I61" s="33">
        <v>1000</v>
      </c>
      <c r="J61" s="30" t="str">
        <f t="shared" ref="J61" si="4">IF(I61=100,"Capacity unknown","")</f>
        <v/>
      </c>
      <c r="K61" s="1">
        <f>INDEX(Nodes!$A:$A,MATCH(Arcs!F61,Nodes!$B:$B,0))</f>
        <v>39</v>
      </c>
      <c r="L61" s="1">
        <f>INDEX(Nodes!$A:$A,MATCH(Arcs!G61,Nodes!$B:$B,0))</f>
        <v>33</v>
      </c>
      <c r="M61" s="2">
        <v>1E-3</v>
      </c>
      <c r="N61" s="3">
        <v>1E-3</v>
      </c>
      <c r="O61" t="str" cm="1">
        <f t="array" ref="O61">SUBSTITUTE(INDEX(Nodes!$A$3:$E$64,Arcs!K61,4) &amp; " " &amp; INDEX(Nodes!$A$3:$E$64,Arcs!K61,5), ",",".")</f>
        <v>2.01751548100003 59.8949619730001</v>
      </c>
      <c r="P61" t="str" cm="1">
        <f t="array" ref="P61">SUBSTITUTE(INDEX(Nodes!$A$3:$E$64,Arcs!L61,4) &amp; " " &amp; INDEX(Nodes!$A$3:$E$64,Arcs!L61,5), ",",".")</f>
        <v>2.23522548749309 59.5710753512132</v>
      </c>
      <c r="Q61" t="str">
        <f>SUBSTITUTE(AVERAGE(INDEX(Nodes!$A$3:$E$64,Arcs!K61,4), INDEX(Nodes!$A$3:$E$64,Arcs!L61,4)) &amp; " " &amp; AVERAGE(INDEX(Nodes!$A$3:$E$64,Arcs!K61,5), INDEX(Nodes!$A$3:$E$64,Arcs!L61,5)), ",", ".")</f>
        <v>2.12637048424656 59.7330186621066</v>
      </c>
    </row>
    <row r="62" spans="1:17" x14ac:dyDescent="0.2">
      <c r="A62" s="1">
        <v>61</v>
      </c>
      <c r="B62" s="31" t="s">
        <v>341</v>
      </c>
      <c r="F62" s="19" t="s">
        <v>189</v>
      </c>
      <c r="G62" s="52" t="s">
        <v>88</v>
      </c>
      <c r="H62" s="1" t="str">
        <f t="shared" si="1"/>
        <v>LINESTRING(3.90498979266736 61.3301937762874,2.80258945333371 61.1761061046437,1.70018911400007 61.022018433)</v>
      </c>
      <c r="I62" s="42">
        <v>18.2</v>
      </c>
      <c r="K62" s="1">
        <f>INDEX(Nodes!$A:$A,MATCH(Arcs!F62,Nodes!$B:$B,0))</f>
        <v>27</v>
      </c>
      <c r="L62" s="1">
        <f>INDEX(Nodes!$A:$A,MATCH(Arcs!G62,Nodes!$B:$B,0))</f>
        <v>24</v>
      </c>
      <c r="M62" s="2">
        <v>1E-3</v>
      </c>
      <c r="N62" s="3">
        <v>1E-3</v>
      </c>
      <c r="O62" t="str" cm="1">
        <f t="array" ref="O62">SUBSTITUTE(INDEX(Nodes!$A$3:$E$64,Arcs!K62,4) &amp; " " &amp; INDEX(Nodes!$A$3:$E$64,Arcs!K62,5), ",",".")</f>
        <v>3.90498979266736 61.3301937762874</v>
      </c>
      <c r="P62" t="str" cm="1">
        <f t="array" ref="P62">SUBSTITUTE(INDEX(Nodes!$A$3:$E$64,Arcs!L62,4) &amp; " " &amp; INDEX(Nodes!$A$3:$E$64,Arcs!L62,5), ",",".")</f>
        <v>1.70018911400007 61.022018433</v>
      </c>
      <c r="Q62" t="str">
        <f>SUBSTITUTE(AVERAGE(INDEX(Nodes!$A$3:$E$64,Arcs!K62,4), INDEX(Nodes!$A$3:$E$64,Arcs!L62,4)) &amp; " " &amp; AVERAGE(INDEX(Nodes!$A$3:$E$64,Arcs!K62,5), INDEX(Nodes!$A$3:$E$64,Arcs!L62,5)), ",", ".")</f>
        <v>2.80258945333371 61.1761061046437</v>
      </c>
    </row>
  </sheetData>
  <autoFilter ref="A1:N54"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20"/>
  <sheetViews>
    <sheetView zoomScale="200" zoomScaleNormal="200" workbookViewId="0">
      <selection activeCell="D5" sqref="D5"/>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172</v>
      </c>
      <c r="B1" s="27" t="s">
        <v>177</v>
      </c>
      <c r="C1" s="27" t="s">
        <v>210</v>
      </c>
      <c r="D1" s="27" t="s">
        <v>163</v>
      </c>
      <c r="E1" s="27" t="s">
        <v>211</v>
      </c>
      <c r="F1" s="27" t="s">
        <v>212</v>
      </c>
      <c r="G1" s="27" t="s">
        <v>214</v>
      </c>
      <c r="H1" s="27" t="s">
        <v>213</v>
      </c>
    </row>
    <row r="2" spans="1:8" x14ac:dyDescent="0.2">
      <c r="A2" s="1" t="s">
        <v>81</v>
      </c>
      <c r="B2" t="s">
        <v>76</v>
      </c>
      <c r="C2" t="s">
        <v>110</v>
      </c>
      <c r="D2" s="26" t="s">
        <v>74</v>
      </c>
      <c r="E2" s="26" t="s">
        <v>98</v>
      </c>
      <c r="F2" s="51" t="s">
        <v>188</v>
      </c>
      <c r="G2" s="51" t="s">
        <v>75</v>
      </c>
      <c r="H2" s="51" t="s">
        <v>89</v>
      </c>
    </row>
    <row r="3" spans="1:8" x14ac:dyDescent="0.2">
      <c r="D3" s="26" t="s">
        <v>101</v>
      </c>
      <c r="H3" s="26"/>
    </row>
    <row r="4" spans="1:8" x14ac:dyDescent="0.2">
      <c r="D4" s="26" t="s">
        <v>77</v>
      </c>
    </row>
    <row r="5" spans="1:8" x14ac:dyDescent="0.2">
      <c r="B5" s="13"/>
      <c r="D5" s="1" t="s">
        <v>99</v>
      </c>
    </row>
    <row r="6" spans="1:8" x14ac:dyDescent="0.2">
      <c r="D6" s="26" t="s">
        <v>186</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1" t="s">
        <v>108</v>
      </c>
    </row>
    <row r="15" spans="1:8" x14ac:dyDescent="0.2">
      <c r="A15" cm="1">
        <f t="array" ref="A15">SUM(IF(ISNUMBER(VLOOKUP(A2:A13,Nodes!$B$3:$I$61,8)),VLOOKUP(A2:A13,Nodes!$B$3:$I$61,8)))</f>
        <v>32.633767123287676</v>
      </c>
      <c r="B15" cm="1">
        <f t="array" ref="B15">SUM(IF(ISNUMBER(VLOOKUP(B2:B13,Nodes!$B$3:$I$61,8)),VLOOKUP(B2:B13,Nodes!$B$3:$I$61,8)))</f>
        <v>8.8860904109589036</v>
      </c>
      <c r="C15" cm="1">
        <f t="array" ref="C15">SUM(IF(ISNUMBER(VLOOKUP(C2:C13,Nodes!$B$3:$I$61,8)),VLOOKUP(C2:C13,Nodes!$B$3:$I$61,8)))</f>
        <v>3.8482712328767121</v>
      </c>
      <c r="D15" cm="1">
        <f t="array" ref="D15">SUM(IF(ISNUMBER(VLOOKUP(D2:D13,Nodes!$B$3:$I$61,8)),VLOOKUP(D2:D13,Nodes!$B$3:$I$61,8)))</f>
        <v>242.49738630136986</v>
      </c>
      <c r="E15" cm="1">
        <f t="array" ref="E15">SUM(IF(ISNUMBER(VLOOKUP(E2:E13,Nodes!$B$3:$I$61,8)),VLOOKUP(E2:E13,Nodes!$B$3:$I$61,8)))</f>
        <v>4.0645178082191773</v>
      </c>
      <c r="F15" s="41" cm="1">
        <f t="array" ref="F15">SUM(IF(ISNUMBER(VLOOKUP(F2:F13,Nodes!$B$3:$I$61,8)),VLOOKUP(F2:F13,Nodes!$B$3:$I$61,8)))</f>
        <v>10.738131506849314</v>
      </c>
      <c r="G15" s="41" cm="1">
        <f t="array" ref="G15">SUM(IF(ISNUMBER(VLOOKUP(G2:G13,Nodes!$B$3:$I$61,8)),VLOOKUP(G2:G13,Nodes!$B$3:$I$61,8)))</f>
        <v>1.5822602739726026</v>
      </c>
      <c r="H15" s="41" cm="1">
        <f t="array" ref="H15">SUM(IF(ISNUMBER(VLOOKUP(H2:H13,Nodes!$B$3:$I$61,8)),VLOOKUP(H2:H13,Nodes!$B$3:$I$61,8)))</f>
        <v>0.35852054794520549</v>
      </c>
    </row>
    <row r="17" spans="8:8" x14ac:dyDescent="0.2">
      <c r="H17" s="26" t="s">
        <v>337</v>
      </c>
    </row>
    <row r="18" spans="8:8" x14ac:dyDescent="0.2">
      <c r="H18" t="s">
        <v>338</v>
      </c>
    </row>
    <row r="19" spans="8:8" x14ac:dyDescent="0.2">
      <c r="H19" t="s">
        <v>339</v>
      </c>
    </row>
    <row r="20" spans="8:8" x14ac:dyDescent="0.2">
      <c r="H20" t="s">
        <v>340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00" zoomScaleNormal="200" workbookViewId="0">
      <selection activeCell="F8" sqref="F8"/>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1640625" bestFit="1" customWidth="1"/>
    <col min="12" max="12" width="16.1640625" bestFit="1" customWidth="1"/>
  </cols>
  <sheetData>
    <row r="1" spans="1:12" x14ac:dyDescent="0.2">
      <c r="A1" s="8" t="s">
        <v>299</v>
      </c>
      <c r="B1" s="8" t="s">
        <v>109</v>
      </c>
      <c r="C1" s="8" t="s">
        <v>119</v>
      </c>
      <c r="D1" s="8" t="s">
        <v>115</v>
      </c>
      <c r="E1" s="8" t="s">
        <v>120</v>
      </c>
      <c r="F1" s="8" t="s">
        <v>334</v>
      </c>
      <c r="G1" s="8" t="s">
        <v>121</v>
      </c>
      <c r="H1" s="8" t="s">
        <v>122</v>
      </c>
      <c r="I1" s="8" t="s">
        <v>117</v>
      </c>
      <c r="K1" s="8" t="s">
        <v>306</v>
      </c>
      <c r="L1" s="8" t="s">
        <v>307</v>
      </c>
    </row>
    <row r="2" spans="1:12" x14ac:dyDescent="0.2">
      <c r="A2" t="s">
        <v>172</v>
      </c>
      <c r="B2">
        <f>0</f>
        <v>0</v>
      </c>
      <c r="C2">
        <v>0.4</v>
      </c>
      <c r="D2">
        <v>0</v>
      </c>
      <c r="E2">
        <v>0</v>
      </c>
      <c r="F2">
        <v>0</v>
      </c>
      <c r="G2">
        <f>12.5/40</f>
        <v>0.3125</v>
      </c>
      <c r="H2">
        <f>12.5/40</f>
        <v>0.3125</v>
      </c>
      <c r="I2">
        <v>0</v>
      </c>
      <c r="K2">
        <f>HLOOKUP(A2,Traders!$A$1:$H$15,15,)</f>
        <v>32.633767123287676</v>
      </c>
      <c r="L2" cm="1">
        <f t="array" ref="L2">SUM(B2:I2*MAX('Demand Stage 1'!$B$5:$I$12))</f>
        <v>46.125</v>
      </c>
    </row>
    <row r="3" spans="1:12" x14ac:dyDescent="0.2">
      <c r="A3" t="s">
        <v>177</v>
      </c>
      <c r="B3">
        <v>0</v>
      </c>
      <c r="C3">
        <v>0</v>
      </c>
      <c r="D3">
        <v>0</v>
      </c>
      <c r="E3">
        <v>0</v>
      </c>
      <c r="F3">
        <f>2.5/45</f>
        <v>5.5555555555555552E-2</v>
      </c>
      <c r="G3">
        <v>0</v>
      </c>
      <c r="H3">
        <v>0</v>
      </c>
      <c r="I3">
        <v>0.2</v>
      </c>
      <c r="K3">
        <f>HLOOKUP(A3,Traders!$A$1:$H$15,15,)</f>
        <v>8.8860904109589036</v>
      </c>
      <c r="L3" cm="1">
        <f t="array" ref="L3">SUM(B3:I3*MAX('Demand Stage 1'!$B$5:$I$12))</f>
        <v>11.5</v>
      </c>
    </row>
    <row r="4" spans="1:12" x14ac:dyDescent="0.2">
      <c r="A4" t="s">
        <v>210</v>
      </c>
      <c r="B4">
        <v>0</v>
      </c>
      <c r="C4">
        <v>0</v>
      </c>
      <c r="D4">
        <v>0</v>
      </c>
      <c r="E4">
        <f>3.5/45</f>
        <v>7.7777777777777779E-2</v>
      </c>
      <c r="F4">
        <v>0</v>
      </c>
      <c r="G4">
        <v>0</v>
      </c>
      <c r="H4">
        <v>0</v>
      </c>
      <c r="I4">
        <v>0</v>
      </c>
      <c r="K4">
        <f>HLOOKUP(A4,Traders!$A$1:$H$15,15,)</f>
        <v>3.8482712328767121</v>
      </c>
      <c r="L4" cm="1">
        <f t="array" ref="L4">SUM(B4:I4*MAX('Demand Stage 1'!$B$5:$I$12))</f>
        <v>3.5</v>
      </c>
    </row>
    <row r="5" spans="1:12" x14ac:dyDescent="0.2">
      <c r="A5" t="s">
        <v>163</v>
      </c>
      <c r="B5">
        <v>0.4</v>
      </c>
      <c r="C5">
        <v>0.6</v>
      </c>
      <c r="D5">
        <v>1</v>
      </c>
      <c r="E5">
        <f>8/9</f>
        <v>0.88888888888888884</v>
      </c>
      <c r="F5">
        <f>8/9</f>
        <v>0.88888888888888884</v>
      </c>
      <c r="G5">
        <v>0.6875</v>
      </c>
      <c r="H5">
        <v>0.6875</v>
      </c>
      <c r="I5">
        <v>0.8</v>
      </c>
      <c r="K5">
        <f>HLOOKUP(A5,Traders!$A$1:$H$15,15,)</f>
        <v>242.49738630136986</v>
      </c>
      <c r="L5" cm="1">
        <f t="array" ref="L5">SUM(B5:I5*MAX('Demand Stage 1'!$B$5:$I$12))</f>
        <v>267.875</v>
      </c>
    </row>
    <row r="6" spans="1:12" x14ac:dyDescent="0.2">
      <c r="A6" t="s">
        <v>211</v>
      </c>
      <c r="B6">
        <v>0</v>
      </c>
      <c r="C6">
        <v>0</v>
      </c>
      <c r="D6">
        <v>0</v>
      </c>
      <c r="E6">
        <f>1.5/45</f>
        <v>3.3333333333333333E-2</v>
      </c>
      <c r="F6">
        <f>1.5/45</f>
        <v>3.3333333333333333E-2</v>
      </c>
      <c r="G6">
        <v>0</v>
      </c>
      <c r="H6">
        <v>0</v>
      </c>
      <c r="I6">
        <v>0</v>
      </c>
      <c r="K6">
        <f>HLOOKUP(A6,Traders!$A$1:$H$15,15,)</f>
        <v>4.0645178082191773</v>
      </c>
      <c r="L6" cm="1">
        <f t="array" ref="L6">SUM(B6:I6*MAX('Demand Stage 1'!$B$5:$I$12))</f>
        <v>3</v>
      </c>
    </row>
    <row r="7" spans="1:12" x14ac:dyDescent="0.2">
      <c r="A7" t="s">
        <v>212</v>
      </c>
      <c r="B7">
        <v>0.57499999999999996</v>
      </c>
      <c r="C7">
        <v>0</v>
      </c>
      <c r="D7">
        <v>0</v>
      </c>
      <c r="E7">
        <v>0</v>
      </c>
      <c r="F7">
        <v>0</v>
      </c>
      <c r="G7">
        <v>0</v>
      </c>
      <c r="H7">
        <v>0</v>
      </c>
      <c r="I7">
        <v>0</v>
      </c>
      <c r="K7">
        <f>HLOOKUP(A7,Traders!$A$1:$H$15,15,)</f>
        <v>10.738131506849314</v>
      </c>
      <c r="L7" cm="1">
        <f t="array" ref="L7">SUM(B7:I7*MAX('Demand Stage 1'!$B$5:$I$12))</f>
        <v>25.874999999999996</v>
      </c>
    </row>
    <row r="8" spans="1:12" x14ac:dyDescent="0.2">
      <c r="A8" t="s">
        <v>214</v>
      </c>
      <c r="B8">
        <v>0</v>
      </c>
      <c r="C8">
        <v>0</v>
      </c>
      <c r="D8">
        <v>0</v>
      </c>
      <c r="E8">
        <v>0</v>
      </c>
      <c r="F8">
        <f>1/45</f>
        <v>2.2222222222222223E-2</v>
      </c>
      <c r="G8">
        <v>0</v>
      </c>
      <c r="H8">
        <v>0</v>
      </c>
      <c r="I8">
        <v>0</v>
      </c>
      <c r="K8">
        <f>HLOOKUP(A8,Traders!$A$1:$H$15,15,)</f>
        <v>1.5822602739726026</v>
      </c>
      <c r="L8" cm="1">
        <f t="array" ref="L8">SUM(B8:I8*MAX('Demand Stage 1'!$B$5:$I$12))</f>
        <v>1</v>
      </c>
    </row>
    <row r="9" spans="1:12" ht="17" thickBot="1" x14ac:dyDescent="0.25">
      <c r="A9" s="40" t="s">
        <v>213</v>
      </c>
      <c r="B9">
        <v>2.5000000000000001E-2</v>
      </c>
      <c r="C9">
        <v>0</v>
      </c>
      <c r="D9">
        <v>0</v>
      </c>
      <c r="E9">
        <v>0</v>
      </c>
      <c r="F9">
        <v>0</v>
      </c>
      <c r="G9">
        <v>0</v>
      </c>
      <c r="H9">
        <v>0</v>
      </c>
      <c r="I9">
        <v>0</v>
      </c>
      <c r="J9" s="40"/>
      <c r="K9">
        <f>HLOOKUP(A9,Traders!$A$1:$H$15,15,)</f>
        <v>0.35852054794520549</v>
      </c>
      <c r="L9" s="40" cm="1">
        <f t="array" ref="L9">SUM(B9:I9*MAX('Demand Stage 1'!$B$5:$I$12))</f>
        <v>1.125</v>
      </c>
    </row>
    <row r="10" spans="1:12" ht="17" thickTop="1" x14ac:dyDescent="0.2">
      <c r="A10" s="8" t="s">
        <v>308</v>
      </c>
      <c r="B10">
        <f>SUM(B2:B9)</f>
        <v>1</v>
      </c>
      <c r="C10">
        <f t="shared" ref="C10:I10" si="0">SUM(C2:C9)</f>
        <v>1</v>
      </c>
      <c r="D10">
        <f t="shared" si="0"/>
        <v>1</v>
      </c>
      <c r="E10">
        <f>SUM(E2:E9)</f>
        <v>0.99999999999999989</v>
      </c>
      <c r="F10">
        <f>SUM(F2:F9)</f>
        <v>1</v>
      </c>
      <c r="G10">
        <f t="shared" si="0"/>
        <v>1</v>
      </c>
      <c r="H10">
        <f t="shared" si="0"/>
        <v>1</v>
      </c>
      <c r="I10">
        <f t="shared" si="0"/>
        <v>1</v>
      </c>
      <c r="L10" cm="1">
        <f t="array" ref="L10">SUM(B10:I10*MAX('Demand Stage 1'!$B$5:$I$12))</f>
        <v>360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D9" sqref="D9"/>
    </sheetView>
  </sheetViews>
  <sheetFormatPr baseColWidth="10" defaultRowHeight="16" x14ac:dyDescent="0.2"/>
  <sheetData>
    <row r="1" spans="1:3" x14ac:dyDescent="0.2">
      <c r="A1" t="s">
        <v>17</v>
      </c>
      <c r="B1" t="s">
        <v>218</v>
      </c>
      <c r="C1" t="s">
        <v>219</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B95C95-5100-B242-B62A-0A2629824349}">
  <dimension ref="A1:C2"/>
  <sheetViews>
    <sheetView workbookViewId="0">
      <selection activeCell="A3" sqref="A3"/>
    </sheetView>
  </sheetViews>
  <sheetFormatPr baseColWidth="10" defaultRowHeight="16" x14ac:dyDescent="0.2"/>
  <cols>
    <col min="1" max="1" width="21.5" bestFit="1" customWidth="1"/>
  </cols>
  <sheetData>
    <row r="1" spans="1:3" x14ac:dyDescent="0.2">
      <c r="A1" t="s">
        <v>99</v>
      </c>
      <c r="B1" s="55" t="s">
        <v>85</v>
      </c>
      <c r="C1" s="8" t="s">
        <v>26</v>
      </c>
    </row>
    <row r="2" spans="1:3" x14ac:dyDescent="0.2">
      <c r="A2">
        <v>0</v>
      </c>
      <c r="B2">
        <v>0</v>
      </c>
      <c r="C2">
        <v>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222</v>
      </c>
      <c r="B1" s="34" t="s">
        <v>223</v>
      </c>
      <c r="C1" s="34" t="s">
        <v>223</v>
      </c>
      <c r="D1" s="34" t="s">
        <v>223</v>
      </c>
      <c r="E1" s="36" t="s">
        <v>274</v>
      </c>
      <c r="F1" s="36" t="s">
        <v>275</v>
      </c>
      <c r="H1" s="36" t="s">
        <v>2</v>
      </c>
    </row>
    <row r="2" spans="1:8" x14ac:dyDescent="0.2">
      <c r="A2" t="s">
        <v>224</v>
      </c>
      <c r="B2" s="35">
        <v>8889.5949999999993</v>
      </c>
      <c r="C2" s="35">
        <v>8919.5750000000007</v>
      </c>
      <c r="D2" s="35">
        <v>8749.3649999999998</v>
      </c>
      <c r="E2" s="37" t="s">
        <v>74</v>
      </c>
      <c r="F2">
        <f>D2/365</f>
        <v>23.970863013698629</v>
      </c>
    </row>
    <row r="3" spans="1:8" x14ac:dyDescent="0.2">
      <c r="A3" t="s">
        <v>225</v>
      </c>
      <c r="B3" s="35">
        <v>1329.308</v>
      </c>
      <c r="C3" s="35">
        <v>683.63900000000001</v>
      </c>
      <c r="D3" s="35">
        <v>593.24699999999996</v>
      </c>
      <c r="E3" t="s">
        <v>98</v>
      </c>
      <c r="F3">
        <f t="shared" ref="F3:F51" si="0">D3/365</f>
        <v>1.6253342465753424</v>
      </c>
      <c r="H3" s="38" t="s">
        <v>278</v>
      </c>
    </row>
    <row r="4" spans="1:8" x14ac:dyDescent="0.2">
      <c r="A4" t="s">
        <v>226</v>
      </c>
      <c r="B4" s="35"/>
      <c r="C4" s="35"/>
      <c r="D4" s="35">
        <v>6606.7179999999998</v>
      </c>
      <c r="E4" s="1" t="s">
        <v>205</v>
      </c>
      <c r="F4">
        <f t="shared" si="0"/>
        <v>18.100597260273972</v>
      </c>
    </row>
    <row r="5" spans="1:8" x14ac:dyDescent="0.2">
      <c r="A5" t="s">
        <v>227</v>
      </c>
      <c r="B5" s="35">
        <v>0</v>
      </c>
      <c r="C5" s="35">
        <v>0</v>
      </c>
      <c r="D5" s="35">
        <v>3.9390000000000001</v>
      </c>
      <c r="F5">
        <f t="shared" si="0"/>
        <v>1.0791780821917809E-2</v>
      </c>
      <c r="H5" t="s">
        <v>279</v>
      </c>
    </row>
    <row r="6" spans="1:8" x14ac:dyDescent="0.2">
      <c r="A6" t="s">
        <v>228</v>
      </c>
      <c r="B6" s="35">
        <v>48.064999999999998</v>
      </c>
      <c r="C6" s="35">
        <v>81.236000000000004</v>
      </c>
      <c r="D6" s="35">
        <v>130.86000000000001</v>
      </c>
      <c r="E6" s="1" t="s">
        <v>89</v>
      </c>
      <c r="F6">
        <f t="shared" si="0"/>
        <v>0.35852054794520549</v>
      </c>
    </row>
    <row r="7" spans="1:8" x14ac:dyDescent="0.2">
      <c r="A7" t="s">
        <v>229</v>
      </c>
      <c r="B7" s="35">
        <v>0</v>
      </c>
      <c r="C7" s="35">
        <v>0</v>
      </c>
      <c r="D7" s="35">
        <v>3.72</v>
      </c>
      <c r="E7" s="1" t="s">
        <v>80</v>
      </c>
      <c r="F7">
        <f t="shared" si="0"/>
        <v>1.0191780821917809E-2</v>
      </c>
    </row>
    <row r="8" spans="1:8" x14ac:dyDescent="0.2">
      <c r="A8" t="s">
        <v>230</v>
      </c>
      <c r="B8" s="35">
        <v>0</v>
      </c>
      <c r="C8" s="35">
        <v>0</v>
      </c>
      <c r="D8" s="35"/>
      <c r="E8" t="s">
        <v>188</v>
      </c>
      <c r="F8">
        <f t="shared" si="0"/>
        <v>0</v>
      </c>
      <c r="H8" s="38" t="s">
        <v>280</v>
      </c>
    </row>
    <row r="9" spans="1:8" x14ac:dyDescent="0.2">
      <c r="A9" t="s">
        <v>231</v>
      </c>
      <c r="B9" s="35">
        <v>471.73399999999998</v>
      </c>
      <c r="C9" s="35">
        <v>491.40300000000002</v>
      </c>
      <c r="D9" s="35">
        <v>449.49099999999999</v>
      </c>
      <c r="E9" s="1" t="s">
        <v>98</v>
      </c>
      <c r="F9">
        <f t="shared" si="0"/>
        <v>1.2314821917808219</v>
      </c>
    </row>
    <row r="10" spans="1:8" x14ac:dyDescent="0.2">
      <c r="A10" t="s">
        <v>232</v>
      </c>
      <c r="B10" s="35">
        <v>578.78499999999997</v>
      </c>
      <c r="C10" s="35">
        <v>656.80499999999995</v>
      </c>
      <c r="D10" s="35">
        <v>738.14400000000001</v>
      </c>
      <c r="E10" t="s">
        <v>110</v>
      </c>
      <c r="F10">
        <f t="shared" si="0"/>
        <v>2.0223123287671232</v>
      </c>
    </row>
    <row r="11" spans="1:8" x14ac:dyDescent="0.2">
      <c r="A11" t="s">
        <v>233</v>
      </c>
      <c r="B11" s="35">
        <v>222.233</v>
      </c>
      <c r="C11" s="35">
        <v>302.17500000000001</v>
      </c>
      <c r="D11" s="35">
        <v>247.51400000000001</v>
      </c>
      <c r="E11" t="s">
        <v>110</v>
      </c>
      <c r="F11">
        <f t="shared" si="0"/>
        <v>0.67812054794520549</v>
      </c>
      <c r="H11" t="s">
        <v>281</v>
      </c>
    </row>
    <row r="12" spans="1:8" x14ac:dyDescent="0.2">
      <c r="A12" t="s">
        <v>234</v>
      </c>
      <c r="B12" s="35">
        <v>1282.3420000000001</v>
      </c>
      <c r="C12" s="35">
        <v>1073.472</v>
      </c>
      <c r="D12" s="35">
        <v>1162.1959999999999</v>
      </c>
      <c r="E12" t="s">
        <v>90</v>
      </c>
      <c r="F12">
        <f t="shared" si="0"/>
        <v>3.1840986301369862</v>
      </c>
      <c r="H12" t="s">
        <v>282</v>
      </c>
    </row>
    <row r="13" spans="1:8" x14ac:dyDescent="0.2">
      <c r="A13" t="s">
        <v>235</v>
      </c>
      <c r="B13" s="35">
        <v>2811.1990000000001</v>
      </c>
      <c r="C13" s="35">
        <v>726.50099999999998</v>
      </c>
      <c r="D13" s="35">
        <v>247.86099999999999</v>
      </c>
      <c r="E13" t="s">
        <v>104</v>
      </c>
      <c r="F13">
        <f t="shared" si="0"/>
        <v>0.67907123287671234</v>
      </c>
      <c r="H13" t="s">
        <v>283</v>
      </c>
    </row>
    <row r="14" spans="1:8" x14ac:dyDescent="0.2">
      <c r="A14" t="s">
        <v>236</v>
      </c>
      <c r="B14" s="35">
        <v>2588.0810000000001</v>
      </c>
      <c r="C14" s="35">
        <v>2436.7339999999999</v>
      </c>
      <c r="D14" s="35">
        <v>2344.2719999999999</v>
      </c>
      <c r="E14" s="1" t="s">
        <v>188</v>
      </c>
      <c r="F14">
        <f t="shared" si="0"/>
        <v>6.4226630136986298</v>
      </c>
    </row>
    <row r="15" spans="1:8" x14ac:dyDescent="0.2">
      <c r="A15" t="s">
        <v>237</v>
      </c>
      <c r="B15" s="35">
        <v>1214.5999999999999</v>
      </c>
      <c r="C15" s="35">
        <v>1206.1949999999999</v>
      </c>
      <c r="D15" s="35">
        <v>1325.316</v>
      </c>
      <c r="E15" t="s">
        <v>104</v>
      </c>
      <c r="F15">
        <f t="shared" si="0"/>
        <v>3.6310027397260276</v>
      </c>
      <c r="H15" t="s">
        <v>277</v>
      </c>
    </row>
    <row r="16" spans="1:8" x14ac:dyDescent="0.2">
      <c r="A16" t="s">
        <v>238</v>
      </c>
      <c r="B16" s="35">
        <v>0</v>
      </c>
      <c r="C16" s="35">
        <v>0</v>
      </c>
      <c r="D16" s="35">
        <v>0</v>
      </c>
      <c r="F16">
        <f t="shared" si="0"/>
        <v>0</v>
      </c>
      <c r="H16" t="s">
        <v>284</v>
      </c>
    </row>
    <row r="17" spans="1:8" x14ac:dyDescent="0.2">
      <c r="A17" t="s">
        <v>239</v>
      </c>
      <c r="B17" s="35">
        <v>5570.9179999999997</v>
      </c>
      <c r="C17" s="35">
        <v>5745.72</v>
      </c>
      <c r="D17" s="35">
        <v>4876.4679999999998</v>
      </c>
      <c r="E17" s="19" t="s">
        <v>85</v>
      </c>
      <c r="F17">
        <f t="shared" si="0"/>
        <v>13.360186301369863</v>
      </c>
      <c r="H17" s="38" t="s">
        <v>285</v>
      </c>
    </row>
    <row r="18" spans="1:8" x14ac:dyDescent="0.2">
      <c r="A18" t="s">
        <v>240</v>
      </c>
      <c r="B18" s="35">
        <v>1910.729</v>
      </c>
      <c r="C18" s="35">
        <v>1626.653</v>
      </c>
      <c r="D18" s="35">
        <v>1540.9349999999999</v>
      </c>
      <c r="E18" s="37" t="s">
        <v>77</v>
      </c>
      <c r="F18">
        <f t="shared" si="0"/>
        <v>4.2217397260273968</v>
      </c>
    </row>
    <row r="19" spans="1:8" x14ac:dyDescent="0.2">
      <c r="A19" t="s">
        <v>241</v>
      </c>
      <c r="B19" s="35">
        <v>0</v>
      </c>
      <c r="C19" s="35">
        <v>0.20399999999999999</v>
      </c>
      <c r="D19" s="35">
        <v>26.434999999999999</v>
      </c>
      <c r="E19" t="s">
        <v>97</v>
      </c>
      <c r="F19">
        <f t="shared" si="0"/>
        <v>7.2424657534246567E-2</v>
      </c>
    </row>
    <row r="20" spans="1:8" x14ac:dyDescent="0.2">
      <c r="A20" t="s">
        <v>242</v>
      </c>
      <c r="B20" s="35">
        <v>35.110999999999997</v>
      </c>
      <c r="C20" s="35">
        <v>3.0259999999999998</v>
      </c>
      <c r="D20" s="35">
        <v>4.6120000000000001</v>
      </c>
      <c r="E20" t="s">
        <v>110</v>
      </c>
      <c r="F20">
        <f t="shared" si="0"/>
        <v>1.2635616438356164E-2</v>
      </c>
      <c r="H20" t="s">
        <v>286</v>
      </c>
    </row>
    <row r="21" spans="1:8" x14ac:dyDescent="0.2">
      <c r="A21" t="s">
        <v>243</v>
      </c>
      <c r="B21" s="35">
        <v>291.70999999999998</v>
      </c>
      <c r="C21" s="35">
        <v>410.226</v>
      </c>
      <c r="D21" s="35">
        <v>440.81099999999998</v>
      </c>
      <c r="E21" t="s">
        <v>98</v>
      </c>
      <c r="F21">
        <f t="shared" si="0"/>
        <v>1.2077013698630137</v>
      </c>
      <c r="H21" t="s">
        <v>287</v>
      </c>
    </row>
    <row r="22" spans="1:8" x14ac:dyDescent="0.2">
      <c r="A22" t="s">
        <v>244</v>
      </c>
      <c r="B22" s="35">
        <v>1041.0509999999999</v>
      </c>
      <c r="C22" s="35">
        <v>1012.068</v>
      </c>
      <c r="D22" s="35">
        <v>841.24800000000005</v>
      </c>
      <c r="E22" s="1" t="s">
        <v>99</v>
      </c>
      <c r="F22">
        <f t="shared" si="0"/>
        <v>2.3047890410958907</v>
      </c>
    </row>
    <row r="23" spans="1:8" x14ac:dyDescent="0.2">
      <c r="A23" t="s">
        <v>245</v>
      </c>
      <c r="B23" s="35">
        <v>508.40300000000002</v>
      </c>
      <c r="C23" s="35">
        <v>566.721</v>
      </c>
      <c r="D23" s="35">
        <v>657.03899999999999</v>
      </c>
      <c r="E23" t="s">
        <v>205</v>
      </c>
      <c r="F23">
        <f t="shared" si="0"/>
        <v>1.8001068493150685</v>
      </c>
      <c r="H23" t="s">
        <v>288</v>
      </c>
    </row>
    <row r="24" spans="1:8" x14ac:dyDescent="0.2">
      <c r="A24" t="s">
        <v>246</v>
      </c>
      <c r="B24" s="35">
        <v>2844.82</v>
      </c>
      <c r="C24" s="35">
        <v>3478.627</v>
      </c>
      <c r="D24" s="35">
        <v>4181.5940000000001</v>
      </c>
      <c r="E24" s="1" t="s">
        <v>186</v>
      </c>
      <c r="F24">
        <f t="shared" si="0"/>
        <v>11.456421917808219</v>
      </c>
    </row>
    <row r="25" spans="1:8" x14ac:dyDescent="0.2">
      <c r="A25" t="s">
        <v>247</v>
      </c>
      <c r="B25" s="35">
        <v>2628.125</v>
      </c>
      <c r="C25" s="35">
        <v>913.13300000000004</v>
      </c>
      <c r="D25" s="35"/>
      <c r="E25" s="1" t="s">
        <v>95</v>
      </c>
      <c r="F25">
        <f t="shared" si="0"/>
        <v>0</v>
      </c>
    </row>
    <row r="26" spans="1:8" x14ac:dyDescent="0.2">
      <c r="A26" t="s">
        <v>248</v>
      </c>
      <c r="B26" s="35">
        <v>569.45500000000004</v>
      </c>
      <c r="C26" s="35">
        <v>576.18600000000004</v>
      </c>
      <c r="D26" s="35">
        <v>577.52499999999998</v>
      </c>
      <c r="E26" t="s">
        <v>75</v>
      </c>
      <c r="F26">
        <f t="shared" si="0"/>
        <v>1.5822602739726026</v>
      </c>
      <c r="H26" t="s">
        <v>289</v>
      </c>
    </row>
    <row r="27" spans="1:8" x14ac:dyDescent="0.2">
      <c r="A27" t="s">
        <v>249</v>
      </c>
      <c r="B27" s="35">
        <v>68.573999999999998</v>
      </c>
      <c r="C27" s="35">
        <v>82.480999999999995</v>
      </c>
      <c r="D27" s="35">
        <v>326.358</v>
      </c>
      <c r="E27" t="s">
        <v>205</v>
      </c>
      <c r="F27">
        <f t="shared" si="0"/>
        <v>0.89413150684931508</v>
      </c>
      <c r="H27" t="s">
        <v>290</v>
      </c>
    </row>
    <row r="28" spans="1:8" x14ac:dyDescent="0.2">
      <c r="A28" t="s">
        <v>250</v>
      </c>
      <c r="B28" s="35">
        <v>0</v>
      </c>
      <c r="C28" s="35">
        <v>0</v>
      </c>
      <c r="D28" s="35"/>
      <c r="F28">
        <f t="shared" si="0"/>
        <v>0</v>
      </c>
    </row>
    <row r="29" spans="1:8" x14ac:dyDescent="0.2">
      <c r="A29" t="s">
        <v>251</v>
      </c>
      <c r="B29" s="35">
        <v>0</v>
      </c>
      <c r="C29" s="35">
        <v>0</v>
      </c>
      <c r="D29" s="35"/>
      <c r="F29">
        <f t="shared" si="0"/>
        <v>0</v>
      </c>
    </row>
    <row r="30" spans="1:8" x14ac:dyDescent="0.2">
      <c r="A30" t="s">
        <v>252</v>
      </c>
      <c r="B30" s="35">
        <v>9559.6110000000008</v>
      </c>
      <c r="C30" s="35">
        <v>11204.512000000001</v>
      </c>
      <c r="D30" s="35">
        <v>11911.325000000001</v>
      </c>
      <c r="E30" s="1" t="s">
        <v>81</v>
      </c>
      <c r="F30">
        <f t="shared" si="0"/>
        <v>32.633767123287676</v>
      </c>
    </row>
    <row r="31" spans="1:8" x14ac:dyDescent="0.2">
      <c r="A31" t="s">
        <v>253</v>
      </c>
      <c r="B31" s="35">
        <v>6523.8289999999997</v>
      </c>
      <c r="C31" s="35">
        <v>8158.1670000000004</v>
      </c>
      <c r="D31" s="35">
        <v>3468.5250000000001</v>
      </c>
      <c r="E31" s="1" t="s">
        <v>94</v>
      </c>
      <c r="F31">
        <f t="shared" si="0"/>
        <v>9.5028082191780818</v>
      </c>
    </row>
    <row r="32" spans="1:8" x14ac:dyDescent="0.2">
      <c r="A32" t="s">
        <v>254</v>
      </c>
      <c r="B32" s="35">
        <v>4.6669999999999998</v>
      </c>
      <c r="C32" s="35">
        <v>6.3460000000000001</v>
      </c>
      <c r="D32" s="35">
        <v>8.0749999999999993</v>
      </c>
      <c r="E32" s="1" t="s">
        <v>94</v>
      </c>
      <c r="F32">
        <f t="shared" si="0"/>
        <v>2.2123287671232873E-2</v>
      </c>
    </row>
    <row r="33" spans="1:8" x14ac:dyDescent="0.2">
      <c r="A33" t="s">
        <v>255</v>
      </c>
      <c r="B33" s="35">
        <v>6523.8289999999997</v>
      </c>
      <c r="C33" s="35">
        <v>8158.1670000000004</v>
      </c>
      <c r="D33" s="35">
        <v>698.84699999999998</v>
      </c>
      <c r="E33" s="1" t="s">
        <v>94</v>
      </c>
      <c r="F33">
        <f t="shared" si="0"/>
        <v>1.9146493150684931</v>
      </c>
    </row>
    <row r="34" spans="1:8" x14ac:dyDescent="0.2">
      <c r="A34" t="s">
        <v>256</v>
      </c>
      <c r="B34" s="35">
        <v>6162.7870000000003</v>
      </c>
      <c r="C34" s="35">
        <v>4509.7179999999998</v>
      </c>
      <c r="D34" s="35">
        <v>3243.4229999999998</v>
      </c>
      <c r="E34" s="1" t="s">
        <v>76</v>
      </c>
      <c r="F34">
        <f t="shared" si="0"/>
        <v>8.8860904109589036</v>
      </c>
    </row>
    <row r="35" spans="1:8" x14ac:dyDescent="0.2">
      <c r="A35" t="s">
        <v>257</v>
      </c>
      <c r="B35" s="35">
        <v>76.070999999999998</v>
      </c>
      <c r="C35" s="35">
        <v>89.119</v>
      </c>
      <c r="D35" s="35">
        <v>145.56899999999999</v>
      </c>
      <c r="E35" s="1" t="s">
        <v>104</v>
      </c>
      <c r="F35">
        <f t="shared" si="0"/>
        <v>0.39881917808219175</v>
      </c>
    </row>
    <row r="36" spans="1:8" x14ac:dyDescent="0.2">
      <c r="A36" t="s">
        <v>258</v>
      </c>
      <c r="B36" s="35">
        <v>1334.021</v>
      </c>
      <c r="C36" s="35">
        <v>1821.5219999999999</v>
      </c>
      <c r="D36" s="35">
        <v>2270.2930000000001</v>
      </c>
      <c r="E36" s="1" t="s">
        <v>104</v>
      </c>
      <c r="F36">
        <f t="shared" si="0"/>
        <v>6.219980821917809</v>
      </c>
    </row>
    <row r="37" spans="1:8" x14ac:dyDescent="0.2">
      <c r="A37" t="s">
        <v>259</v>
      </c>
      <c r="B37" s="35">
        <v>3689.7310000000002</v>
      </c>
      <c r="C37" s="35">
        <v>0</v>
      </c>
      <c r="D37" s="35">
        <v>3776.0549999999998</v>
      </c>
      <c r="E37" s="1" t="s">
        <v>195</v>
      </c>
      <c r="F37">
        <f t="shared" si="0"/>
        <v>10.345356164383562</v>
      </c>
    </row>
    <row r="38" spans="1:8" x14ac:dyDescent="0.2">
      <c r="A38" t="s">
        <v>260</v>
      </c>
      <c r="B38" s="35">
        <v>0</v>
      </c>
      <c r="C38" s="35">
        <v>0</v>
      </c>
      <c r="D38" s="35">
        <v>0</v>
      </c>
      <c r="F38">
        <f t="shared" si="0"/>
        <v>0</v>
      </c>
      <c r="H38" t="s">
        <v>291</v>
      </c>
    </row>
    <row r="39" spans="1:8" x14ac:dyDescent="0.2">
      <c r="A39" t="s">
        <v>261</v>
      </c>
      <c r="B39" s="35">
        <v>0</v>
      </c>
      <c r="C39" s="35">
        <v>0</v>
      </c>
      <c r="D39" s="35"/>
      <c r="F39">
        <f t="shared" si="0"/>
        <v>0</v>
      </c>
    </row>
    <row r="40" spans="1:8" x14ac:dyDescent="0.2">
      <c r="A40" t="s">
        <v>262</v>
      </c>
      <c r="B40" s="35">
        <v>686.33399999999995</v>
      </c>
      <c r="C40" s="35">
        <v>822.01599999999996</v>
      </c>
      <c r="D40" s="35">
        <v>932.529</v>
      </c>
      <c r="E40" s="1" t="s">
        <v>85</v>
      </c>
      <c r="F40">
        <f t="shared" si="0"/>
        <v>2.5548739726027399</v>
      </c>
    </row>
    <row r="41" spans="1:8" x14ac:dyDescent="0.2">
      <c r="A41" t="s">
        <v>263</v>
      </c>
      <c r="B41" s="35">
        <v>85.117999999999995</v>
      </c>
      <c r="C41" s="35">
        <v>66.167000000000002</v>
      </c>
      <c r="D41" s="35">
        <v>40.765999999999998</v>
      </c>
      <c r="E41" s="19" t="s">
        <v>85</v>
      </c>
      <c r="F41">
        <f t="shared" si="0"/>
        <v>0.11168767123287671</v>
      </c>
      <c r="H41" t="s">
        <v>292</v>
      </c>
    </row>
    <row r="42" spans="1:8" x14ac:dyDescent="0.2">
      <c r="A42" t="s">
        <v>264</v>
      </c>
      <c r="B42" s="35">
        <v>0</v>
      </c>
      <c r="C42" s="35">
        <v>0</v>
      </c>
      <c r="D42" s="35">
        <v>0</v>
      </c>
      <c r="F42">
        <f t="shared" si="0"/>
        <v>0</v>
      </c>
    </row>
    <row r="43" spans="1:8" x14ac:dyDescent="0.2">
      <c r="A43" t="s">
        <v>265</v>
      </c>
      <c r="B43" s="35">
        <v>39787.256999999998</v>
      </c>
      <c r="C43" s="35">
        <v>37360.771999999997</v>
      </c>
      <c r="D43" s="35">
        <v>35059.578000000001</v>
      </c>
      <c r="E43" s="1" t="s">
        <v>90</v>
      </c>
      <c r="F43">
        <f t="shared" si="0"/>
        <v>96.053638356164385</v>
      </c>
    </row>
    <row r="44" spans="1:8" x14ac:dyDescent="0.2">
      <c r="A44" t="s">
        <v>266</v>
      </c>
      <c r="B44" s="35">
        <v>3093.8470000000002</v>
      </c>
      <c r="C44" s="35">
        <v>2643.7049999999999</v>
      </c>
      <c r="D44" s="35">
        <v>2983.739</v>
      </c>
      <c r="E44" t="s">
        <v>205</v>
      </c>
      <c r="F44">
        <f t="shared" si="0"/>
        <v>8.1746273972602737</v>
      </c>
      <c r="H44" t="s">
        <v>293</v>
      </c>
    </row>
    <row r="45" spans="1:8" x14ac:dyDescent="0.2">
      <c r="A45" t="s">
        <v>267</v>
      </c>
      <c r="B45" s="35">
        <v>0</v>
      </c>
      <c r="C45" s="35">
        <v>0</v>
      </c>
      <c r="D45" s="35">
        <v>0</v>
      </c>
      <c r="F45">
        <f t="shared" si="0"/>
        <v>0</v>
      </c>
    </row>
    <row r="46" spans="1:8" x14ac:dyDescent="0.2">
      <c r="A46" t="s">
        <v>268</v>
      </c>
      <c r="B46" s="35">
        <v>503.95400000000001</v>
      </c>
      <c r="C46" s="35">
        <v>643.67499999999995</v>
      </c>
      <c r="D46" s="35">
        <v>1023.092</v>
      </c>
      <c r="E46" t="s">
        <v>186</v>
      </c>
      <c r="F46">
        <f t="shared" si="0"/>
        <v>2.8029917808219178</v>
      </c>
      <c r="H46" t="s">
        <v>294</v>
      </c>
    </row>
    <row r="47" spans="1:8" x14ac:dyDescent="0.2">
      <c r="A47" t="s">
        <v>269</v>
      </c>
      <c r="B47" s="35">
        <v>351.137</v>
      </c>
      <c r="C47" s="35">
        <v>404.238</v>
      </c>
      <c r="D47" s="35">
        <v>414.34899999999999</v>
      </c>
      <c r="E47" t="s">
        <v>110</v>
      </c>
      <c r="F47">
        <f t="shared" si="0"/>
        <v>1.1352027397260274</v>
      </c>
      <c r="H47" t="s">
        <v>295</v>
      </c>
    </row>
    <row r="48" spans="1:8" x14ac:dyDescent="0.2">
      <c r="A48" t="s">
        <v>270</v>
      </c>
      <c r="B48" s="35">
        <v>1480.8489999999999</v>
      </c>
      <c r="C48" s="35">
        <v>1222.9880000000001</v>
      </c>
      <c r="D48" s="35">
        <v>1575.146</v>
      </c>
      <c r="E48" t="s">
        <v>188</v>
      </c>
      <c r="F48">
        <f t="shared" si="0"/>
        <v>4.3154684931506848</v>
      </c>
      <c r="H48" t="s">
        <v>296</v>
      </c>
    </row>
    <row r="49" spans="1:8" x14ac:dyDescent="0.2">
      <c r="A49" t="s">
        <v>271</v>
      </c>
      <c r="B49" s="35">
        <v>5.9009999999999998</v>
      </c>
      <c r="C49" s="35">
        <v>98.837000000000003</v>
      </c>
      <c r="D49" s="35">
        <v>122.099</v>
      </c>
      <c r="E49" t="s">
        <v>94</v>
      </c>
      <c r="F49">
        <f t="shared" si="0"/>
        <v>0.33451780821917809</v>
      </c>
      <c r="H49" t="s">
        <v>297</v>
      </c>
    </row>
    <row r="50" spans="1:8" x14ac:dyDescent="0.2">
      <c r="A50" t="s">
        <v>272</v>
      </c>
      <c r="B50" s="35">
        <v>0</v>
      </c>
      <c r="C50" s="35">
        <v>0</v>
      </c>
      <c r="D50" s="35">
        <v>0</v>
      </c>
      <c r="F50">
        <f t="shared" si="0"/>
        <v>0</v>
      </c>
    </row>
    <row r="51" spans="1:8" x14ac:dyDescent="0.2">
      <c r="A51" t="s">
        <v>273</v>
      </c>
      <c r="B51" s="35">
        <v>5759.634</v>
      </c>
      <c r="C51" s="35">
        <v>5498.473</v>
      </c>
      <c r="D51" s="35">
        <v>4297.1899999999996</v>
      </c>
      <c r="E51" t="s">
        <v>186</v>
      </c>
      <c r="F51">
        <f t="shared" si="0"/>
        <v>11.773123287671233</v>
      </c>
      <c r="H51" t="s">
        <v>298</v>
      </c>
    </row>
    <row r="53" spans="1:8" x14ac:dyDescent="0.2">
      <c r="A53" s="8" t="s">
        <v>312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24"/>
  <sheetViews>
    <sheetView workbookViewId="0">
      <selection activeCell="H16" sqref="A16:H16"/>
    </sheetView>
  </sheetViews>
  <sheetFormatPr baseColWidth="10" defaultRowHeight="16" x14ac:dyDescent="0.2"/>
  <sheetData>
    <row r="1" spans="1:14" x14ac:dyDescent="0.2">
      <c r="A1" t="s">
        <v>300</v>
      </c>
      <c r="B1" s="37" t="s">
        <v>143</v>
      </c>
    </row>
    <row r="4" spans="1:14" x14ac:dyDescent="0.2">
      <c r="A4" s="1">
        <v>42</v>
      </c>
      <c r="B4" s="19" t="s">
        <v>197</v>
      </c>
      <c r="C4" s="19" t="s">
        <v>163</v>
      </c>
      <c r="D4" s="19" t="s">
        <v>134</v>
      </c>
      <c r="E4" s="19" t="s">
        <v>161</v>
      </c>
      <c r="F4" s="19" t="s">
        <v>90</v>
      </c>
      <c r="G4" s="19" t="s">
        <v>91</v>
      </c>
      <c r="H4" s="1" t="s">
        <v>179</v>
      </c>
      <c r="I4" s="1">
        <v>0</v>
      </c>
      <c r="J4" s="1" t="str">
        <f>IF(I4=100,"Capacity unknown","")</f>
        <v/>
      </c>
      <c r="K4" s="1">
        <f>INDEX(Nodes!$A:$A,MATCH(Extra!F4,Nodes!$B:$B,0))</f>
        <v>57</v>
      </c>
      <c r="L4" s="1">
        <f>INDEX(Nodes!$A:$A,MATCH(Extra!G4,Nodes!$B:$B,0))</f>
        <v>37</v>
      </c>
      <c r="M4" s="2">
        <v>1</v>
      </c>
      <c r="N4" s="3">
        <v>1</v>
      </c>
    </row>
    <row r="5" spans="1:14" x14ac:dyDescent="0.2">
      <c r="A5" s="1">
        <v>43</v>
      </c>
      <c r="B5" s="19" t="s">
        <v>198</v>
      </c>
      <c r="C5" s="19" t="s">
        <v>163</v>
      </c>
      <c r="D5" s="19" t="s">
        <v>134</v>
      </c>
      <c r="E5" s="19" t="s">
        <v>180</v>
      </c>
      <c r="F5" s="19" t="s">
        <v>90</v>
      </c>
      <c r="G5" s="19" t="s">
        <v>91</v>
      </c>
      <c r="H5" s="1" t="s">
        <v>181</v>
      </c>
      <c r="I5" s="1">
        <v>0</v>
      </c>
      <c r="J5" s="1" t="str">
        <f>IF(I5=100,"Capacity unknown","")</f>
        <v/>
      </c>
      <c r="K5" s="1">
        <f>INDEX(Nodes!$A:$A,MATCH(Extra!F5,Nodes!$B:$B,0))</f>
        <v>57</v>
      </c>
      <c r="L5" s="1">
        <f>INDEX(Nodes!$A:$A,MATCH(Extra!G5,Nodes!$B:$B,0))</f>
        <v>37</v>
      </c>
      <c r="M5" s="2">
        <v>1</v>
      </c>
      <c r="N5" s="3">
        <v>1</v>
      </c>
    </row>
    <row r="6" spans="1:14" x14ac:dyDescent="0.2">
      <c r="A6" s="1">
        <v>37</v>
      </c>
      <c r="B6" s="19" t="s">
        <v>173</v>
      </c>
      <c r="C6" s="19" t="s">
        <v>172</v>
      </c>
      <c r="D6" s="19" t="s">
        <v>134</v>
      </c>
      <c r="E6" s="19" t="s">
        <v>146</v>
      </c>
      <c r="F6" s="19" t="s">
        <v>82</v>
      </c>
      <c r="G6" s="19" t="s">
        <v>84</v>
      </c>
      <c r="H6" s="1" t="s">
        <v>174</v>
      </c>
      <c r="I6" s="1">
        <v>0</v>
      </c>
      <c r="J6" s="1" t="str">
        <f>IF(I6=100,"Capacity unknown","")</f>
        <v/>
      </c>
      <c r="K6" s="1" t="e">
        <f>INDEX(Nodes!$A:$A,MATCH(Extra!F6,Nodes!$B:$B,0))</f>
        <v>#N/A</v>
      </c>
      <c r="L6" s="1">
        <f>INDEX(Nodes!$A:$A,MATCH(Extra!G6,Nodes!$B:$B,0))</f>
        <v>44</v>
      </c>
      <c r="M6" s="2">
        <v>1</v>
      </c>
      <c r="N6" s="3">
        <v>1</v>
      </c>
    </row>
    <row r="9" spans="1:14" x14ac:dyDescent="0.2">
      <c r="A9" s="45" t="s">
        <v>313</v>
      </c>
    </row>
    <row r="10" spans="1:14" x14ac:dyDescent="0.2">
      <c r="A10" s="46" t="s">
        <v>313</v>
      </c>
    </row>
    <row r="11" spans="1:14" x14ac:dyDescent="0.2">
      <c r="A11" s="47" t="s">
        <v>314</v>
      </c>
    </row>
    <row r="12" spans="1:14" x14ac:dyDescent="0.2">
      <c r="A12" s="48" t="s">
        <v>315</v>
      </c>
    </row>
    <row r="15" spans="1:14" x14ac:dyDescent="0.2">
      <c r="A15" s="8" t="s">
        <v>109</v>
      </c>
      <c r="B15" s="8" t="s">
        <v>119</v>
      </c>
      <c r="C15" s="8" t="s">
        <v>115</v>
      </c>
      <c r="D15" s="8" t="s">
        <v>120</v>
      </c>
      <c r="E15" s="8" t="s">
        <v>334</v>
      </c>
      <c r="F15" s="8" t="s">
        <v>121</v>
      </c>
      <c r="G15" s="8" t="s">
        <v>122</v>
      </c>
      <c r="H15" s="8" t="s">
        <v>117</v>
      </c>
    </row>
    <row r="16" spans="1:14" x14ac:dyDescent="0.2">
      <c r="A16">
        <f>0</f>
        <v>0</v>
      </c>
      <c r="B16">
        <v>0.4</v>
      </c>
      <c r="C16">
        <v>0</v>
      </c>
      <c r="D16">
        <v>0</v>
      </c>
      <c r="E16">
        <f>4/45</f>
        <v>8.8888888888888892E-2</v>
      </c>
      <c r="F16">
        <f>8/40</f>
        <v>0.2</v>
      </c>
      <c r="G16">
        <f>0.1</f>
        <v>0.1</v>
      </c>
      <c r="H16">
        <v>0.6</v>
      </c>
    </row>
    <row r="17" spans="1:8" x14ac:dyDescent="0.2">
      <c r="A17">
        <v>0</v>
      </c>
      <c r="B17">
        <v>0</v>
      </c>
      <c r="C17">
        <v>0</v>
      </c>
      <c r="D17">
        <v>0</v>
      </c>
      <c r="E17">
        <f>4/45</f>
        <v>8.8888888888888892E-2</v>
      </c>
      <c r="F17">
        <v>0</v>
      </c>
      <c r="G17">
        <v>0</v>
      </c>
      <c r="H17">
        <v>0.05</v>
      </c>
    </row>
    <row r="18" spans="1:8" x14ac:dyDescent="0.2">
      <c r="A18">
        <v>0</v>
      </c>
      <c r="B18">
        <v>0</v>
      </c>
      <c r="C18">
        <v>0</v>
      </c>
      <c r="D18">
        <f>3.5/45</f>
        <v>7.7777777777777779E-2</v>
      </c>
      <c r="E18">
        <v>0</v>
      </c>
      <c r="F18">
        <v>0</v>
      </c>
      <c r="G18">
        <v>0</v>
      </c>
      <c r="H18">
        <v>0</v>
      </c>
    </row>
    <row r="19" spans="1:8" x14ac:dyDescent="0.2">
      <c r="A19">
        <v>0.8</v>
      </c>
      <c r="B19">
        <v>0.57499999999999996</v>
      </c>
      <c r="C19">
        <v>1</v>
      </c>
      <c r="D19">
        <f>40/45</f>
        <v>0.88888888888888884</v>
      </c>
      <c r="E19">
        <f>33/45</f>
        <v>0.73333333333333328</v>
      </c>
      <c r="F19">
        <f>28/40</f>
        <v>0.7</v>
      </c>
      <c r="G19">
        <v>0.9</v>
      </c>
      <c r="H19">
        <v>0.35</v>
      </c>
    </row>
    <row r="20" spans="1:8" x14ac:dyDescent="0.2">
      <c r="A20">
        <v>0</v>
      </c>
      <c r="B20">
        <v>0</v>
      </c>
      <c r="C20">
        <v>0</v>
      </c>
      <c r="D20">
        <f>0.5/45</f>
        <v>1.1111111111111112E-2</v>
      </c>
      <c r="E20">
        <f>1.5/45</f>
        <v>3.3333333333333333E-2</v>
      </c>
      <c r="F20">
        <f>1/40</f>
        <v>2.5000000000000001E-2</v>
      </c>
      <c r="G20">
        <v>0</v>
      </c>
      <c r="H20">
        <v>0</v>
      </c>
    </row>
    <row r="21" spans="1:8" x14ac:dyDescent="0.2">
      <c r="A21">
        <v>0.2</v>
      </c>
      <c r="B21">
        <v>0</v>
      </c>
      <c r="C21">
        <v>0</v>
      </c>
      <c r="D21">
        <f>1/45</f>
        <v>2.2222222222222223E-2</v>
      </c>
      <c r="E21">
        <f>2.5/45</f>
        <v>5.5555555555555552E-2</v>
      </c>
      <c r="F21">
        <f>3/40</f>
        <v>7.4999999999999997E-2</v>
      </c>
      <c r="G21">
        <v>0</v>
      </c>
      <c r="H21">
        <v>0</v>
      </c>
    </row>
    <row r="22" spans="1:8" x14ac:dyDescent="0.2">
      <c r="A22">
        <v>0</v>
      </c>
      <c r="B22">
        <v>0</v>
      </c>
      <c r="C22">
        <v>0</v>
      </c>
      <c r="D22">
        <v>0</v>
      </c>
      <c r="E22">
        <v>0</v>
      </c>
      <c r="F22">
        <v>0</v>
      </c>
      <c r="G22">
        <v>0</v>
      </c>
      <c r="H22">
        <v>0</v>
      </c>
    </row>
    <row r="23" spans="1:8" x14ac:dyDescent="0.2">
      <c r="A23">
        <v>0</v>
      </c>
      <c r="B23">
        <v>2.5000000000000001E-2</v>
      </c>
      <c r="C23">
        <v>0</v>
      </c>
      <c r="D23">
        <v>0</v>
      </c>
      <c r="E23">
        <v>0</v>
      </c>
      <c r="F23">
        <v>0</v>
      </c>
      <c r="G23">
        <v>0</v>
      </c>
      <c r="H23">
        <v>0</v>
      </c>
    </row>
    <row r="24" spans="1:8" x14ac:dyDescent="0.2">
      <c r="A24">
        <f>SUM(A16:A23)</f>
        <v>1</v>
      </c>
      <c r="B24">
        <f t="shared" ref="B24:H24" si="0">SUM(B16:B23)</f>
        <v>1</v>
      </c>
      <c r="C24">
        <f t="shared" si="0"/>
        <v>1</v>
      </c>
      <c r="D24">
        <f>SUM(D16:D23)</f>
        <v>0.99999999999999989</v>
      </c>
      <c r="E24">
        <f>SUM(E16:E23)</f>
        <v>1</v>
      </c>
      <c r="F24">
        <f t="shared" si="0"/>
        <v>0.99999999999999989</v>
      </c>
      <c r="G24">
        <f t="shared" si="0"/>
        <v>1</v>
      </c>
      <c r="H24">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17</vt:i4>
      </vt:variant>
    </vt:vector>
  </HeadingPairs>
  <TitlesOfParts>
    <vt:vector size="17"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HydrogenUncertainty</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2025-04-14T13:20:03Z</dcterms:modified>
</cp:coreProperties>
</file>