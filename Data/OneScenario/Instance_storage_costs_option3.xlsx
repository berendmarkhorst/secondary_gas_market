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OneScenario/"/>
    </mc:Choice>
  </mc:AlternateContent>
  <xr:revisionPtr revIDLastSave="0" documentId="13_ncr:1_{2170F975-BE6B-C04B-AC8B-39CBA2FAF302}" xr6:coauthVersionLast="47" xr6:coauthVersionMax="47" xr10:uidLastSave="{00000000-0000-0000-0000-000000000000}"/>
  <bookViews>
    <workbookView xWindow="0" yWindow="0" windowWidth="51200" windowHeight="28800" activeTab="9"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1" l="1"/>
  <c r="N3" i="1"/>
  <c r="M4" i="1"/>
  <c r="N4" i="1"/>
  <c r="M5" i="1"/>
  <c r="N5" i="1"/>
  <c r="M6" i="1"/>
  <c r="N6" i="1"/>
  <c r="M7" i="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N2" i="1"/>
  <c r="M2" i="1"/>
  <c r="S27" i="1"/>
  <c r="S26" i="1"/>
  <c r="S19" i="1"/>
  <c r="S23" i="1"/>
  <c r="S17" i="1"/>
  <c r="S16" i="1"/>
  <c r="S15" i="1"/>
  <c r="S6" i="1"/>
  <c r="S5" i="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3" i="2"/>
  <c r="AH3" i="2"/>
  <c r="AG4" i="2"/>
  <c r="AH5" i="2"/>
  <c r="AI6" i="2"/>
  <c r="AH7" i="2"/>
  <c r="AI8" i="2"/>
  <c r="AH9" i="2"/>
  <c r="AI10" i="2"/>
  <c r="AH10" i="2"/>
  <c r="AH11" i="2"/>
  <c r="AI12" i="2"/>
  <c r="AH13" i="2"/>
  <c r="AI13" i="2"/>
  <c r="AI14" i="2"/>
  <c r="AH15" i="2"/>
  <c r="AG15" i="2"/>
  <c r="AI16" i="2"/>
  <c r="AH17" i="2"/>
  <c r="AG18" i="2"/>
  <c r="AH19" i="2"/>
  <c r="AI19" i="2"/>
  <c r="AI20" i="2"/>
  <c r="AH21" i="2"/>
  <c r="AG21" i="2"/>
  <c r="AI22" i="2"/>
  <c r="AH23" i="2"/>
  <c r="AI24" i="2"/>
  <c r="AH25" i="2"/>
  <c r="AG25" i="2"/>
  <c r="AI26" i="2"/>
  <c r="AH27" i="2"/>
  <c r="AI28" i="2"/>
  <c r="AH29" i="2"/>
  <c r="AI30" i="2"/>
  <c r="AH31" i="2"/>
  <c r="AG32" i="2"/>
  <c r="AH33" i="2"/>
  <c r="AI33" i="2"/>
  <c r="AG34" i="2"/>
  <c r="AH35" i="2"/>
  <c r="AI35" i="2"/>
  <c r="AG36" i="2"/>
  <c r="AH36" i="2"/>
  <c r="AH37" i="2"/>
  <c r="AI38" i="2"/>
  <c r="AH39" i="2"/>
  <c r="AI40" i="2"/>
  <c r="AH41" i="2"/>
  <c r="AI42" i="2"/>
  <c r="AH42" i="2"/>
  <c r="AF43" i="2"/>
  <c r="AI44" i="2"/>
  <c r="AH45" i="2"/>
  <c r="AG46" i="2"/>
  <c r="AH46" i="2"/>
  <c r="AH47" i="2"/>
  <c r="AG47" i="2"/>
  <c r="AI47" i="2"/>
  <c r="AG48" i="2"/>
  <c r="AI49" i="2"/>
  <c r="AI50" i="2"/>
  <c r="AI52" i="2"/>
  <c r="AH52" i="2"/>
  <c r="AH53" i="2"/>
  <c r="AI54" i="2"/>
  <c r="AF55" i="2"/>
  <c r="AI55" i="2"/>
  <c r="AI56" i="2"/>
  <c r="AG58" i="2"/>
  <c r="AH58" i="2"/>
  <c r="AH59" i="2"/>
  <c r="AG60" i="2"/>
  <c r="AH60" i="2"/>
  <c r="AF61" i="2"/>
  <c r="AH61" i="2"/>
  <c r="AI3" i="2"/>
  <c r="AH4" i="2"/>
  <c r="AI5" i="2"/>
  <c r="AI9" i="2"/>
  <c r="AG11" i="2"/>
  <c r="AI11" i="2"/>
  <c r="AH14" i="2"/>
  <c r="AI15" i="2"/>
  <c r="AI17" i="2"/>
  <c r="AI21" i="2"/>
  <c r="AG23" i="2"/>
  <c r="AH24" i="2"/>
  <c r="AI25" i="2"/>
  <c r="AI27" i="2"/>
  <c r="AG29" i="2"/>
  <c r="AI29" i="2"/>
  <c r="AH34" i="2"/>
  <c r="AG35" i="2"/>
  <c r="AG37" i="2"/>
  <c r="AI37" i="2"/>
  <c r="AH38" i="2"/>
  <c r="AI39" i="2"/>
  <c r="AH40" i="2"/>
  <c r="AI41" i="2"/>
  <c r="AG43" i="2"/>
  <c r="AI43" i="2"/>
  <c r="AI45" i="2"/>
  <c r="AF47" i="2"/>
  <c r="AG49" i="2"/>
  <c r="AH49" i="2"/>
  <c r="AH51" i="2"/>
  <c r="AI51" i="2"/>
  <c r="AG53" i="2"/>
  <c r="AI53" i="2"/>
  <c r="AH55" i="2"/>
  <c r="AH56" i="2"/>
  <c r="AI57" i="2"/>
  <c r="AI59" i="2"/>
  <c r="AG61" i="2"/>
  <c r="AI61" i="2"/>
  <c r="AH18" i="2"/>
  <c r="AH22" i="2"/>
  <c r="AH32" i="2"/>
  <c r="AH48" i="2"/>
  <c r="AH54" i="2"/>
  <c r="AF6" i="2"/>
  <c r="AG7" i="2"/>
  <c r="AF9" i="2"/>
  <c r="AG10" i="2"/>
  <c r="AF14" i="2"/>
  <c r="AG14" i="2"/>
  <c r="AF15" i="2"/>
  <c r="AF19" i="2"/>
  <c r="AG19" i="2"/>
  <c r="AF23" i="2"/>
  <c r="AG24" i="2"/>
  <c r="AG26" i="2"/>
  <c r="AF27" i="2"/>
  <c r="AG27" i="2"/>
  <c r="AG31" i="2"/>
  <c r="AF33" i="2"/>
  <c r="AF38" i="2"/>
  <c r="AG38" i="2"/>
  <c r="AF39" i="2"/>
  <c r="AG39" i="2"/>
  <c r="AF45" i="2"/>
  <c r="AF49" i="2"/>
  <c r="AF51" i="2"/>
  <c r="AG51" i="2"/>
  <c r="AG54" i="2"/>
  <c r="F8" i="16"/>
  <c r="F6" i="16"/>
  <c r="E6" i="16"/>
  <c r="F5" i="16"/>
  <c r="E5" i="16"/>
  <c r="E4" i="16"/>
  <c r="F3" i="16"/>
  <c r="H2" i="16"/>
  <c r="G2" i="16"/>
  <c r="B2" i="16"/>
  <c r="O4" i="2"/>
  <c r="O5" i="2"/>
  <c r="O6" i="2"/>
  <c r="O7" i="2"/>
  <c r="O8" i="2"/>
  <c r="O9" i="2"/>
  <c r="O10" i="2"/>
  <c r="O11" i="2"/>
  <c r="O12" i="2"/>
  <c r="O13" i="2"/>
  <c r="O14" i="2"/>
  <c r="O15" i="2"/>
  <c r="O16" i="2"/>
  <c r="O17" i="2"/>
  <c r="O18" i="2"/>
  <c r="O19" i="2"/>
  <c r="AC19" i="2" s="1"/>
  <c r="O20" i="2"/>
  <c r="O21" i="2"/>
  <c r="O22" i="2"/>
  <c r="O23" i="2"/>
  <c r="AC23" i="2" s="1"/>
  <c r="O24" i="2"/>
  <c r="O25" i="2"/>
  <c r="O26" i="2"/>
  <c r="O27" i="2"/>
  <c r="O28" i="2"/>
  <c r="O29" i="2"/>
  <c r="O30" i="2"/>
  <c r="O31" i="2"/>
  <c r="AC31" i="2" s="1"/>
  <c r="O32" i="2"/>
  <c r="AC32" i="2" s="1"/>
  <c r="O33" i="2"/>
  <c r="O34" i="2"/>
  <c r="O35" i="2"/>
  <c r="O36" i="2"/>
  <c r="O37" i="2"/>
  <c r="O38" i="2"/>
  <c r="O39" i="2"/>
  <c r="AC39" i="2" s="1"/>
  <c r="O40" i="2"/>
  <c r="O41" i="2"/>
  <c r="O42" i="2"/>
  <c r="O43" i="2"/>
  <c r="AC43" i="2" s="1"/>
  <c r="O44" i="2"/>
  <c r="O45" i="2"/>
  <c r="O46" i="2"/>
  <c r="AC46" i="2" s="1"/>
  <c r="O47" i="2"/>
  <c r="AC47" i="2" s="1"/>
  <c r="O48" i="2"/>
  <c r="O49" i="2"/>
  <c r="O50" i="2"/>
  <c r="O51" i="2"/>
  <c r="O52" i="2"/>
  <c r="O53" i="2"/>
  <c r="O54" i="2"/>
  <c r="O55" i="2"/>
  <c r="O56" i="2"/>
  <c r="O57" i="2"/>
  <c r="AC57" i="2" s="1"/>
  <c r="O58" i="2"/>
  <c r="O59" i="2"/>
  <c r="AC59" i="2" s="1"/>
  <c r="O60" i="2"/>
  <c r="O61" i="2"/>
  <c r="O3" i="2"/>
  <c r="AC3" i="2" s="1"/>
  <c r="AC8" i="2"/>
  <c r="AC10" i="2"/>
  <c r="AC11" i="2"/>
  <c r="AC14" i="2"/>
  <c r="AC15" i="2"/>
  <c r="AC24" i="2"/>
  <c r="AC26" i="2"/>
  <c r="AC27" i="2"/>
  <c r="AC29" i="2"/>
  <c r="AC34" i="2"/>
  <c r="AC35" i="2"/>
  <c r="AC49" i="2"/>
  <c r="AC50" i="2"/>
  <c r="AC51" i="2"/>
  <c r="AC17" i="2"/>
  <c r="AC18" i="2"/>
  <c r="AC33" i="2"/>
  <c r="AC42" i="2"/>
  <c r="AC55" i="2"/>
  <c r="AC56" i="2"/>
  <c r="AC58" i="2"/>
  <c r="AC21" i="2"/>
  <c r="AC45" i="2"/>
  <c r="AC48" i="2"/>
  <c r="AC9" i="2"/>
  <c r="AC38" i="2"/>
  <c r="AC54" i="2"/>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C5" i="2"/>
  <c r="AD5" i="2"/>
  <c r="AE5" i="2"/>
  <c r="AF5" i="2"/>
  <c r="AG5" i="2"/>
  <c r="AC6" i="2"/>
  <c r="AD6" i="2"/>
  <c r="AE6" i="2"/>
  <c r="AH6" i="2"/>
  <c r="AC7" i="2"/>
  <c r="AD7" i="2"/>
  <c r="AE7" i="2"/>
  <c r="AF7" i="2"/>
  <c r="AI7" i="2"/>
  <c r="AD8" i="2"/>
  <c r="AE8" i="2"/>
  <c r="AF8" i="2"/>
  <c r="AH8" i="2"/>
  <c r="AD9" i="2"/>
  <c r="AE9" i="2"/>
  <c r="AG9" i="2"/>
  <c r="AD10" i="2"/>
  <c r="AE10" i="2"/>
  <c r="AF10" i="2"/>
  <c r="AD11" i="2"/>
  <c r="AE11" i="2"/>
  <c r="AF11" i="2"/>
  <c r="AC12" i="2"/>
  <c r="AD12" i="2"/>
  <c r="AE12" i="2"/>
  <c r="AF12" i="2"/>
  <c r="AH12" i="2"/>
  <c r="AC13" i="2"/>
  <c r="AD13" i="2"/>
  <c r="AE13" i="2"/>
  <c r="AF13" i="2"/>
  <c r="AG13" i="2"/>
  <c r="AD14" i="2"/>
  <c r="AE14" i="2"/>
  <c r="AD15" i="2"/>
  <c r="AE15" i="2"/>
  <c r="AC16" i="2"/>
  <c r="AD16" i="2"/>
  <c r="AE16" i="2"/>
  <c r="AF16" i="2"/>
  <c r="AH16" i="2"/>
  <c r="AD17" i="2"/>
  <c r="AE17" i="2"/>
  <c r="AF17" i="2"/>
  <c r="AG17" i="2"/>
  <c r="AD18" i="2"/>
  <c r="AE18" i="2"/>
  <c r="AF18" i="2"/>
  <c r="AD19" i="2"/>
  <c r="AE19" i="2"/>
  <c r="AC20" i="2"/>
  <c r="AD20" i="2"/>
  <c r="AE20" i="2"/>
  <c r="AF20" i="2"/>
  <c r="AH20" i="2"/>
  <c r="AD21" i="2"/>
  <c r="AE21" i="2"/>
  <c r="AF21" i="2"/>
  <c r="AC22" i="2"/>
  <c r="AD22" i="2"/>
  <c r="AE22" i="2"/>
  <c r="AF22" i="2"/>
  <c r="AG22" i="2"/>
  <c r="AD23" i="2"/>
  <c r="AE23" i="2"/>
  <c r="AI23" i="2"/>
  <c r="AD24" i="2"/>
  <c r="AE24" i="2"/>
  <c r="AF24" i="2"/>
  <c r="AC25" i="2"/>
  <c r="AD25" i="2"/>
  <c r="AE25" i="2"/>
  <c r="AF25" i="2"/>
  <c r="AD26" i="2"/>
  <c r="AE26" i="2"/>
  <c r="AF26" i="2"/>
  <c r="AH26" i="2"/>
  <c r="AD27" i="2"/>
  <c r="AE27" i="2"/>
  <c r="AC28" i="2"/>
  <c r="AD28" i="2"/>
  <c r="AE28" i="2"/>
  <c r="AF28" i="2"/>
  <c r="AG28" i="2"/>
  <c r="AH28" i="2"/>
  <c r="AD29" i="2"/>
  <c r="AE29" i="2"/>
  <c r="AF29" i="2"/>
  <c r="AC30" i="2"/>
  <c r="AD30" i="2"/>
  <c r="AE30" i="2"/>
  <c r="AF30" i="2"/>
  <c r="AH30" i="2"/>
  <c r="AD31" i="2"/>
  <c r="AE31" i="2"/>
  <c r="AF31" i="2"/>
  <c r="AI31" i="2"/>
  <c r="AD32" i="2"/>
  <c r="AE32" i="2"/>
  <c r="AF32" i="2"/>
  <c r="AD33" i="2"/>
  <c r="AE33" i="2"/>
  <c r="AG33" i="2"/>
  <c r="AD34" i="2"/>
  <c r="AE34" i="2"/>
  <c r="AF34" i="2"/>
  <c r="AD35" i="2"/>
  <c r="AE35" i="2"/>
  <c r="AF35" i="2"/>
  <c r="AC36" i="2"/>
  <c r="AD36" i="2"/>
  <c r="AE36" i="2"/>
  <c r="AF36" i="2"/>
  <c r="AC37" i="2"/>
  <c r="AD37" i="2"/>
  <c r="AE37" i="2"/>
  <c r="AF37" i="2"/>
  <c r="AD38" i="2"/>
  <c r="AE38" i="2"/>
  <c r="AD39" i="2"/>
  <c r="AE39" i="2"/>
  <c r="AC40" i="2"/>
  <c r="AD40" i="2"/>
  <c r="AE40" i="2"/>
  <c r="AF40" i="2"/>
  <c r="AG40" i="2"/>
  <c r="AC41" i="2"/>
  <c r="AD41" i="2"/>
  <c r="AE41" i="2"/>
  <c r="AF41" i="2"/>
  <c r="AG41" i="2"/>
  <c r="AD42" i="2"/>
  <c r="AE42" i="2"/>
  <c r="AF42" i="2"/>
  <c r="AD43" i="2"/>
  <c r="AE43" i="2"/>
  <c r="AC44" i="2"/>
  <c r="AD44" i="2"/>
  <c r="AE44" i="2"/>
  <c r="AF44" i="2"/>
  <c r="AH44" i="2"/>
  <c r="AD45" i="2"/>
  <c r="AE45" i="2"/>
  <c r="AG45" i="2"/>
  <c r="AD46" i="2"/>
  <c r="AE46" i="2"/>
  <c r="AF46" i="2"/>
  <c r="AD47" i="2"/>
  <c r="AE47" i="2"/>
  <c r="AD48" i="2"/>
  <c r="AE48" i="2"/>
  <c r="AF48" i="2"/>
  <c r="AD49" i="2"/>
  <c r="AE49" i="2"/>
  <c r="AD50" i="2"/>
  <c r="AE50" i="2"/>
  <c r="AF50" i="2"/>
  <c r="AG50" i="2"/>
  <c r="AH50" i="2"/>
  <c r="AD51" i="2"/>
  <c r="AE51" i="2"/>
  <c r="AC52" i="2"/>
  <c r="AD52" i="2"/>
  <c r="AE52" i="2"/>
  <c r="AF52" i="2"/>
  <c r="AG52" i="2"/>
  <c r="AC53" i="2"/>
  <c r="AD53" i="2"/>
  <c r="AE53" i="2"/>
  <c r="AF53" i="2"/>
  <c r="AD54" i="2"/>
  <c r="AE54" i="2"/>
  <c r="AF54" i="2"/>
  <c r="AD55" i="2"/>
  <c r="AE55" i="2"/>
  <c r="AG55" i="2"/>
  <c r="AD56" i="2"/>
  <c r="AE56" i="2"/>
  <c r="AF56" i="2"/>
  <c r="AG56" i="2"/>
  <c r="AD57" i="2"/>
  <c r="AE57" i="2"/>
  <c r="AF57" i="2"/>
  <c r="AG57" i="2"/>
  <c r="AH57" i="2"/>
  <c r="AD58" i="2"/>
  <c r="AE58" i="2"/>
  <c r="AF58" i="2"/>
  <c r="AD59" i="2"/>
  <c r="AE59" i="2"/>
  <c r="AF59" i="2"/>
  <c r="AG59" i="2"/>
  <c r="AC60" i="2"/>
  <c r="AD60" i="2"/>
  <c r="AE60" i="2"/>
  <c r="AF60" i="2"/>
  <c r="AC61" i="2"/>
  <c r="AD61" i="2"/>
  <c r="AE61" i="2"/>
  <c r="AD3" i="2"/>
  <c r="AE3" i="2"/>
  <c r="AG3" i="2"/>
  <c r="K62" i="1"/>
  <c r="O62" i="1" s="1" a="1"/>
  <c r="O62" i="1" s="1"/>
  <c r="L62" i="1"/>
  <c r="P62" i="1" s="1" a="1"/>
  <c r="P62" i="1" s="1"/>
  <c r="H24" i="17"/>
  <c r="C24" i="17"/>
  <c r="B24" i="17"/>
  <c r="F21" i="17"/>
  <c r="E21" i="17"/>
  <c r="D21" i="17"/>
  <c r="F20" i="17"/>
  <c r="E20" i="17"/>
  <c r="D20" i="17"/>
  <c r="F19" i="17"/>
  <c r="E19" i="17"/>
  <c r="D19" i="17"/>
  <c r="D18" i="17"/>
  <c r="E17" i="17"/>
  <c r="G16" i="17"/>
  <c r="G24" i="17" s="1"/>
  <c r="F16" i="17"/>
  <c r="E16" i="17"/>
  <c r="A16" i="17"/>
  <c r="A24" i="17" s="1"/>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J10" i="9"/>
  <c r="IK10" i="9"/>
  <c r="IL10" i="9"/>
  <c r="IM10" i="9"/>
  <c r="IN10" i="9"/>
  <c r="IO10" i="9"/>
  <c r="II11" i="9"/>
  <c r="IJ11" i="9"/>
  <c r="IK11" i="9"/>
  <c r="IL11" i="9"/>
  <c r="IM11" i="9"/>
  <c r="IN11" i="9"/>
  <c r="IO11" i="9"/>
  <c r="II12" i="9"/>
  <c r="IJ12" i="9"/>
  <c r="IK12" i="9"/>
  <c r="IL12" i="9"/>
  <c r="IM12" i="9"/>
  <c r="IN12" i="9"/>
  <c r="IO12" i="9"/>
  <c r="IJ13" i="9"/>
  <c r="IK13" i="9"/>
  <c r="IL13" i="9"/>
  <c r="IM13" i="9"/>
  <c r="IN13" i="9"/>
  <c r="IO13" i="9"/>
  <c r="IH7" i="9"/>
  <c r="IH8" i="9"/>
  <c r="IH9" i="9"/>
  <c r="IH11" i="9"/>
  <c r="IH12"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T10" i="9"/>
  <c r="HU10" i="9"/>
  <c r="HV10" i="9"/>
  <c r="HW10" i="9"/>
  <c r="HX10" i="9"/>
  <c r="HY10" i="9"/>
  <c r="HS11" i="9"/>
  <c r="HT11" i="9"/>
  <c r="HU11" i="9"/>
  <c r="HV11" i="9"/>
  <c r="HW11" i="9"/>
  <c r="HX11" i="9"/>
  <c r="HY11" i="9"/>
  <c r="HS12" i="9"/>
  <c r="HT12" i="9"/>
  <c r="HU12" i="9"/>
  <c r="HV12" i="9"/>
  <c r="HW12" i="9"/>
  <c r="HX12" i="9"/>
  <c r="HY12" i="9"/>
  <c r="HT13" i="9"/>
  <c r="HU13" i="9"/>
  <c r="HV13" i="9"/>
  <c r="HW13" i="9"/>
  <c r="HX13" i="9"/>
  <c r="HY13" i="9"/>
  <c r="HR7" i="9"/>
  <c r="HR8" i="9"/>
  <c r="HR9" i="9"/>
  <c r="HR11" i="9"/>
  <c r="HR12"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D10" i="9"/>
  <c r="HE10" i="9"/>
  <c r="HF10" i="9"/>
  <c r="HG10" i="9"/>
  <c r="HH10" i="9"/>
  <c r="HI10" i="9"/>
  <c r="HC11" i="9"/>
  <c r="HD11" i="9"/>
  <c r="HE11" i="9"/>
  <c r="HF11" i="9"/>
  <c r="HG11" i="9"/>
  <c r="HH11" i="9"/>
  <c r="HI11" i="9"/>
  <c r="HC12" i="9"/>
  <c r="HD12" i="9"/>
  <c r="HE12" i="9"/>
  <c r="HF12" i="9"/>
  <c r="HG12" i="9"/>
  <c r="HH12" i="9"/>
  <c r="HI12" i="9"/>
  <c r="HD13" i="9"/>
  <c r="HE13" i="9"/>
  <c r="HF13" i="9"/>
  <c r="HG13" i="9"/>
  <c r="HH13" i="9"/>
  <c r="HI13" i="9"/>
  <c r="HB7" i="9"/>
  <c r="HB8" i="9"/>
  <c r="HB9" i="9"/>
  <c r="HB11" i="9"/>
  <c r="HB12"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HC10" i="9" s="1"/>
  <c r="HS10" i="9" s="1"/>
  <c r="II10" i="9" s="1"/>
  <c r="GN10" i="9"/>
  <c r="GO10" i="9"/>
  <c r="GP10" i="9"/>
  <c r="GQ10" i="9"/>
  <c r="GR10" i="9"/>
  <c r="GS10" i="9"/>
  <c r="GM11" i="9"/>
  <c r="GN11" i="9"/>
  <c r="GO11" i="9"/>
  <c r="GP11" i="9"/>
  <c r="GQ11" i="9"/>
  <c r="GR11" i="9"/>
  <c r="GS11" i="9"/>
  <c r="GM12" i="9"/>
  <c r="GN12" i="9"/>
  <c r="GO12" i="9"/>
  <c r="GP12" i="9"/>
  <c r="GQ12" i="9"/>
  <c r="GR12" i="9"/>
  <c r="GS12" i="9"/>
  <c r="GN13" i="9"/>
  <c r="GO13" i="9"/>
  <c r="GP13" i="9"/>
  <c r="GQ13" i="9"/>
  <c r="GR13" i="9"/>
  <c r="GS13" i="9"/>
  <c r="GL7" i="9"/>
  <c r="GL8" i="9"/>
  <c r="GL9" i="9"/>
  <c r="GL11" i="9"/>
  <c r="GL12"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X10" i="9"/>
  <c r="GA10" i="9"/>
  <c r="GC10" i="9"/>
  <c r="FW11" i="9"/>
  <c r="FX11" i="9"/>
  <c r="FY11" i="9"/>
  <c r="FZ11" i="9"/>
  <c r="GA11" i="9"/>
  <c r="GB11" i="9"/>
  <c r="GC11" i="9"/>
  <c r="FW12" i="9"/>
  <c r="FX12" i="9"/>
  <c r="FY12" i="9"/>
  <c r="FZ12" i="9"/>
  <c r="GA12" i="9"/>
  <c r="GB12" i="9"/>
  <c r="GC12" i="9"/>
  <c r="FX13" i="9"/>
  <c r="GA13" i="9"/>
  <c r="GC13" i="9"/>
  <c r="FV7" i="9"/>
  <c r="FV8" i="9"/>
  <c r="FV9" i="9"/>
  <c r="FV11" i="9"/>
  <c r="FV12"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H10" i="9"/>
  <c r="FK10" i="9"/>
  <c r="FM10" i="9"/>
  <c r="FG11" i="9"/>
  <c r="FH11" i="9"/>
  <c r="FI11" i="9"/>
  <c r="FJ11" i="9"/>
  <c r="FK11" i="9"/>
  <c r="FL11" i="9"/>
  <c r="FM11" i="9"/>
  <c r="FG12" i="9"/>
  <c r="FH12" i="9"/>
  <c r="FI12" i="9"/>
  <c r="FJ12" i="9"/>
  <c r="FK12" i="9"/>
  <c r="FL12" i="9"/>
  <c r="FM12" i="9"/>
  <c r="FH13" i="9"/>
  <c r="FK13" i="9"/>
  <c r="FM13" i="9"/>
  <c r="FF7" i="9"/>
  <c r="FF8" i="9"/>
  <c r="FF9" i="9"/>
  <c r="FF11" i="9"/>
  <c r="FF12"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R10" i="9"/>
  <c r="EU10" i="9"/>
  <c r="EW10" i="9"/>
  <c r="EQ11" i="9"/>
  <c r="ER11" i="9"/>
  <c r="ES11" i="9"/>
  <c r="ET11" i="9"/>
  <c r="EU11" i="9"/>
  <c r="EV11" i="9"/>
  <c r="EW11" i="9"/>
  <c r="EQ12" i="9"/>
  <c r="ER12" i="9"/>
  <c r="ES12" i="9"/>
  <c r="ET12" i="9"/>
  <c r="EU12" i="9"/>
  <c r="EV12" i="9"/>
  <c r="EW12" i="9"/>
  <c r="ER13" i="9"/>
  <c r="EU13" i="9"/>
  <c r="EW13" i="9"/>
  <c r="EP7" i="9"/>
  <c r="EP8" i="9"/>
  <c r="EP9" i="9"/>
  <c r="EP11" i="9"/>
  <c r="EP12"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B10" i="9"/>
  <c r="EE10" i="9"/>
  <c r="EF10" i="9"/>
  <c r="EV10" i="9" s="1"/>
  <c r="FL10" i="9" s="1"/>
  <c r="GB10" i="9" s="1"/>
  <c r="EG10" i="9"/>
  <c r="EA11" i="9"/>
  <c r="EB11" i="9"/>
  <c r="EC11" i="9"/>
  <c r="ED11" i="9"/>
  <c r="EE11" i="9"/>
  <c r="EF11" i="9"/>
  <c r="EG11" i="9"/>
  <c r="EA12" i="9"/>
  <c r="EB12" i="9"/>
  <c r="EC12" i="9"/>
  <c r="ED12" i="9"/>
  <c r="EE12" i="9"/>
  <c r="EF12" i="9"/>
  <c r="EG12" i="9"/>
  <c r="EB13" i="9"/>
  <c r="ED13" i="9"/>
  <c r="ET13" i="9" s="1"/>
  <c r="FJ13" i="9" s="1"/>
  <c r="FZ13" i="9" s="1"/>
  <c r="EE13" i="9"/>
  <c r="EF13" i="9"/>
  <c r="EV13" i="9" s="1"/>
  <c r="FL13" i="9" s="1"/>
  <c r="GB13" i="9" s="1"/>
  <c r="EG13" i="9"/>
  <c r="DZ11" i="9"/>
  <c r="DZ12"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L10" i="9"/>
  <c r="DO10" i="9"/>
  <c r="DQ10" i="9"/>
  <c r="DK11" i="9"/>
  <c r="DL11" i="9"/>
  <c r="DM11" i="9"/>
  <c r="DN11" i="9"/>
  <c r="DO11" i="9"/>
  <c r="DP11" i="9"/>
  <c r="DQ11" i="9"/>
  <c r="DK12" i="9"/>
  <c r="DL12" i="9"/>
  <c r="DM12" i="9"/>
  <c r="DN12" i="9"/>
  <c r="DO12" i="9"/>
  <c r="DP12" i="9"/>
  <c r="DQ12" i="9"/>
  <c r="DL13" i="9"/>
  <c r="DO13" i="9"/>
  <c r="DQ13" i="9"/>
  <c r="DJ7" i="9"/>
  <c r="DJ8" i="9"/>
  <c r="DJ9" i="9"/>
  <c r="DJ11" i="9"/>
  <c r="DJ12" i="9"/>
  <c r="CU12" i="9"/>
  <c r="CV12" i="9"/>
  <c r="CW12" i="9"/>
  <c r="CX12" i="9"/>
  <c r="CY12" i="9"/>
  <c r="CZ12" i="9"/>
  <c r="DA12" i="9"/>
  <c r="CV13" i="9"/>
  <c r="CY13" i="9"/>
  <c r="DA13" i="9"/>
  <c r="CE11" i="9"/>
  <c r="CF11" i="9"/>
  <c r="CV11" i="9" s="1"/>
  <c r="CG11" i="9"/>
  <c r="CH11" i="9"/>
  <c r="CX11" i="9" s="1"/>
  <c r="CI11" i="9"/>
  <c r="CJ11" i="9"/>
  <c r="CK11" i="9"/>
  <c r="DA11" i="9" s="1"/>
  <c r="CE12" i="9"/>
  <c r="CF12" i="9"/>
  <c r="CG12" i="9"/>
  <c r="CH12" i="9"/>
  <c r="CI12" i="9"/>
  <c r="CJ12" i="9"/>
  <c r="CK12" i="9"/>
  <c r="CF13" i="9"/>
  <c r="CI13" i="9"/>
  <c r="CK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V10" i="9"/>
  <c r="CY10" i="9"/>
  <c r="DA10" i="9"/>
  <c r="CU11" i="9"/>
  <c r="CW11" i="9"/>
  <c r="CY11" i="9"/>
  <c r="CZ11" i="9"/>
  <c r="CT7" i="9"/>
  <c r="CT8" i="9"/>
  <c r="CT9"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F10" i="9"/>
  <c r="CI10" i="9"/>
  <c r="CK10" i="9"/>
  <c r="CD7" i="9"/>
  <c r="CD8" i="9"/>
  <c r="CD9"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CE10" i="9" s="1"/>
  <c r="CU10" i="9" s="1"/>
  <c r="DK10" i="9" s="1"/>
  <c r="BP10" i="9"/>
  <c r="BS10" i="9"/>
  <c r="BU10" i="9"/>
  <c r="BO11" i="9"/>
  <c r="BP11" i="9"/>
  <c r="BQ11" i="9"/>
  <c r="BR11" i="9"/>
  <c r="BS11" i="9"/>
  <c r="BT11" i="9"/>
  <c r="BU11" i="9"/>
  <c r="BO12" i="9"/>
  <c r="BP12" i="9"/>
  <c r="BQ12" i="9"/>
  <c r="BR12" i="9"/>
  <c r="BS12" i="9"/>
  <c r="BT12" i="9"/>
  <c r="BU12" i="9"/>
  <c r="BP13" i="9"/>
  <c r="BS13" i="9"/>
  <c r="BT13" i="9"/>
  <c r="CJ13" i="9" s="1"/>
  <c r="CZ13" i="9" s="1"/>
  <c r="DP13" i="9" s="1"/>
  <c r="BU13" i="9"/>
  <c r="BN7" i="9"/>
  <c r="BN8" i="9"/>
  <c r="BN9" i="9"/>
  <c r="BN11" i="9"/>
  <c r="BN12" i="9"/>
  <c r="BN13" i="9"/>
  <c r="CD13" i="9" s="1"/>
  <c r="CT13" i="9" s="1"/>
  <c r="DJ13" i="9" s="1"/>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1" i="9"/>
  <c r="AX12"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J10" i="9"/>
  <c r="AK10" i="9"/>
  <c r="AL10" i="9"/>
  <c r="AM10" i="9"/>
  <c r="AN10" i="9"/>
  <c r="AO10" i="9"/>
  <c r="AI11" i="9"/>
  <c r="AJ11" i="9"/>
  <c r="AK11" i="9"/>
  <c r="AL11" i="9"/>
  <c r="AM11" i="9"/>
  <c r="AN11" i="9"/>
  <c r="AO11" i="9"/>
  <c r="AI12" i="9"/>
  <c r="AJ12" i="9"/>
  <c r="AK12" i="9"/>
  <c r="AL12" i="9"/>
  <c r="AM12" i="9"/>
  <c r="AN12" i="9"/>
  <c r="AO12" i="9"/>
  <c r="AJ13" i="9"/>
  <c r="AK13" i="9"/>
  <c r="AL13" i="9"/>
  <c r="AM13" i="9"/>
  <c r="AN13" i="9"/>
  <c r="AO13" i="9"/>
  <c r="AH7" i="9"/>
  <c r="AH8" i="9"/>
  <c r="AH9" i="9"/>
  <c r="AH11" i="9"/>
  <c r="AH12"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T13" i="9"/>
  <c r="U13" i="9"/>
  <c r="V13" i="9"/>
  <c r="W13" i="9"/>
  <c r="X13" i="9"/>
  <c r="Y13" i="9"/>
  <c r="R7" i="9"/>
  <c r="R8" i="9"/>
  <c r="R9" i="9"/>
  <c r="R11" i="9"/>
  <c r="R12"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D13" i="9"/>
  <c r="E13" i="9"/>
  <c r="F13" i="9"/>
  <c r="G13" i="9"/>
  <c r="H13" i="9"/>
  <c r="I13" i="9"/>
  <c r="B7" i="9"/>
  <c r="B8" i="9"/>
  <c r="B9" i="9"/>
  <c r="B10" i="9"/>
  <c r="B11" i="9"/>
  <c r="B12"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GM13" i="9" s="1"/>
  <c r="HC13" i="9" s="1"/>
  <c r="HS13" i="9" s="1"/>
  <c r="II13" i="9" s="1"/>
  <c r="AZ12" i="5"/>
  <c r="BA12" i="5"/>
  <c r="BB12" i="5"/>
  <c r="BC12" i="5"/>
  <c r="BD12" i="5"/>
  <c r="BE12" i="5"/>
  <c r="AX6" i="5"/>
  <c r="AX7" i="5"/>
  <c r="AX8" i="5"/>
  <c r="AX9" i="5"/>
  <c r="GL10" i="9" s="1"/>
  <c r="HB10" i="9" s="1"/>
  <c r="HR10" i="9" s="1"/>
  <c r="IH10" i="9" s="1"/>
  <c r="AX10" i="5"/>
  <c r="AX11" i="5"/>
  <c r="AX12" i="5"/>
  <c r="GL13" i="9" s="1"/>
  <c r="HB13" i="9" s="1"/>
  <c r="HR13" i="9" s="1"/>
  <c r="IH13" i="9" s="1"/>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EA10" i="9" s="1"/>
  <c r="EQ10" i="9" s="1"/>
  <c r="FG10" i="9" s="1"/>
  <c r="FW10" i="9" s="1"/>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EA13" i="9" s="1"/>
  <c r="EQ13" i="9" s="1"/>
  <c r="FG13" i="9" s="1"/>
  <c r="FW13" i="9" s="1"/>
  <c r="AJ12" i="5"/>
  <c r="AK12" i="5"/>
  <c r="EC13" i="9" s="1"/>
  <c r="ES13" i="9" s="1"/>
  <c r="FI13" i="9" s="1"/>
  <c r="FY13" i="9" s="1"/>
  <c r="AL12" i="5"/>
  <c r="AM12" i="5"/>
  <c r="AN12" i="5"/>
  <c r="AO12" i="5"/>
  <c r="AH6" i="5"/>
  <c r="AH7" i="5"/>
  <c r="AH8" i="5"/>
  <c r="AH9" i="5"/>
  <c r="DZ10" i="9" s="1"/>
  <c r="EP10" i="9" s="1"/>
  <c r="FF10" i="9" s="1"/>
  <c r="FV10" i="9" s="1"/>
  <c r="AH10" i="5"/>
  <c r="AH11" i="5"/>
  <c r="AH12" i="5"/>
  <c r="DZ13" i="9" s="1"/>
  <c r="EP13" i="9" s="1"/>
  <c r="FF13" i="9" s="1"/>
  <c r="FV13" i="9" s="1"/>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BO13" i="9" s="1"/>
  <c r="CE13" i="9" s="1"/>
  <c r="CU13" i="9" s="1"/>
  <c r="DK13" i="9" s="1"/>
  <c r="T12" i="5"/>
  <c r="U12" i="5"/>
  <c r="BQ13" i="9" s="1"/>
  <c r="CG13" i="9" s="1"/>
  <c r="CW13" i="9" s="1"/>
  <c r="DM13" i="9" s="1"/>
  <c r="V12" i="5"/>
  <c r="BR13" i="9" s="1"/>
  <c r="CH13" i="9" s="1"/>
  <c r="CX13" i="9" s="1"/>
  <c r="DN13" i="9" s="1"/>
  <c r="W12" i="5"/>
  <c r="X12" i="5"/>
  <c r="Y12" i="5"/>
  <c r="R6" i="5"/>
  <c r="R7" i="5"/>
  <c r="R8" i="5"/>
  <c r="R9" i="5"/>
  <c r="BN10" i="9" s="1"/>
  <c r="CD10" i="9" s="1"/>
  <c r="CT10" i="9" s="1"/>
  <c r="DJ10" i="9" s="1"/>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AI10" i="9" s="1"/>
  <c r="D9" i="5"/>
  <c r="E9" i="5"/>
  <c r="F9" i="5"/>
  <c r="G9" i="5"/>
  <c r="H9" i="5"/>
  <c r="I9" i="5"/>
  <c r="C10" i="5"/>
  <c r="D10" i="5"/>
  <c r="E10" i="5"/>
  <c r="F10" i="5"/>
  <c r="G10" i="5"/>
  <c r="H10" i="5"/>
  <c r="I10" i="5"/>
  <c r="C11" i="5"/>
  <c r="D11" i="5"/>
  <c r="E11" i="5"/>
  <c r="F11" i="5"/>
  <c r="G11" i="5"/>
  <c r="H11" i="5"/>
  <c r="I11" i="5"/>
  <c r="C12" i="5"/>
  <c r="C13" i="9" s="1"/>
  <c r="D12" i="5"/>
  <c r="E12" i="5"/>
  <c r="F12" i="5"/>
  <c r="G12" i="5"/>
  <c r="H12" i="5"/>
  <c r="I12" i="5"/>
  <c r="B6" i="5"/>
  <c r="B7" i="5"/>
  <c r="B8" i="5"/>
  <c r="B9" i="5"/>
  <c r="R10" i="9" s="1"/>
  <c r="B10" i="5"/>
  <c r="B11" i="5"/>
  <c r="B12" i="5"/>
  <c r="AX13" i="9" s="1"/>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AH13" i="9" l="1"/>
  <c r="B13" i="9"/>
  <c r="R13" i="9"/>
  <c r="AI13" i="9"/>
  <c r="S13" i="9"/>
  <c r="AY10" i="9"/>
  <c r="AX10" i="9"/>
  <c r="AH10" i="9"/>
  <c r="AH43" i="2"/>
  <c r="AG20" i="2"/>
  <c r="AG16" i="2"/>
  <c r="AG44" i="2"/>
  <c r="AG6" i="2"/>
  <c r="AG42" i="2"/>
  <c r="AG12" i="2"/>
  <c r="AG8" i="2"/>
  <c r="AG30" i="2"/>
  <c r="AI60" i="2"/>
  <c r="AI58" i="2"/>
  <c r="AI48" i="2"/>
  <c r="AI46" i="2"/>
  <c r="AI36" i="2"/>
  <c r="AI34" i="2"/>
  <c r="AI32" i="2"/>
  <c r="AI18" i="2"/>
  <c r="AI4" i="2"/>
  <c r="AF3" i="2"/>
  <c r="D24" i="17"/>
  <c r="E24" i="17"/>
  <c r="F24" i="17"/>
  <c r="Q59" i="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<sst xmlns="http://schemas.openxmlformats.org/spreadsheetml/2006/main" count="788" uniqueCount="346">
  <si>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</si>
  <si>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</si>
  <si>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</si>
  <si>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</si>
  <si>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</si>
  <si>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</si>
  <si>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</si>
  <si>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</si>
  <si>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</si>
  <si>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</si>
  <si>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</si>
  <si>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</si>
  <si>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</si>
  <si>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</si>
  <si>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</si>
  <si>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</si>
  <si>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</si>
  <si>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</si>
  <si>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</si>
  <si>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</si>
  <si>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</si>
  <si>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</si>
  <si>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</si>
  <si>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</si>
  <si>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</si>
  <si>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</si>
  <si>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</si>
  <si>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</si>
  <si>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</si>
  <si>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</si>
  <si>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</si>
  <si>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</si>
  <si>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</si>
  <si>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</si>
  <si>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</si>
  <si>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</si>
  <si>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</si>
  <si>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</si>
  <si>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</si>
  <si>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</si>
  <si>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</si>
  <si>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</si>
  <si>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</si>
  <si>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</si>
  <si>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</si>
  <si>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</si>
  <si>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</si>
  <si>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</si>
  <si>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</si>
  <si>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</si>
  <si>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</si>
  <si>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</si>
  <si>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</si>
  <si>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</si>
  <si>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</si>
  <si>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</si>
  <si>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</si>
  <si>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</si>
  <si>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</si>
  <si>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</si>
  <si>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</si>
  <si>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</si>
  <si>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</si>
  <si>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</si>
  <si>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</si>
  <si>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</si>
  <si>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</si>
  <si>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</si>
  <si>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</si>
  <si>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</si>
  <si>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</si>
  <si>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</si>
  <si>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</si>
  <si>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</si>
  <si>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</si>
  <si>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</si>
  <si>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</si>
  <si>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</si>
  <si>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</si>
  <si>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</si>
  <si>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</si>
  <si>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</si>
  <si>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</si>
  <si>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</si>
  <si>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</si>
  <si>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</si>
  <si>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</si>
  <si>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</si>
  <si>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</si>
  <si>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</si>
  <si>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</si>
  <si>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</si>
  <si>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</si>
  <si>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</si>
  <si>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</si>
  <si>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</si>
  <si>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</si>
  <si>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</si>
  <si>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</si>
  <si>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</si>
  <si>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</si>
  <si>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</si>
  <si>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</si>
  <si>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</si>
  <si>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</si>
  <si>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</si>
  <si>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</si>
  <si>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</si>
  <si>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</si>
  <si>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</si>
  <si>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</si>
  <si>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</si>
  <si>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</si>
  <si>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</si>
  <si>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</si>
  <si>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</si>
  <si>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</si>
  <si>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</si>
  <si>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</si>
  <si>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</si>
  <si>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</si>
  <si>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</si>
  <si>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</si>
  <si>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</si>
  <si>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</si>
  <si>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</si>
  <si>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</si>
  <si>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</si>
  <si>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</si>
  <si>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</si>
  <si>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</si>
  <si>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</si>
  <si>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</si>
  <si>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</si>
  <si>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</si>
  <si>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</si>
  <si>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</si>
  <si>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</si>
  <si>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</si>
  <si>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</si>
  <si>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</si>
  <si>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</si>
  <si>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</si>
  <si>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</si>
  <si>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</si>
  <si>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</si>
  <si>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</si>
  <si>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</si>
  <si>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</si>
  <si>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</si>
  <si>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</si>
  <si>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</si>
  <si>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</si>
  <si>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</si>
  <si>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</si>
  <si>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</si>
  <si>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</si>
  <si>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</si>
  <si>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</si>
  <si>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</si>
  <si>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</si>
  <si>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</si>
  <si>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</si>
  <si>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</si>
  <si>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</si>
  <si>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</si>
  <si>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</si>
  <si>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</si>
  <si>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</si>
  <si>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</si>
  <si>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</si>
  <si>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</si>
  <si>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</si>
  <si>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</si>
  <si>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</si>
  <si>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</si>
  <si>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</si>
  <si>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</si>
  <si>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</si>
  <si>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</si>
  <si>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</si>
  <si>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</si>
  <si>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</si>
  <si>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</si>
  <si>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</si>
  <si>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</si>
  <si>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</si>
  <si>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</si>
  <si>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</si>
  <si>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</si>
  <si>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</si>
  <si>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</si>
  <si>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</si>
  <si>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</si>
  <si>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</si>
  <si>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</si>
  <si>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</si>
  <si>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</si>
  <si>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</si>
  <si>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</si>
  <si>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</si>
  <si>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</si>
  <si>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</si>
  <si>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</si>
  <si>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</si>
  <si>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</si>
  <si>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</si>
  <si>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</si>
  <si>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</si>
  <si>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</si>
  <si>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</si>
  <si>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</si>
  <si>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</si>
  <si>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</si>
  <si>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</si>
  <si>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</si>
  <si>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</si>
  <si>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</si>
  <si>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</si>
  <si>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</si>
  <si>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</si>
  <si>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</si>
  <si>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</si>
  <si>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</si>
  <si>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</si>
  <si>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</si>
  <si>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</si>
  <si>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</si>
  <si>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</si>
  <si>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</si>
  <si>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</si>
  <si>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</si>
  <si>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</si>
  <si>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</si>
  <si>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</si>
  <si>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</si>
  <si>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</si>
  <si>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</si>
  <si>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</si>
  <si>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</si>
  <si>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</si>
  <si>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</si>
  <si>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</si>
  <si>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</si>
  <si>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</si>
  <si>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</si>
  <si>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</si>
  <si>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</si>
  <si>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</si>
  <si>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</si>
  <si>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</si>
  <si>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</si>
  <si>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</si>
  <si>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</si>
  <si>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</si>
  <si>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</si>
  <si>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</si>
  <si>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</si>
  <si>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</si>
  <si>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</si>
  <si>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</si>
  <si>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</si>
  <si>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</si>
  <si>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</si>
  <si>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</si>
  <si>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</si>
  <si>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</si>
  <si>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</si>
  <si>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</si>
  <si>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</si>
  <si>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</si>
  <si>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</si>
  <si>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</si>
  <si>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</si>
  <si>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</si>
  <si>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</si>
  <si>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</si>
  <si>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</si>
  <si>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</si>
  <si>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</si>
  <si>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</si>
  <si>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</si>
  <si>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</si>
  <si>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</si>
  <si>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</si>
  <si>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</si>
  <si>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</si>
  <si>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</si>
  <si>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</si>
  <si>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</si>
  <si>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</si>
  <si>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</si>
  <si>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</si>
  <si>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</si>
  <si>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</si>
  <si>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</si>
  <si>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</si>
  <si>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</si>
  <si>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</si>
  <si>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</si>
  <si>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</si>
  <si>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</si>
  <si>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</si>
  <si>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</si>
  <si>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</si>
  <si>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</si>
  <si>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</si>
  <si>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</si>
  <si>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</si>
  <si>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</si>
  <si>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</si>
  <si>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</si>
  <si>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</si>
  <si>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</si>
  <si>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</si>
  <si>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</si>
  <si>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</si>
  <si>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</si>
  <si>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</si>
  <si>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</si>
  <si>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</si>
  <si>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</si>
  <si>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</si>
  <si>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</si>
  <si>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</si>
  <si>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</si>
  <si>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</si>
  <si>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</si>
  <si>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</si>
  <si>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</si>
  <si>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</si>
  <si>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</si>
  <si>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</si>
  <si>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</si>
  <si>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</si>
  <si>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</si>
  <si>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</si>
  <si>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</si>
  <si>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</si>
  <si>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</si>
  <si>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</si>
  <si>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</si>
  <si>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</si>
  <si>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</si>
  <si>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</si>
  <si>
    <t>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</si>
</sst>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70">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9" fillId="0" borderId="7"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0" fillId="5" borderId="1" xfId="0" applyFill="1" applyBorder="1"/>
    <xf numFmtId="0" fontId="4" fillId="0" borderId="0" xfId="0" applyFont="1" applyFill="1" applyBorder="1"/>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L1" zoomScale="108" zoomScaleNormal="108" workbookViewId="0">
      <selection activeCell="U5" sqref="U5"/>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f>IF(C3="Market",3000,0)</f>
        <v>0</v>
      </c>
      <c r="O3" s="2">
        <f>IF(C3="Market",0.374,0.375)</f>
        <v>0.375</v>
      </c>
      <c r="P3" s="2">
        <v>5</v>
      </c>
      <c r="Q3" s="2">
        <v>5</v>
      </c>
      <c r="R3" s="2">
        <v>5.2</v>
      </c>
      <c r="S3" s="2">
        <v>5.2</v>
      </c>
      <c r="T3" s="2">
        <v>5.4</v>
      </c>
      <c r="U3" s="2">
        <v>5.4</v>
      </c>
      <c r="V3" s="3">
        <v>5</v>
      </c>
      <c r="W3" s="3">
        <v>5</v>
      </c>
      <c r="X3" s="3">
        <v>100</v>
      </c>
      <c r="Y3" s="3">
        <v>0</v>
      </c>
      <c r="Z3" s="3">
        <v>0</v>
      </c>
      <c r="AA3" s="3">
        <f>M3</f>
        <v>10</v>
      </c>
      <c r="AB3" s="3">
        <v>0</v>
      </c>
      <c r="AC3" s="3">
        <f>O3</f>
        <v>0.375</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f t="shared" ref="N4:N61" si="1">IF(C4="Market",3000,0)</f>
        <v>0</v>
      </c>
      <c r="O4" s="2">
        <f t="shared" ref="O4:O61" si="2">IF(C4="Market",0.374,0.375)</f>
        <v>0.375</v>
      </c>
      <c r="P4" s="2">
        <v>5</v>
      </c>
      <c r="Q4" s="2">
        <v>5</v>
      </c>
      <c r="R4" s="2">
        <v>5.2</v>
      </c>
      <c r="S4" s="2">
        <v>5.2</v>
      </c>
      <c r="T4" s="2">
        <v>5.4</v>
      </c>
      <c r="U4" s="2">
        <v>5.4</v>
      </c>
      <c r="V4" s="3">
        <v>5</v>
      </c>
      <c r="W4" s="3">
        <v>5</v>
      </c>
      <c r="X4" s="3">
        <v>100</v>
      </c>
      <c r="Y4" s="3">
        <v>0</v>
      </c>
      <c r="Z4" s="3">
        <v>0</v>
      </c>
      <c r="AA4" s="3">
        <f t="shared" ref="AA4:AA61" si="3">M4</f>
        <v>10</v>
      </c>
      <c r="AB4" s="3">
        <v>0</v>
      </c>
      <c r="AC4" s="3">
        <f t="shared" ref="AC4:AC61" si="4">O4</f>
        <v>0.375</v>
      </c>
      <c r="AD4" s="3">
        <f t="shared" ref="AD4:AD61" si="5">P4</f>
        <v>5</v>
      </c>
      <c r="AE4" s="3">
        <f t="shared" ref="AE4:AE61" si="6">Q4</f>
        <v>5</v>
      </c>
      <c r="AF4" s="3">
        <f t="shared" ref="AF4:AF61" si="7">R4</f>
        <v>5.2</v>
      </c>
      <c r="AG4" s="3">
        <f t="shared" ref="AG4:AG61" si="8">S4</f>
        <v>5.2</v>
      </c>
      <c r="AH4" s="3">
        <f t="shared" ref="AH4:AH61" si="9">T4</f>
        <v>5.4</v>
      </c>
      <c r="AI4" s="3">
        <f t="shared" ref="AI4:AI61" si="10">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f t="shared" si="1"/>
        <v>0</v>
      </c>
      <c r="O5" s="2">
        <f t="shared" si="2"/>
        <v>0.375</v>
      </c>
      <c r="P5" s="2">
        <v>5</v>
      </c>
      <c r="Q5" s="2">
        <v>5</v>
      </c>
      <c r="R5" s="2">
        <v>5.2</v>
      </c>
      <c r="S5" s="2">
        <v>5.2</v>
      </c>
      <c r="T5" s="2">
        <v>5.4</v>
      </c>
      <c r="U5" s="2">
        <v>5.4</v>
      </c>
      <c r="V5" s="3">
        <v>5</v>
      </c>
      <c r="W5" s="3">
        <v>5</v>
      </c>
      <c r="X5" s="3">
        <v>100</v>
      </c>
      <c r="Y5" s="3">
        <v>0</v>
      </c>
      <c r="Z5" s="3">
        <v>0</v>
      </c>
      <c r="AA5" s="3">
        <f t="shared" si="3"/>
        <v>10</v>
      </c>
      <c r="AB5" s="3">
        <v>0</v>
      </c>
      <c r="AC5" s="3">
        <f t="shared" si="4"/>
        <v>0.375</v>
      </c>
      <c r="AD5" s="3">
        <f t="shared" si="5"/>
        <v>5</v>
      </c>
      <c r="AE5" s="3">
        <f t="shared" si="6"/>
        <v>5</v>
      </c>
      <c r="AF5" s="3">
        <f t="shared" si="7"/>
        <v>5.2</v>
      </c>
      <c r="AG5" s="3">
        <f t="shared" si="8"/>
        <v>5.2</v>
      </c>
      <c r="AH5" s="3">
        <f t="shared" si="9"/>
        <v>5.4</v>
      </c>
      <c r="AI5" s="3">
        <f t="shared" si="10"/>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f t="shared" si="1"/>
        <v>0</v>
      </c>
      <c r="O6" s="2">
        <f t="shared" si="2"/>
        <v>0.375</v>
      </c>
      <c r="P6" s="2">
        <v>5</v>
      </c>
      <c r="Q6" s="2">
        <v>5</v>
      </c>
      <c r="R6" s="2">
        <v>5.2</v>
      </c>
      <c r="S6" s="2">
        <v>5.2</v>
      </c>
      <c r="T6" s="2">
        <v>5.4</v>
      </c>
      <c r="U6" s="2">
        <v>5.4</v>
      </c>
      <c r="V6" s="3">
        <v>5</v>
      </c>
      <c r="W6" s="3">
        <v>5</v>
      </c>
      <c r="X6" s="3">
        <v>100</v>
      </c>
      <c r="Y6" s="3">
        <v>0</v>
      </c>
      <c r="Z6" s="3">
        <v>0</v>
      </c>
      <c r="AA6" s="3">
        <f t="shared" si="3"/>
        <v>10</v>
      </c>
      <c r="AB6" s="3">
        <v>0</v>
      </c>
      <c r="AC6" s="3">
        <f t="shared" si="4"/>
        <v>0.375</v>
      </c>
      <c r="AD6" s="3">
        <f t="shared" si="5"/>
        <v>5</v>
      </c>
      <c r="AE6" s="3">
        <f t="shared" si="6"/>
        <v>5</v>
      </c>
      <c r="AF6" s="3">
        <f t="shared" si="7"/>
        <v>5.2</v>
      </c>
      <c r="AG6" s="3">
        <f t="shared" si="8"/>
        <v>5.2</v>
      </c>
      <c r="AH6" s="3">
        <f t="shared" si="9"/>
        <v>5.4</v>
      </c>
      <c r="AI6" s="3">
        <f t="shared" si="10"/>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f t="shared" si="1"/>
        <v>0</v>
      </c>
      <c r="O7" s="2">
        <f t="shared" si="2"/>
        <v>0.375</v>
      </c>
      <c r="P7" s="2">
        <v>5</v>
      </c>
      <c r="Q7" s="2">
        <v>5</v>
      </c>
      <c r="R7" s="2">
        <v>5.2</v>
      </c>
      <c r="S7" s="2">
        <v>5.2</v>
      </c>
      <c r="T7" s="2">
        <v>5.4</v>
      </c>
      <c r="U7" s="2">
        <v>5.4</v>
      </c>
      <c r="V7" s="3">
        <v>5</v>
      </c>
      <c r="W7" s="3">
        <v>5</v>
      </c>
      <c r="X7" s="3">
        <v>100</v>
      </c>
      <c r="Y7" s="3">
        <v>0</v>
      </c>
      <c r="Z7" s="3">
        <v>0</v>
      </c>
      <c r="AA7" s="3">
        <f t="shared" si="3"/>
        <v>10</v>
      </c>
      <c r="AB7" s="3">
        <v>0</v>
      </c>
      <c r="AC7" s="3">
        <f t="shared" si="4"/>
        <v>0.375</v>
      </c>
      <c r="AD7" s="3">
        <f t="shared" si="5"/>
        <v>5</v>
      </c>
      <c r="AE7" s="3">
        <f t="shared" si="6"/>
        <v>5</v>
      </c>
      <c r="AF7" s="3">
        <f t="shared" si="7"/>
        <v>5.2</v>
      </c>
      <c r="AG7" s="3">
        <f t="shared" si="8"/>
        <v>5.2</v>
      </c>
      <c r="AH7" s="3">
        <f t="shared" si="9"/>
        <v>5.4</v>
      </c>
      <c r="AI7" s="3">
        <f t="shared" si="10"/>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f t="shared" si="1"/>
        <v>0</v>
      </c>
      <c r="O8" s="2">
        <f t="shared" si="2"/>
        <v>0.375</v>
      </c>
      <c r="P8" s="2">
        <v>5</v>
      </c>
      <c r="Q8" s="2">
        <v>5</v>
      </c>
      <c r="R8" s="2">
        <v>5.2</v>
      </c>
      <c r="S8" s="2">
        <v>5.2</v>
      </c>
      <c r="T8" s="2">
        <v>5.4</v>
      </c>
      <c r="U8" s="2">
        <v>5.4</v>
      </c>
      <c r="V8" s="3">
        <v>5</v>
      </c>
      <c r="W8" s="3">
        <v>5</v>
      </c>
      <c r="X8" s="3">
        <v>100</v>
      </c>
      <c r="Y8" s="3">
        <v>0</v>
      </c>
      <c r="Z8" s="3">
        <v>0</v>
      </c>
      <c r="AA8" s="3">
        <f t="shared" si="3"/>
        <v>10</v>
      </c>
      <c r="AB8" s="3">
        <v>0</v>
      </c>
      <c r="AC8" s="3">
        <f t="shared" si="4"/>
        <v>0.375</v>
      </c>
      <c r="AD8" s="3">
        <f t="shared" si="5"/>
        <v>5</v>
      </c>
      <c r="AE8" s="3">
        <f t="shared" si="6"/>
        <v>5</v>
      </c>
      <c r="AF8" s="3">
        <f t="shared" si="7"/>
        <v>5.2</v>
      </c>
      <c r="AG8" s="3">
        <f t="shared" si="8"/>
        <v>5.2</v>
      </c>
      <c r="AH8" s="3">
        <f t="shared" si="9"/>
        <v>5.4</v>
      </c>
      <c r="AI8" s="3">
        <f t="shared" si="10"/>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f t="shared" si="1"/>
        <v>0</v>
      </c>
      <c r="O9" s="2">
        <f t="shared" si="2"/>
        <v>0.375</v>
      </c>
      <c r="P9" s="2">
        <v>5</v>
      </c>
      <c r="Q9" s="2">
        <v>5</v>
      </c>
      <c r="R9" s="2">
        <v>5.2</v>
      </c>
      <c r="S9" s="2">
        <v>5.2</v>
      </c>
      <c r="T9" s="2">
        <v>5.4</v>
      </c>
      <c r="U9" s="2">
        <v>5.4</v>
      </c>
      <c r="V9" s="3">
        <v>5</v>
      </c>
      <c r="W9" s="3">
        <v>5</v>
      </c>
      <c r="X9" s="3">
        <v>100</v>
      </c>
      <c r="Y9" s="3">
        <v>0</v>
      </c>
      <c r="Z9" s="3">
        <v>0</v>
      </c>
      <c r="AA9" s="3">
        <f t="shared" si="3"/>
        <v>10</v>
      </c>
      <c r="AB9" s="3">
        <v>0</v>
      </c>
      <c r="AC9" s="3">
        <f t="shared" si="4"/>
        <v>0.375</v>
      </c>
      <c r="AD9" s="3">
        <f t="shared" si="5"/>
        <v>5</v>
      </c>
      <c r="AE9" s="3">
        <f t="shared" si="6"/>
        <v>5</v>
      </c>
      <c r="AF9" s="3">
        <f t="shared" si="7"/>
        <v>5.2</v>
      </c>
      <c r="AG9" s="3">
        <f t="shared" si="8"/>
        <v>5.2</v>
      </c>
      <c r="AH9" s="3">
        <f t="shared" si="9"/>
        <v>5.4</v>
      </c>
      <c r="AI9" s="3">
        <f t="shared" si="10"/>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f t="shared" si="1"/>
        <v>0</v>
      </c>
      <c r="O10" s="2">
        <f t="shared" si="2"/>
        <v>0.375</v>
      </c>
      <c r="P10" s="2">
        <v>5</v>
      </c>
      <c r="Q10" s="2">
        <v>5</v>
      </c>
      <c r="R10" s="2">
        <v>5.2</v>
      </c>
      <c r="S10" s="2">
        <v>5.2</v>
      </c>
      <c r="T10" s="2">
        <v>5.4</v>
      </c>
      <c r="U10" s="2">
        <v>5.4</v>
      </c>
      <c r="V10" s="3">
        <v>5</v>
      </c>
      <c r="W10" s="3">
        <v>5</v>
      </c>
      <c r="X10" s="3">
        <v>100</v>
      </c>
      <c r="Y10" s="3">
        <v>0</v>
      </c>
      <c r="Z10" s="3">
        <v>0</v>
      </c>
      <c r="AA10" s="3">
        <f t="shared" si="3"/>
        <v>10</v>
      </c>
      <c r="AB10" s="3">
        <v>0</v>
      </c>
      <c r="AC10" s="3">
        <f t="shared" si="4"/>
        <v>0.375</v>
      </c>
      <c r="AD10" s="3">
        <f t="shared" si="5"/>
        <v>5</v>
      </c>
      <c r="AE10" s="3">
        <f t="shared" si="6"/>
        <v>5</v>
      </c>
      <c r="AF10" s="3">
        <f t="shared" si="7"/>
        <v>5.2</v>
      </c>
      <c r="AG10" s="3">
        <f t="shared" si="8"/>
        <v>5.2</v>
      </c>
      <c r="AH10" s="3">
        <f t="shared" si="9"/>
        <v>5.4</v>
      </c>
      <c r="AI10" s="3">
        <f t="shared" si="10"/>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f t="shared" si="1"/>
        <v>0</v>
      </c>
      <c r="O11" s="2">
        <f t="shared" si="2"/>
        <v>0.375</v>
      </c>
      <c r="P11" s="2">
        <v>5</v>
      </c>
      <c r="Q11" s="2">
        <v>5</v>
      </c>
      <c r="R11" s="2">
        <v>5.2</v>
      </c>
      <c r="S11" s="2">
        <v>5.2</v>
      </c>
      <c r="T11" s="2">
        <v>5.4</v>
      </c>
      <c r="U11" s="2">
        <v>5.4</v>
      </c>
      <c r="V11" s="3">
        <v>5</v>
      </c>
      <c r="W11" s="3">
        <v>5</v>
      </c>
      <c r="X11" s="3">
        <v>100</v>
      </c>
      <c r="Y11" s="3">
        <v>0</v>
      </c>
      <c r="Z11" s="3">
        <v>0</v>
      </c>
      <c r="AA11" s="3">
        <f t="shared" si="3"/>
        <v>10</v>
      </c>
      <c r="AB11" s="3">
        <v>0</v>
      </c>
      <c r="AC11" s="3">
        <f t="shared" si="4"/>
        <v>0.375</v>
      </c>
      <c r="AD11" s="3">
        <f t="shared" si="5"/>
        <v>5</v>
      </c>
      <c r="AE11" s="3">
        <f t="shared" si="6"/>
        <v>5</v>
      </c>
      <c r="AF11" s="3">
        <f t="shared" si="7"/>
        <v>5.2</v>
      </c>
      <c r="AG11" s="3">
        <f t="shared" si="8"/>
        <v>5.2</v>
      </c>
      <c r="AH11" s="3">
        <f t="shared" si="9"/>
        <v>5.4</v>
      </c>
      <c r="AI11" s="3">
        <f t="shared" si="10"/>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f t="shared" si="1"/>
        <v>0</v>
      </c>
      <c r="O12" s="2">
        <f t="shared" si="2"/>
        <v>0.375</v>
      </c>
      <c r="P12" s="2">
        <v>5</v>
      </c>
      <c r="Q12" s="2">
        <v>5</v>
      </c>
      <c r="R12" s="2">
        <v>5.2</v>
      </c>
      <c r="S12" s="2">
        <v>5.2</v>
      </c>
      <c r="T12" s="2">
        <v>5.4</v>
      </c>
      <c r="U12" s="2">
        <v>5.4</v>
      </c>
      <c r="V12" s="3">
        <v>5</v>
      </c>
      <c r="W12" s="3">
        <v>5</v>
      </c>
      <c r="X12" s="3">
        <v>100</v>
      </c>
      <c r="Y12" s="3">
        <v>0</v>
      </c>
      <c r="Z12" s="3">
        <v>0</v>
      </c>
      <c r="AA12" s="3">
        <f t="shared" si="3"/>
        <v>10</v>
      </c>
      <c r="AB12" s="3">
        <v>0</v>
      </c>
      <c r="AC12" s="3">
        <f t="shared" si="4"/>
        <v>0.375</v>
      </c>
      <c r="AD12" s="3">
        <f t="shared" si="5"/>
        <v>5</v>
      </c>
      <c r="AE12" s="3">
        <f t="shared" si="6"/>
        <v>5</v>
      </c>
      <c r="AF12" s="3">
        <f t="shared" si="7"/>
        <v>5.2</v>
      </c>
      <c r="AG12" s="3">
        <f t="shared" si="8"/>
        <v>5.2</v>
      </c>
      <c r="AH12" s="3">
        <f t="shared" si="9"/>
        <v>5.4</v>
      </c>
      <c r="AI12" s="3">
        <f t="shared" si="10"/>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f t="shared" si="1"/>
        <v>0</v>
      </c>
      <c r="O13" s="2">
        <f t="shared" si="2"/>
        <v>0.375</v>
      </c>
      <c r="P13" s="2">
        <v>5</v>
      </c>
      <c r="Q13" s="2">
        <v>5</v>
      </c>
      <c r="R13" s="2">
        <v>5.2</v>
      </c>
      <c r="S13" s="2">
        <v>5.2</v>
      </c>
      <c r="T13" s="2">
        <v>5.4</v>
      </c>
      <c r="U13" s="2">
        <v>5.4</v>
      </c>
      <c r="V13" s="3">
        <v>5</v>
      </c>
      <c r="W13" s="3">
        <v>5</v>
      </c>
      <c r="X13" s="3">
        <v>100</v>
      </c>
      <c r="Y13" s="3">
        <v>0</v>
      </c>
      <c r="Z13" s="3">
        <v>0</v>
      </c>
      <c r="AA13" s="3">
        <f t="shared" si="3"/>
        <v>10</v>
      </c>
      <c r="AB13" s="3">
        <v>0</v>
      </c>
      <c r="AC13" s="3">
        <f t="shared" si="4"/>
        <v>0.375</v>
      </c>
      <c r="AD13" s="3">
        <f t="shared" si="5"/>
        <v>5</v>
      </c>
      <c r="AE13" s="3">
        <f t="shared" si="6"/>
        <v>5</v>
      </c>
      <c r="AF13" s="3">
        <f t="shared" si="7"/>
        <v>5.2</v>
      </c>
      <c r="AG13" s="3">
        <f t="shared" si="8"/>
        <v>5.2</v>
      </c>
      <c r="AH13" s="3">
        <f t="shared" si="9"/>
        <v>5.4</v>
      </c>
      <c r="AI13" s="3">
        <f t="shared" si="10"/>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f t="shared" si="1"/>
        <v>0</v>
      </c>
      <c r="O14" s="2">
        <f t="shared" si="2"/>
        <v>0.375</v>
      </c>
      <c r="P14" s="2">
        <v>5</v>
      </c>
      <c r="Q14" s="2">
        <v>5</v>
      </c>
      <c r="R14" s="2">
        <v>5.2</v>
      </c>
      <c r="S14" s="2">
        <v>5.2</v>
      </c>
      <c r="T14" s="2">
        <v>5.4</v>
      </c>
      <c r="U14" s="2">
        <v>5.4</v>
      </c>
      <c r="V14" s="3">
        <v>5</v>
      </c>
      <c r="W14" s="3">
        <v>5</v>
      </c>
      <c r="X14" s="3">
        <v>100</v>
      </c>
      <c r="Y14" s="3">
        <v>0</v>
      </c>
      <c r="Z14" s="3">
        <v>0</v>
      </c>
      <c r="AA14" s="3">
        <f t="shared" si="3"/>
        <v>10</v>
      </c>
      <c r="AB14" s="3">
        <v>0</v>
      </c>
      <c r="AC14" s="3">
        <f t="shared" si="4"/>
        <v>0.375</v>
      </c>
      <c r="AD14" s="3">
        <f t="shared" si="5"/>
        <v>5</v>
      </c>
      <c r="AE14" s="3">
        <f t="shared" si="6"/>
        <v>5</v>
      </c>
      <c r="AF14" s="3">
        <f t="shared" si="7"/>
        <v>5.2</v>
      </c>
      <c r="AG14" s="3">
        <f t="shared" si="8"/>
        <v>5.2</v>
      </c>
      <c r="AH14" s="3">
        <f t="shared" si="9"/>
        <v>5.4</v>
      </c>
      <c r="AI14" s="3">
        <f t="shared" si="10"/>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f t="shared" si="1"/>
        <v>0</v>
      </c>
      <c r="O15" s="2">
        <f t="shared" si="2"/>
        <v>0.375</v>
      </c>
      <c r="P15" s="2">
        <v>5</v>
      </c>
      <c r="Q15" s="2">
        <v>5</v>
      </c>
      <c r="R15" s="2">
        <v>5.2</v>
      </c>
      <c r="S15" s="2">
        <v>5.2</v>
      </c>
      <c r="T15" s="2">
        <v>5.4</v>
      </c>
      <c r="U15" s="2">
        <v>5.4</v>
      </c>
      <c r="V15" s="3">
        <v>5</v>
      </c>
      <c r="W15" s="3">
        <v>5</v>
      </c>
      <c r="X15" s="3">
        <v>100</v>
      </c>
      <c r="Y15" s="3">
        <v>0</v>
      </c>
      <c r="Z15" s="3">
        <v>0</v>
      </c>
      <c r="AA15" s="3">
        <f t="shared" si="3"/>
        <v>10</v>
      </c>
      <c r="AB15" s="3">
        <v>0</v>
      </c>
      <c r="AC15" s="3">
        <f t="shared" si="4"/>
        <v>0.375</v>
      </c>
      <c r="AD15" s="3">
        <f t="shared" si="5"/>
        <v>5</v>
      </c>
      <c r="AE15" s="3">
        <f t="shared" si="6"/>
        <v>5</v>
      </c>
      <c r="AF15" s="3">
        <f t="shared" si="7"/>
        <v>5.2</v>
      </c>
      <c r="AG15" s="3">
        <f t="shared" si="8"/>
        <v>5.2</v>
      </c>
      <c r="AH15" s="3">
        <f t="shared" si="9"/>
        <v>5.4</v>
      </c>
      <c r="AI15" s="3">
        <f t="shared" si="10"/>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f t="shared" si="1"/>
        <v>0</v>
      </c>
      <c r="O16" s="2">
        <f t="shared" si="2"/>
        <v>0.375</v>
      </c>
      <c r="P16" s="2">
        <v>5</v>
      </c>
      <c r="Q16" s="2">
        <v>5</v>
      </c>
      <c r="R16" s="2">
        <v>5.2</v>
      </c>
      <c r="S16" s="2">
        <v>5.2</v>
      </c>
      <c r="T16" s="2">
        <v>5.4</v>
      </c>
      <c r="U16" s="2">
        <v>5.4</v>
      </c>
      <c r="V16" s="3">
        <v>5</v>
      </c>
      <c r="W16" s="3">
        <v>5</v>
      </c>
      <c r="X16" s="3">
        <v>100</v>
      </c>
      <c r="Y16" s="3">
        <v>0</v>
      </c>
      <c r="Z16" s="3">
        <v>0</v>
      </c>
      <c r="AA16" s="3">
        <f t="shared" si="3"/>
        <v>10</v>
      </c>
      <c r="AB16" s="3">
        <v>0</v>
      </c>
      <c r="AC16" s="3">
        <f t="shared" si="4"/>
        <v>0.375</v>
      </c>
      <c r="AD16" s="3">
        <f t="shared" si="5"/>
        <v>5</v>
      </c>
      <c r="AE16" s="3">
        <f t="shared" si="6"/>
        <v>5</v>
      </c>
      <c r="AF16" s="3">
        <f t="shared" si="7"/>
        <v>5.2</v>
      </c>
      <c r="AG16" s="3">
        <f t="shared" si="8"/>
        <v>5.2</v>
      </c>
      <c r="AH16" s="3">
        <f t="shared" si="9"/>
        <v>5.4</v>
      </c>
      <c r="AI16" s="3">
        <f t="shared" si="10"/>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f t="shared" si="1"/>
        <v>0</v>
      </c>
      <c r="O17" s="2">
        <f t="shared" si="2"/>
        <v>0.375</v>
      </c>
      <c r="P17" s="2">
        <v>5</v>
      </c>
      <c r="Q17" s="2">
        <v>5</v>
      </c>
      <c r="R17" s="2">
        <v>5.2</v>
      </c>
      <c r="S17" s="2">
        <v>5.2</v>
      </c>
      <c r="T17" s="2">
        <v>5.4</v>
      </c>
      <c r="U17" s="2">
        <v>5.4</v>
      </c>
      <c r="V17" s="3">
        <v>5</v>
      </c>
      <c r="W17" s="3">
        <v>5</v>
      </c>
      <c r="X17" s="3">
        <v>100</v>
      </c>
      <c r="Y17" s="3">
        <v>0</v>
      </c>
      <c r="Z17" s="3">
        <v>0</v>
      </c>
      <c r="AA17" s="3">
        <f t="shared" si="3"/>
        <v>10</v>
      </c>
      <c r="AB17" s="3">
        <v>0</v>
      </c>
      <c r="AC17" s="3">
        <f t="shared" si="4"/>
        <v>0.375</v>
      </c>
      <c r="AD17" s="3">
        <f t="shared" si="5"/>
        <v>5</v>
      </c>
      <c r="AE17" s="3">
        <f t="shared" si="6"/>
        <v>5</v>
      </c>
      <c r="AF17" s="3">
        <f t="shared" si="7"/>
        <v>5.2</v>
      </c>
      <c r="AG17" s="3">
        <f t="shared" si="8"/>
        <v>5.2</v>
      </c>
      <c r="AH17" s="3">
        <f t="shared" si="9"/>
        <v>5.4</v>
      </c>
      <c r="AI17" s="3">
        <f t="shared" si="10"/>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f t="shared" si="1"/>
        <v>0</v>
      </c>
      <c r="O18" s="2">
        <f t="shared" si="2"/>
        <v>0.375</v>
      </c>
      <c r="P18" s="2">
        <v>5</v>
      </c>
      <c r="Q18" s="2">
        <v>5</v>
      </c>
      <c r="R18" s="2">
        <v>5.2</v>
      </c>
      <c r="S18" s="2">
        <v>5.2</v>
      </c>
      <c r="T18" s="2">
        <v>5.4</v>
      </c>
      <c r="U18" s="2">
        <v>5.4</v>
      </c>
      <c r="V18" s="3">
        <v>5</v>
      </c>
      <c r="W18" s="3">
        <v>5</v>
      </c>
      <c r="X18" s="3">
        <v>100</v>
      </c>
      <c r="Y18" s="3">
        <v>0</v>
      </c>
      <c r="Z18" s="3">
        <v>0</v>
      </c>
      <c r="AA18" s="3">
        <f t="shared" si="3"/>
        <v>10</v>
      </c>
      <c r="AB18" s="3">
        <v>0</v>
      </c>
      <c r="AC18" s="3">
        <f t="shared" si="4"/>
        <v>0.375</v>
      </c>
      <c r="AD18" s="3">
        <f t="shared" si="5"/>
        <v>5</v>
      </c>
      <c r="AE18" s="3">
        <f t="shared" si="6"/>
        <v>5</v>
      </c>
      <c r="AF18" s="3">
        <f t="shared" si="7"/>
        <v>5.2</v>
      </c>
      <c r="AG18" s="3">
        <f t="shared" si="8"/>
        <v>5.2</v>
      </c>
      <c r="AH18" s="3">
        <f t="shared" si="9"/>
        <v>5.4</v>
      </c>
      <c r="AI18" s="3">
        <f t="shared" si="10"/>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f t="shared" si="1"/>
        <v>3000</v>
      </c>
      <c r="O19" s="2">
        <f t="shared" si="2"/>
        <v>0.374</v>
      </c>
      <c r="P19" s="2">
        <v>5</v>
      </c>
      <c r="Q19" s="2">
        <v>5</v>
      </c>
      <c r="R19" s="2">
        <v>5.2</v>
      </c>
      <c r="S19" s="2">
        <v>5.2</v>
      </c>
      <c r="T19" s="2">
        <v>5.4</v>
      </c>
      <c r="U19" s="2">
        <v>5.4</v>
      </c>
      <c r="V19" s="3">
        <v>5</v>
      </c>
      <c r="W19" s="3">
        <v>5</v>
      </c>
      <c r="X19" s="3">
        <v>100</v>
      </c>
      <c r="Y19" s="3">
        <v>0</v>
      </c>
      <c r="Z19" s="3">
        <v>0</v>
      </c>
      <c r="AA19" s="3">
        <f t="shared" si="3"/>
        <v>10</v>
      </c>
      <c r="AB19" s="3">
        <v>0</v>
      </c>
      <c r="AC19" s="3">
        <f t="shared" si="4"/>
        <v>0.374</v>
      </c>
      <c r="AD19" s="3">
        <f t="shared" si="5"/>
        <v>5</v>
      </c>
      <c r="AE19" s="3">
        <f t="shared" si="6"/>
        <v>5</v>
      </c>
      <c r="AF19" s="3">
        <f t="shared" si="7"/>
        <v>5.2</v>
      </c>
      <c r="AG19" s="3">
        <f t="shared" si="8"/>
        <v>5.2</v>
      </c>
      <c r="AH19" s="3">
        <f t="shared" si="9"/>
        <v>5.4</v>
      </c>
      <c r="AI19" s="3">
        <f t="shared" si="10"/>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f t="shared" si="1"/>
        <v>3000</v>
      </c>
      <c r="O20" s="2">
        <f t="shared" si="2"/>
        <v>0.374</v>
      </c>
      <c r="P20" s="2">
        <v>5</v>
      </c>
      <c r="Q20" s="2">
        <v>5</v>
      </c>
      <c r="R20" s="2">
        <v>5.2</v>
      </c>
      <c r="S20" s="2">
        <v>5.2</v>
      </c>
      <c r="T20" s="2">
        <v>5.4</v>
      </c>
      <c r="U20" s="2">
        <v>5.4</v>
      </c>
      <c r="V20" s="3">
        <v>5</v>
      </c>
      <c r="W20" s="3">
        <v>5</v>
      </c>
      <c r="X20" s="3">
        <v>100</v>
      </c>
      <c r="Y20" s="3">
        <v>0</v>
      </c>
      <c r="Z20" s="3">
        <v>0</v>
      </c>
      <c r="AA20" s="3">
        <f t="shared" si="3"/>
        <v>10</v>
      </c>
      <c r="AB20" s="3">
        <v>0</v>
      </c>
      <c r="AC20" s="3">
        <f t="shared" si="4"/>
        <v>0.374</v>
      </c>
      <c r="AD20" s="3">
        <f t="shared" si="5"/>
        <v>5</v>
      </c>
      <c r="AE20" s="3">
        <f t="shared" si="6"/>
        <v>5</v>
      </c>
      <c r="AF20" s="3">
        <f t="shared" si="7"/>
        <v>5.2</v>
      </c>
      <c r="AG20" s="3">
        <f t="shared" si="8"/>
        <v>5.2</v>
      </c>
      <c r="AH20" s="3">
        <f t="shared" si="9"/>
        <v>5.4</v>
      </c>
      <c r="AI20" s="3">
        <f t="shared" si="10"/>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f t="shared" si="1"/>
        <v>0</v>
      </c>
      <c r="O21" s="2">
        <f t="shared" si="2"/>
        <v>0.375</v>
      </c>
      <c r="P21" s="2">
        <v>5</v>
      </c>
      <c r="Q21" s="2">
        <v>5</v>
      </c>
      <c r="R21" s="2">
        <v>5.2</v>
      </c>
      <c r="S21" s="2">
        <v>5.2</v>
      </c>
      <c r="T21" s="2">
        <v>5.4</v>
      </c>
      <c r="U21" s="2">
        <v>5.4</v>
      </c>
      <c r="V21" s="3">
        <v>5</v>
      </c>
      <c r="W21" s="3">
        <v>5</v>
      </c>
      <c r="X21" s="3">
        <v>100</v>
      </c>
      <c r="Y21" s="3">
        <v>0</v>
      </c>
      <c r="Z21" s="3">
        <v>0</v>
      </c>
      <c r="AA21" s="3">
        <f t="shared" si="3"/>
        <v>10</v>
      </c>
      <c r="AB21" s="3">
        <v>0</v>
      </c>
      <c r="AC21" s="3">
        <f t="shared" si="4"/>
        <v>0.375</v>
      </c>
      <c r="AD21" s="3">
        <f t="shared" si="5"/>
        <v>5</v>
      </c>
      <c r="AE21" s="3">
        <f t="shared" si="6"/>
        <v>5</v>
      </c>
      <c r="AF21" s="3">
        <f t="shared" si="7"/>
        <v>5.2</v>
      </c>
      <c r="AG21" s="3">
        <f t="shared" si="8"/>
        <v>5.2</v>
      </c>
      <c r="AH21" s="3">
        <f t="shared" si="9"/>
        <v>5.4</v>
      </c>
      <c r="AI21" s="3">
        <f t="shared" si="10"/>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f t="shared" si="1"/>
        <v>0</v>
      </c>
      <c r="O22" s="2">
        <f t="shared" si="2"/>
        <v>0.375</v>
      </c>
      <c r="P22" s="2">
        <v>5</v>
      </c>
      <c r="Q22" s="2">
        <v>5</v>
      </c>
      <c r="R22" s="2">
        <v>5.2</v>
      </c>
      <c r="S22" s="2">
        <v>5.2</v>
      </c>
      <c r="T22" s="2">
        <v>5.4</v>
      </c>
      <c r="U22" s="2">
        <v>5.4</v>
      </c>
      <c r="V22" s="3">
        <v>5</v>
      </c>
      <c r="W22" s="3">
        <v>5</v>
      </c>
      <c r="X22" s="3">
        <v>100</v>
      </c>
      <c r="Y22" s="3">
        <v>0</v>
      </c>
      <c r="Z22" s="3">
        <v>0</v>
      </c>
      <c r="AA22" s="3">
        <f t="shared" si="3"/>
        <v>10</v>
      </c>
      <c r="AB22" s="3">
        <v>0</v>
      </c>
      <c r="AC22" s="3">
        <f t="shared" si="4"/>
        <v>0.375</v>
      </c>
      <c r="AD22" s="3">
        <f t="shared" si="5"/>
        <v>5</v>
      </c>
      <c r="AE22" s="3">
        <f t="shared" si="6"/>
        <v>5</v>
      </c>
      <c r="AF22" s="3">
        <f t="shared" si="7"/>
        <v>5.2</v>
      </c>
      <c r="AG22" s="3">
        <f t="shared" si="8"/>
        <v>5.2</v>
      </c>
      <c r="AH22" s="3">
        <f t="shared" si="9"/>
        <v>5.4</v>
      </c>
      <c r="AI22" s="3">
        <f t="shared" si="10"/>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f t="shared" si="1"/>
        <v>3000</v>
      </c>
      <c r="O23" s="2">
        <f t="shared" si="2"/>
        <v>0.374</v>
      </c>
      <c r="P23" s="2">
        <v>5</v>
      </c>
      <c r="Q23" s="2">
        <v>5</v>
      </c>
      <c r="R23" s="2">
        <v>5.2</v>
      </c>
      <c r="S23" s="2">
        <v>5.2</v>
      </c>
      <c r="T23" s="2">
        <v>5.4</v>
      </c>
      <c r="U23" s="2">
        <v>5.4</v>
      </c>
      <c r="V23" s="3">
        <v>5</v>
      </c>
      <c r="W23" s="3">
        <v>5</v>
      </c>
      <c r="X23" s="3">
        <v>100</v>
      </c>
      <c r="Y23" s="3">
        <v>0</v>
      </c>
      <c r="Z23" s="3">
        <v>0</v>
      </c>
      <c r="AA23" s="3">
        <f t="shared" si="3"/>
        <v>10</v>
      </c>
      <c r="AB23" s="3">
        <v>0</v>
      </c>
      <c r="AC23" s="3">
        <f t="shared" si="4"/>
        <v>0.374</v>
      </c>
      <c r="AD23" s="3">
        <f t="shared" si="5"/>
        <v>5</v>
      </c>
      <c r="AE23" s="3">
        <f t="shared" si="6"/>
        <v>5</v>
      </c>
      <c r="AF23" s="3">
        <f t="shared" si="7"/>
        <v>5.2</v>
      </c>
      <c r="AG23" s="3">
        <f t="shared" si="8"/>
        <v>5.2</v>
      </c>
      <c r="AH23" s="3">
        <f t="shared" si="9"/>
        <v>5.4</v>
      </c>
      <c r="AI23" s="3">
        <f t="shared" si="10"/>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f t="shared" si="1"/>
        <v>3000</v>
      </c>
      <c r="O24" s="2">
        <f t="shared" si="2"/>
        <v>0.374</v>
      </c>
      <c r="P24" s="2">
        <v>5</v>
      </c>
      <c r="Q24" s="2">
        <v>5</v>
      </c>
      <c r="R24" s="2">
        <v>5.2</v>
      </c>
      <c r="S24" s="2">
        <v>5.2</v>
      </c>
      <c r="T24" s="2">
        <v>5.4</v>
      </c>
      <c r="U24" s="2">
        <v>5.4</v>
      </c>
      <c r="V24" s="3">
        <v>5</v>
      </c>
      <c r="W24" s="3">
        <v>5</v>
      </c>
      <c r="X24" s="3">
        <v>100</v>
      </c>
      <c r="Y24" s="3">
        <v>0</v>
      </c>
      <c r="Z24" s="3">
        <v>0</v>
      </c>
      <c r="AA24" s="3">
        <f t="shared" si="3"/>
        <v>10</v>
      </c>
      <c r="AB24" s="3">
        <v>0</v>
      </c>
      <c r="AC24" s="3">
        <f t="shared" si="4"/>
        <v>0.374</v>
      </c>
      <c r="AD24" s="3">
        <f t="shared" si="5"/>
        <v>5</v>
      </c>
      <c r="AE24" s="3">
        <f t="shared" si="6"/>
        <v>5</v>
      </c>
      <c r="AF24" s="3">
        <f t="shared" si="7"/>
        <v>5.2</v>
      </c>
      <c r="AG24" s="3">
        <f t="shared" si="8"/>
        <v>5.2</v>
      </c>
      <c r="AH24" s="3">
        <f t="shared" si="9"/>
        <v>5.4</v>
      </c>
      <c r="AI24" s="3">
        <f t="shared" si="10"/>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f t="shared" si="1"/>
        <v>0</v>
      </c>
      <c r="O25" s="2">
        <f t="shared" si="2"/>
        <v>0.375</v>
      </c>
      <c r="P25" s="2">
        <v>5</v>
      </c>
      <c r="Q25" s="2">
        <v>5</v>
      </c>
      <c r="R25" s="2">
        <v>5.2</v>
      </c>
      <c r="S25" s="2">
        <v>5.2</v>
      </c>
      <c r="T25" s="2">
        <v>5.4</v>
      </c>
      <c r="U25" s="2">
        <v>5.4</v>
      </c>
      <c r="V25" s="3">
        <v>5</v>
      </c>
      <c r="W25" s="3">
        <v>5</v>
      </c>
      <c r="X25" s="3">
        <v>100</v>
      </c>
      <c r="Y25" s="3">
        <v>0</v>
      </c>
      <c r="Z25" s="3">
        <v>0</v>
      </c>
      <c r="AA25" s="3">
        <f t="shared" si="3"/>
        <v>10</v>
      </c>
      <c r="AB25" s="3">
        <v>0</v>
      </c>
      <c r="AC25" s="3">
        <f t="shared" si="4"/>
        <v>0.375</v>
      </c>
      <c r="AD25" s="3">
        <f t="shared" si="5"/>
        <v>5</v>
      </c>
      <c r="AE25" s="3">
        <f t="shared" si="6"/>
        <v>5</v>
      </c>
      <c r="AF25" s="3">
        <f t="shared" si="7"/>
        <v>5.2</v>
      </c>
      <c r="AG25" s="3">
        <f t="shared" si="8"/>
        <v>5.2</v>
      </c>
      <c r="AH25" s="3">
        <f t="shared" si="9"/>
        <v>5.4</v>
      </c>
      <c r="AI25" s="3">
        <f t="shared" si="10"/>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f t="shared" si="1"/>
        <v>0</v>
      </c>
      <c r="O26" s="2">
        <f t="shared" si="2"/>
        <v>0.375</v>
      </c>
      <c r="P26" s="2">
        <v>5</v>
      </c>
      <c r="Q26" s="2">
        <v>5</v>
      </c>
      <c r="R26" s="2">
        <v>5.2</v>
      </c>
      <c r="S26" s="2">
        <v>5.2</v>
      </c>
      <c r="T26" s="2">
        <v>5.4</v>
      </c>
      <c r="U26" s="2">
        <v>5.4</v>
      </c>
      <c r="V26" s="3">
        <v>5</v>
      </c>
      <c r="W26" s="3">
        <v>5</v>
      </c>
      <c r="X26" s="3">
        <v>100</v>
      </c>
      <c r="Y26" s="3">
        <v>0</v>
      </c>
      <c r="Z26" s="3">
        <v>0</v>
      </c>
      <c r="AA26" s="3">
        <f t="shared" si="3"/>
        <v>10</v>
      </c>
      <c r="AB26" s="3">
        <v>0</v>
      </c>
      <c r="AC26" s="3">
        <f t="shared" si="4"/>
        <v>0.375</v>
      </c>
      <c r="AD26" s="3">
        <f t="shared" si="5"/>
        <v>5</v>
      </c>
      <c r="AE26" s="3">
        <f t="shared" si="6"/>
        <v>5</v>
      </c>
      <c r="AF26" s="3">
        <f t="shared" si="7"/>
        <v>5.2</v>
      </c>
      <c r="AG26" s="3">
        <f t="shared" si="8"/>
        <v>5.2</v>
      </c>
      <c r="AH26" s="3">
        <f t="shared" si="9"/>
        <v>5.4</v>
      </c>
      <c r="AI26" s="3">
        <f t="shared" si="10"/>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f t="shared" si="1"/>
        <v>0</v>
      </c>
      <c r="O27" s="2">
        <f t="shared" si="2"/>
        <v>0.375</v>
      </c>
      <c r="P27" s="2">
        <v>5</v>
      </c>
      <c r="Q27" s="2">
        <v>5</v>
      </c>
      <c r="R27" s="2">
        <v>5.2</v>
      </c>
      <c r="S27" s="2">
        <v>5.2</v>
      </c>
      <c r="T27" s="2">
        <v>5.4</v>
      </c>
      <c r="U27" s="2">
        <v>5.4</v>
      </c>
      <c r="V27" s="3">
        <v>5</v>
      </c>
      <c r="W27" s="3">
        <v>5</v>
      </c>
      <c r="X27" s="3">
        <v>100</v>
      </c>
      <c r="Y27" s="3">
        <v>0</v>
      </c>
      <c r="Z27" s="3">
        <v>0</v>
      </c>
      <c r="AA27" s="3">
        <f t="shared" si="3"/>
        <v>10</v>
      </c>
      <c r="AB27" s="3">
        <v>0</v>
      </c>
      <c r="AC27" s="3">
        <f t="shared" si="4"/>
        <v>0.375</v>
      </c>
      <c r="AD27" s="3">
        <f t="shared" si="5"/>
        <v>5</v>
      </c>
      <c r="AE27" s="3">
        <f t="shared" si="6"/>
        <v>5</v>
      </c>
      <c r="AF27" s="3">
        <f t="shared" si="7"/>
        <v>5.2</v>
      </c>
      <c r="AG27" s="3">
        <f t="shared" si="8"/>
        <v>5.2</v>
      </c>
      <c r="AH27" s="3">
        <f t="shared" si="9"/>
        <v>5.4</v>
      </c>
      <c r="AI27" s="3">
        <f t="shared" si="10"/>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f t="shared" si="1"/>
        <v>0</v>
      </c>
      <c r="O28" s="2">
        <f t="shared" si="2"/>
        <v>0.375</v>
      </c>
      <c r="P28" s="2">
        <v>5</v>
      </c>
      <c r="Q28" s="2">
        <v>5</v>
      </c>
      <c r="R28" s="2">
        <v>5.2</v>
      </c>
      <c r="S28" s="2">
        <v>5.2</v>
      </c>
      <c r="T28" s="2">
        <v>5.4</v>
      </c>
      <c r="U28" s="2">
        <v>5.4</v>
      </c>
      <c r="V28" s="3">
        <v>5</v>
      </c>
      <c r="W28" s="3">
        <v>5</v>
      </c>
      <c r="X28" s="3">
        <v>100</v>
      </c>
      <c r="Y28" s="3">
        <v>0</v>
      </c>
      <c r="Z28" s="3">
        <v>0</v>
      </c>
      <c r="AA28" s="3">
        <f t="shared" si="3"/>
        <v>10</v>
      </c>
      <c r="AB28" s="3">
        <v>0</v>
      </c>
      <c r="AC28" s="3">
        <f t="shared" si="4"/>
        <v>0.375</v>
      </c>
      <c r="AD28" s="3">
        <f t="shared" si="5"/>
        <v>5</v>
      </c>
      <c r="AE28" s="3">
        <f t="shared" si="6"/>
        <v>5</v>
      </c>
      <c r="AF28" s="3">
        <f t="shared" si="7"/>
        <v>5.2</v>
      </c>
      <c r="AG28" s="3">
        <f t="shared" si="8"/>
        <v>5.2</v>
      </c>
      <c r="AH28" s="3">
        <f t="shared" si="9"/>
        <v>5.4</v>
      </c>
      <c r="AI28" s="3">
        <f t="shared" si="10"/>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f t="shared" si="1"/>
        <v>0</v>
      </c>
      <c r="O29" s="2">
        <f t="shared" si="2"/>
        <v>0.375</v>
      </c>
      <c r="P29" s="2">
        <v>5</v>
      </c>
      <c r="Q29" s="2">
        <v>5</v>
      </c>
      <c r="R29" s="2">
        <v>5.2</v>
      </c>
      <c r="S29" s="2">
        <v>5.2</v>
      </c>
      <c r="T29" s="2">
        <v>5.4</v>
      </c>
      <c r="U29" s="2">
        <v>5.4</v>
      </c>
      <c r="V29" s="3">
        <v>5</v>
      </c>
      <c r="W29" s="3">
        <v>5</v>
      </c>
      <c r="X29" s="3">
        <v>100</v>
      </c>
      <c r="Y29" s="3">
        <v>0</v>
      </c>
      <c r="Z29" s="3">
        <v>0</v>
      </c>
      <c r="AA29" s="3">
        <f t="shared" si="3"/>
        <v>10</v>
      </c>
      <c r="AB29" s="3">
        <v>0</v>
      </c>
      <c r="AC29" s="3">
        <f t="shared" si="4"/>
        <v>0.375</v>
      </c>
      <c r="AD29" s="3">
        <f t="shared" si="5"/>
        <v>5</v>
      </c>
      <c r="AE29" s="3">
        <f t="shared" si="6"/>
        <v>5</v>
      </c>
      <c r="AF29" s="3">
        <f t="shared" si="7"/>
        <v>5.2</v>
      </c>
      <c r="AG29" s="3">
        <f t="shared" si="8"/>
        <v>5.2</v>
      </c>
      <c r="AH29" s="3">
        <f t="shared" si="9"/>
        <v>5.4</v>
      </c>
      <c r="AI29" s="3">
        <f t="shared" si="10"/>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f t="shared" si="1"/>
        <v>0</v>
      </c>
      <c r="O30" s="2">
        <f t="shared" si="2"/>
        <v>0.375</v>
      </c>
      <c r="P30" s="2">
        <v>5</v>
      </c>
      <c r="Q30" s="2">
        <v>5</v>
      </c>
      <c r="R30" s="2">
        <v>5.2</v>
      </c>
      <c r="S30" s="2">
        <v>5.2</v>
      </c>
      <c r="T30" s="2">
        <v>5.4</v>
      </c>
      <c r="U30" s="2">
        <v>5.4</v>
      </c>
      <c r="V30" s="3">
        <v>5</v>
      </c>
      <c r="W30" s="3">
        <v>5</v>
      </c>
      <c r="X30" s="3">
        <v>100</v>
      </c>
      <c r="Y30" s="3">
        <v>0</v>
      </c>
      <c r="Z30" s="3">
        <v>0</v>
      </c>
      <c r="AA30" s="3">
        <f t="shared" si="3"/>
        <v>10</v>
      </c>
      <c r="AB30" s="3">
        <v>0</v>
      </c>
      <c r="AC30" s="3">
        <f t="shared" si="4"/>
        <v>0.375</v>
      </c>
      <c r="AD30" s="3">
        <f t="shared" si="5"/>
        <v>5</v>
      </c>
      <c r="AE30" s="3">
        <f t="shared" si="6"/>
        <v>5</v>
      </c>
      <c r="AF30" s="3">
        <f t="shared" si="7"/>
        <v>5.2</v>
      </c>
      <c r="AG30" s="3">
        <f t="shared" si="8"/>
        <v>5.2</v>
      </c>
      <c r="AH30" s="3">
        <f t="shared" si="9"/>
        <v>5.4</v>
      </c>
      <c r="AI30" s="3">
        <f t="shared" si="10"/>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f t="shared" si="1"/>
        <v>0</v>
      </c>
      <c r="O31" s="2">
        <f t="shared" si="2"/>
        <v>0.375</v>
      </c>
      <c r="P31" s="2">
        <v>5</v>
      </c>
      <c r="Q31" s="2">
        <v>5</v>
      </c>
      <c r="R31" s="2">
        <v>5.2</v>
      </c>
      <c r="S31" s="2">
        <v>5.2</v>
      </c>
      <c r="T31" s="2">
        <v>5.4</v>
      </c>
      <c r="U31" s="2">
        <v>5.4</v>
      </c>
      <c r="V31" s="3">
        <v>5</v>
      </c>
      <c r="W31" s="3">
        <v>5</v>
      </c>
      <c r="X31" s="3">
        <v>100</v>
      </c>
      <c r="Y31" s="3">
        <v>0</v>
      </c>
      <c r="Z31" s="3">
        <v>0</v>
      </c>
      <c r="AA31" s="3">
        <f t="shared" si="3"/>
        <v>10</v>
      </c>
      <c r="AB31" s="3">
        <v>0</v>
      </c>
      <c r="AC31" s="3">
        <f t="shared" si="4"/>
        <v>0.375</v>
      </c>
      <c r="AD31" s="3">
        <f t="shared" si="5"/>
        <v>5</v>
      </c>
      <c r="AE31" s="3">
        <f t="shared" si="6"/>
        <v>5</v>
      </c>
      <c r="AF31" s="3">
        <f t="shared" si="7"/>
        <v>5.2</v>
      </c>
      <c r="AG31" s="3">
        <f t="shared" si="8"/>
        <v>5.2</v>
      </c>
      <c r="AH31" s="3">
        <f t="shared" si="9"/>
        <v>5.4</v>
      </c>
      <c r="AI31" s="3">
        <f t="shared" si="10"/>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f t="shared" si="1"/>
        <v>0</v>
      </c>
      <c r="O32" s="2">
        <f t="shared" si="2"/>
        <v>0.375</v>
      </c>
      <c r="P32" s="2">
        <v>5</v>
      </c>
      <c r="Q32" s="2">
        <v>5</v>
      </c>
      <c r="R32" s="2">
        <v>5.2</v>
      </c>
      <c r="S32" s="2">
        <v>5.2</v>
      </c>
      <c r="T32" s="2">
        <v>5.4</v>
      </c>
      <c r="U32" s="2">
        <v>5.4</v>
      </c>
      <c r="V32" s="3">
        <v>5</v>
      </c>
      <c r="W32" s="3">
        <v>5</v>
      </c>
      <c r="X32" s="3">
        <v>100</v>
      </c>
      <c r="Y32" s="3">
        <v>0</v>
      </c>
      <c r="Z32" s="3">
        <v>0</v>
      </c>
      <c r="AA32" s="3">
        <f t="shared" si="3"/>
        <v>10</v>
      </c>
      <c r="AB32" s="3">
        <v>0</v>
      </c>
      <c r="AC32" s="3">
        <f t="shared" si="4"/>
        <v>0.375</v>
      </c>
      <c r="AD32" s="3">
        <f t="shared" si="5"/>
        <v>5</v>
      </c>
      <c r="AE32" s="3">
        <f t="shared" si="6"/>
        <v>5</v>
      </c>
      <c r="AF32" s="3">
        <f t="shared" si="7"/>
        <v>5.2</v>
      </c>
      <c r="AG32" s="3">
        <f t="shared" si="8"/>
        <v>5.2</v>
      </c>
      <c r="AH32" s="3">
        <f t="shared" si="9"/>
        <v>5.4</v>
      </c>
      <c r="AI32" s="3">
        <f t="shared" si="10"/>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f t="shared" si="1"/>
        <v>0</v>
      </c>
      <c r="O33" s="2">
        <f t="shared" si="2"/>
        <v>0.375</v>
      </c>
      <c r="P33" s="2">
        <v>5</v>
      </c>
      <c r="Q33" s="2">
        <v>5</v>
      </c>
      <c r="R33" s="2">
        <v>5.2</v>
      </c>
      <c r="S33" s="2">
        <v>5.2</v>
      </c>
      <c r="T33" s="2">
        <v>5.4</v>
      </c>
      <c r="U33" s="2">
        <v>5.4</v>
      </c>
      <c r="V33" s="3">
        <v>5</v>
      </c>
      <c r="W33" s="3">
        <v>5</v>
      </c>
      <c r="X33" s="3">
        <v>100</v>
      </c>
      <c r="Y33" s="3">
        <v>0</v>
      </c>
      <c r="Z33" s="3">
        <v>0</v>
      </c>
      <c r="AA33" s="3">
        <f t="shared" si="3"/>
        <v>10</v>
      </c>
      <c r="AB33" s="3">
        <v>0</v>
      </c>
      <c r="AC33" s="3">
        <f t="shared" si="4"/>
        <v>0.375</v>
      </c>
      <c r="AD33" s="3">
        <f t="shared" si="5"/>
        <v>5</v>
      </c>
      <c r="AE33" s="3">
        <f t="shared" si="6"/>
        <v>5</v>
      </c>
      <c r="AF33" s="3">
        <f t="shared" si="7"/>
        <v>5.2</v>
      </c>
      <c r="AG33" s="3">
        <f t="shared" si="8"/>
        <v>5.2</v>
      </c>
      <c r="AH33" s="3">
        <f t="shared" si="9"/>
        <v>5.4</v>
      </c>
      <c r="AI33" s="3">
        <f t="shared" si="10"/>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f t="shared" si="1"/>
        <v>0</v>
      </c>
      <c r="O34" s="2">
        <f t="shared" si="2"/>
        <v>0.375</v>
      </c>
      <c r="P34" s="2">
        <v>5</v>
      </c>
      <c r="Q34" s="2">
        <v>5</v>
      </c>
      <c r="R34" s="2">
        <v>5.2</v>
      </c>
      <c r="S34" s="2">
        <v>5.2</v>
      </c>
      <c r="T34" s="2">
        <v>5.4</v>
      </c>
      <c r="U34" s="2">
        <v>5.4</v>
      </c>
      <c r="V34" s="3">
        <v>5</v>
      </c>
      <c r="W34" s="3">
        <v>5</v>
      </c>
      <c r="X34" s="3">
        <v>100</v>
      </c>
      <c r="Y34" s="3">
        <v>0</v>
      </c>
      <c r="Z34" s="3">
        <v>0</v>
      </c>
      <c r="AA34" s="3">
        <f t="shared" si="3"/>
        <v>10</v>
      </c>
      <c r="AB34" s="3">
        <v>0</v>
      </c>
      <c r="AC34" s="3">
        <f t="shared" si="4"/>
        <v>0.375</v>
      </c>
      <c r="AD34" s="3">
        <f t="shared" si="5"/>
        <v>5</v>
      </c>
      <c r="AE34" s="3">
        <f t="shared" si="6"/>
        <v>5</v>
      </c>
      <c r="AF34" s="3">
        <f t="shared" si="7"/>
        <v>5.2</v>
      </c>
      <c r="AG34" s="3">
        <f t="shared" si="8"/>
        <v>5.2</v>
      </c>
      <c r="AH34" s="3">
        <f t="shared" si="9"/>
        <v>5.4</v>
      </c>
      <c r="AI34" s="3">
        <f t="shared" si="10"/>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f t="shared" si="1"/>
        <v>0</v>
      </c>
      <c r="O35" s="2">
        <f t="shared" si="2"/>
        <v>0.375</v>
      </c>
      <c r="P35" s="2">
        <v>5</v>
      </c>
      <c r="Q35" s="2">
        <v>5</v>
      </c>
      <c r="R35" s="2">
        <v>5.2</v>
      </c>
      <c r="S35" s="2">
        <v>5.2</v>
      </c>
      <c r="T35" s="2">
        <v>5.4</v>
      </c>
      <c r="U35" s="2">
        <v>5.4</v>
      </c>
      <c r="V35" s="3">
        <v>5</v>
      </c>
      <c r="W35" s="3">
        <v>5</v>
      </c>
      <c r="X35" s="3">
        <v>100</v>
      </c>
      <c r="Y35" s="3">
        <v>0</v>
      </c>
      <c r="Z35" s="3">
        <v>0</v>
      </c>
      <c r="AA35" s="3">
        <f t="shared" si="3"/>
        <v>10</v>
      </c>
      <c r="AB35" s="3">
        <v>0</v>
      </c>
      <c r="AC35" s="3">
        <f t="shared" si="4"/>
        <v>0.375</v>
      </c>
      <c r="AD35" s="3">
        <f t="shared" si="5"/>
        <v>5</v>
      </c>
      <c r="AE35" s="3">
        <f t="shared" si="6"/>
        <v>5</v>
      </c>
      <c r="AF35" s="3">
        <f t="shared" si="7"/>
        <v>5.2</v>
      </c>
      <c r="AG35" s="3">
        <f t="shared" si="8"/>
        <v>5.2</v>
      </c>
      <c r="AH35" s="3">
        <f t="shared" si="9"/>
        <v>5.4</v>
      </c>
      <c r="AI35" s="3">
        <f t="shared" si="10"/>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f t="shared" si="1"/>
        <v>0</v>
      </c>
      <c r="O36" s="2">
        <f t="shared" si="2"/>
        <v>0.375</v>
      </c>
      <c r="P36" s="2">
        <v>5</v>
      </c>
      <c r="Q36" s="2">
        <v>5</v>
      </c>
      <c r="R36" s="2">
        <v>5.2</v>
      </c>
      <c r="S36" s="2">
        <v>5.2</v>
      </c>
      <c r="T36" s="2">
        <v>5.4</v>
      </c>
      <c r="U36" s="2">
        <v>5.4</v>
      </c>
      <c r="V36" s="3">
        <v>5</v>
      </c>
      <c r="W36" s="3">
        <v>5</v>
      </c>
      <c r="X36" s="3">
        <v>100</v>
      </c>
      <c r="Y36" s="3">
        <v>0</v>
      </c>
      <c r="Z36" s="3">
        <v>0</v>
      </c>
      <c r="AA36" s="3">
        <f t="shared" si="3"/>
        <v>10</v>
      </c>
      <c r="AB36" s="3">
        <v>0</v>
      </c>
      <c r="AC36" s="3">
        <f t="shared" si="4"/>
        <v>0.375</v>
      </c>
      <c r="AD36" s="3">
        <f t="shared" si="5"/>
        <v>5</v>
      </c>
      <c r="AE36" s="3">
        <f t="shared" si="6"/>
        <v>5</v>
      </c>
      <c r="AF36" s="3">
        <f t="shared" si="7"/>
        <v>5.2</v>
      </c>
      <c r="AG36" s="3">
        <f t="shared" si="8"/>
        <v>5.2</v>
      </c>
      <c r="AH36" s="3">
        <f t="shared" si="9"/>
        <v>5.4</v>
      </c>
      <c r="AI36" s="3">
        <f t="shared" si="10"/>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f t="shared" si="1"/>
        <v>0</v>
      </c>
      <c r="O37" s="2">
        <f t="shared" si="2"/>
        <v>0.375</v>
      </c>
      <c r="P37" s="2">
        <v>5</v>
      </c>
      <c r="Q37" s="2">
        <v>5</v>
      </c>
      <c r="R37" s="2">
        <v>5.2</v>
      </c>
      <c r="S37" s="2">
        <v>5.2</v>
      </c>
      <c r="T37" s="2">
        <v>5.4</v>
      </c>
      <c r="U37" s="2">
        <v>5.4</v>
      </c>
      <c r="V37" s="3">
        <v>5</v>
      </c>
      <c r="W37" s="3">
        <v>5</v>
      </c>
      <c r="X37" s="3">
        <v>100</v>
      </c>
      <c r="Y37" s="3">
        <v>0</v>
      </c>
      <c r="Z37" s="3">
        <v>0</v>
      </c>
      <c r="AA37" s="3">
        <f t="shared" si="3"/>
        <v>10</v>
      </c>
      <c r="AB37" s="3">
        <v>0</v>
      </c>
      <c r="AC37" s="3">
        <f t="shared" si="4"/>
        <v>0.375</v>
      </c>
      <c r="AD37" s="3">
        <f t="shared" si="5"/>
        <v>5</v>
      </c>
      <c r="AE37" s="3">
        <f t="shared" si="6"/>
        <v>5</v>
      </c>
      <c r="AF37" s="3">
        <f t="shared" si="7"/>
        <v>5.2</v>
      </c>
      <c r="AG37" s="3">
        <f t="shared" si="8"/>
        <v>5.2</v>
      </c>
      <c r="AH37" s="3">
        <f t="shared" si="9"/>
        <v>5.4</v>
      </c>
      <c r="AI37" s="3">
        <f t="shared" si="10"/>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f t="shared" si="1"/>
        <v>0</v>
      </c>
      <c r="O38" s="2">
        <f t="shared" si="2"/>
        <v>0.375</v>
      </c>
      <c r="P38" s="2">
        <v>5</v>
      </c>
      <c r="Q38" s="2">
        <v>5</v>
      </c>
      <c r="R38" s="2">
        <v>5.2</v>
      </c>
      <c r="S38" s="2">
        <v>5.2</v>
      </c>
      <c r="T38" s="2">
        <v>5.4</v>
      </c>
      <c r="U38" s="2">
        <v>5.4</v>
      </c>
      <c r="V38" s="3">
        <v>5</v>
      </c>
      <c r="W38" s="3">
        <v>5</v>
      </c>
      <c r="X38" s="3">
        <v>100</v>
      </c>
      <c r="Y38" s="3">
        <v>0</v>
      </c>
      <c r="Z38" s="3">
        <v>0</v>
      </c>
      <c r="AA38" s="3">
        <f t="shared" si="3"/>
        <v>10</v>
      </c>
      <c r="AB38" s="3">
        <v>0</v>
      </c>
      <c r="AC38" s="3">
        <f t="shared" si="4"/>
        <v>0.375</v>
      </c>
      <c r="AD38" s="3">
        <f t="shared" si="5"/>
        <v>5</v>
      </c>
      <c r="AE38" s="3">
        <f t="shared" si="6"/>
        <v>5</v>
      </c>
      <c r="AF38" s="3">
        <f t="shared" si="7"/>
        <v>5.2</v>
      </c>
      <c r="AG38" s="3">
        <f t="shared" si="8"/>
        <v>5.2</v>
      </c>
      <c r="AH38" s="3">
        <f t="shared" si="9"/>
        <v>5.4</v>
      </c>
      <c r="AI38" s="3">
        <f t="shared" si="10"/>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f t="shared" si="1"/>
        <v>0</v>
      </c>
      <c r="O39" s="2">
        <f t="shared" si="2"/>
        <v>0.375</v>
      </c>
      <c r="P39" s="2">
        <v>5</v>
      </c>
      <c r="Q39" s="2">
        <v>5</v>
      </c>
      <c r="R39" s="2">
        <v>5.2</v>
      </c>
      <c r="S39" s="2">
        <v>5.2</v>
      </c>
      <c r="T39" s="2">
        <v>5.4</v>
      </c>
      <c r="U39" s="2">
        <v>5.4</v>
      </c>
      <c r="V39" s="3">
        <v>5</v>
      </c>
      <c r="W39" s="3">
        <v>5</v>
      </c>
      <c r="X39" s="3">
        <v>100</v>
      </c>
      <c r="Y39" s="3">
        <v>0</v>
      </c>
      <c r="Z39" s="3">
        <v>0</v>
      </c>
      <c r="AA39" s="3">
        <f t="shared" si="3"/>
        <v>10</v>
      </c>
      <c r="AB39" s="3">
        <v>0</v>
      </c>
      <c r="AC39" s="3">
        <f t="shared" si="4"/>
        <v>0.375</v>
      </c>
      <c r="AD39" s="3">
        <f t="shared" si="5"/>
        <v>5</v>
      </c>
      <c r="AE39" s="3">
        <f t="shared" si="6"/>
        <v>5</v>
      </c>
      <c r="AF39" s="3">
        <f t="shared" si="7"/>
        <v>5.2</v>
      </c>
      <c r="AG39" s="3">
        <f t="shared" si="8"/>
        <v>5.2</v>
      </c>
      <c r="AH39" s="3">
        <f t="shared" si="9"/>
        <v>5.4</v>
      </c>
      <c r="AI39" s="3">
        <f t="shared" si="10"/>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f t="shared" si="1"/>
        <v>0</v>
      </c>
      <c r="O40" s="2">
        <f t="shared" si="2"/>
        <v>0.375</v>
      </c>
      <c r="P40" s="2">
        <v>5</v>
      </c>
      <c r="Q40" s="2">
        <v>5</v>
      </c>
      <c r="R40" s="2">
        <v>5.2</v>
      </c>
      <c r="S40" s="2">
        <v>5.2</v>
      </c>
      <c r="T40" s="2">
        <v>5.4</v>
      </c>
      <c r="U40" s="2">
        <v>5.4</v>
      </c>
      <c r="V40" s="3">
        <v>5</v>
      </c>
      <c r="W40" s="3">
        <v>5</v>
      </c>
      <c r="X40" s="3">
        <v>100</v>
      </c>
      <c r="Y40" s="3">
        <v>0</v>
      </c>
      <c r="Z40" s="3">
        <v>0</v>
      </c>
      <c r="AA40" s="3">
        <f t="shared" si="3"/>
        <v>10</v>
      </c>
      <c r="AB40" s="3">
        <v>0</v>
      </c>
      <c r="AC40" s="3">
        <f t="shared" si="4"/>
        <v>0.375</v>
      </c>
      <c r="AD40" s="3">
        <f t="shared" si="5"/>
        <v>5</v>
      </c>
      <c r="AE40" s="3">
        <f t="shared" si="6"/>
        <v>5</v>
      </c>
      <c r="AF40" s="3">
        <f t="shared" si="7"/>
        <v>5.2</v>
      </c>
      <c r="AG40" s="3">
        <f t="shared" si="8"/>
        <v>5.2</v>
      </c>
      <c r="AH40" s="3">
        <f t="shared" si="9"/>
        <v>5.4</v>
      </c>
      <c r="AI40" s="3">
        <f t="shared" si="10"/>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f t="shared" si="1"/>
        <v>0</v>
      </c>
      <c r="O41" s="2">
        <f t="shared" si="2"/>
        <v>0.375</v>
      </c>
      <c r="P41" s="2">
        <v>5</v>
      </c>
      <c r="Q41" s="2">
        <v>5</v>
      </c>
      <c r="R41" s="2">
        <v>5.2</v>
      </c>
      <c r="S41" s="2">
        <v>5.2</v>
      </c>
      <c r="T41" s="2">
        <v>5.4</v>
      </c>
      <c r="U41" s="2">
        <v>5.4</v>
      </c>
      <c r="V41" s="3">
        <v>5</v>
      </c>
      <c r="W41" s="3">
        <v>5</v>
      </c>
      <c r="X41" s="3">
        <v>100</v>
      </c>
      <c r="Y41" s="3">
        <v>0</v>
      </c>
      <c r="Z41" s="3">
        <v>0</v>
      </c>
      <c r="AA41" s="3">
        <f t="shared" si="3"/>
        <v>10</v>
      </c>
      <c r="AB41" s="3">
        <v>0</v>
      </c>
      <c r="AC41" s="3">
        <f t="shared" si="4"/>
        <v>0.375</v>
      </c>
      <c r="AD41" s="3">
        <f t="shared" si="5"/>
        <v>5</v>
      </c>
      <c r="AE41" s="3">
        <f t="shared" si="6"/>
        <v>5</v>
      </c>
      <c r="AF41" s="3">
        <f t="shared" si="7"/>
        <v>5.2</v>
      </c>
      <c r="AG41" s="3">
        <f t="shared" si="8"/>
        <v>5.2</v>
      </c>
      <c r="AH41" s="3">
        <f t="shared" si="9"/>
        <v>5.4</v>
      </c>
      <c r="AI41" s="3">
        <f t="shared" si="10"/>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f t="shared" si="1"/>
        <v>0</v>
      </c>
      <c r="O42" s="2">
        <f t="shared" si="2"/>
        <v>0.375</v>
      </c>
      <c r="P42" s="2">
        <v>5</v>
      </c>
      <c r="Q42" s="2">
        <v>5</v>
      </c>
      <c r="R42" s="2">
        <v>5.2</v>
      </c>
      <c r="S42" s="2">
        <v>5.2</v>
      </c>
      <c r="T42" s="2">
        <v>5.4</v>
      </c>
      <c r="U42" s="2">
        <v>5.4</v>
      </c>
      <c r="V42" s="3">
        <v>5</v>
      </c>
      <c r="W42" s="3">
        <v>5</v>
      </c>
      <c r="X42" s="3">
        <v>100</v>
      </c>
      <c r="Y42" s="3">
        <v>0</v>
      </c>
      <c r="Z42" s="3">
        <v>0</v>
      </c>
      <c r="AA42" s="3">
        <f t="shared" si="3"/>
        <v>10</v>
      </c>
      <c r="AB42" s="3">
        <v>0</v>
      </c>
      <c r="AC42" s="3">
        <f t="shared" si="4"/>
        <v>0.375</v>
      </c>
      <c r="AD42" s="3">
        <f t="shared" si="5"/>
        <v>5</v>
      </c>
      <c r="AE42" s="3">
        <f t="shared" si="6"/>
        <v>5</v>
      </c>
      <c r="AF42" s="3">
        <f t="shared" si="7"/>
        <v>5.2</v>
      </c>
      <c r="AG42" s="3">
        <f t="shared" si="8"/>
        <v>5.2</v>
      </c>
      <c r="AH42" s="3">
        <f t="shared" si="9"/>
        <v>5.4</v>
      </c>
      <c r="AI42" s="3">
        <f t="shared" si="10"/>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f t="shared" si="1"/>
        <v>0</v>
      </c>
      <c r="O43" s="2">
        <f t="shared" si="2"/>
        <v>0.375</v>
      </c>
      <c r="P43" s="2">
        <v>5</v>
      </c>
      <c r="Q43" s="2">
        <v>5</v>
      </c>
      <c r="R43" s="2">
        <v>5.2</v>
      </c>
      <c r="S43" s="2">
        <v>5.2</v>
      </c>
      <c r="T43" s="2">
        <v>5.4</v>
      </c>
      <c r="U43" s="2">
        <v>5.4</v>
      </c>
      <c r="V43" s="3">
        <v>5</v>
      </c>
      <c r="W43" s="3">
        <v>5</v>
      </c>
      <c r="X43" s="3">
        <v>100</v>
      </c>
      <c r="Y43" s="3">
        <v>0</v>
      </c>
      <c r="Z43" s="3">
        <v>0</v>
      </c>
      <c r="AA43" s="3">
        <f t="shared" si="3"/>
        <v>10</v>
      </c>
      <c r="AB43" s="3">
        <v>0</v>
      </c>
      <c r="AC43" s="3">
        <f t="shared" si="4"/>
        <v>0.375</v>
      </c>
      <c r="AD43" s="3">
        <f t="shared" si="5"/>
        <v>5</v>
      </c>
      <c r="AE43" s="3">
        <f t="shared" si="6"/>
        <v>5</v>
      </c>
      <c r="AF43" s="3">
        <f t="shared" si="7"/>
        <v>5.2</v>
      </c>
      <c r="AG43" s="3">
        <f t="shared" si="8"/>
        <v>5.2</v>
      </c>
      <c r="AH43" s="3">
        <f t="shared" si="9"/>
        <v>5.4</v>
      </c>
      <c r="AI43" s="3">
        <f t="shared" si="10"/>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f t="shared" si="1"/>
        <v>0</v>
      </c>
      <c r="O44" s="2">
        <f t="shared" si="2"/>
        <v>0.375</v>
      </c>
      <c r="P44" s="2">
        <v>5</v>
      </c>
      <c r="Q44" s="2">
        <v>5</v>
      </c>
      <c r="R44" s="2">
        <v>5.2</v>
      </c>
      <c r="S44" s="2">
        <v>5.2</v>
      </c>
      <c r="T44" s="2">
        <v>5.4</v>
      </c>
      <c r="U44" s="2">
        <v>5.4</v>
      </c>
      <c r="V44" s="3">
        <v>5</v>
      </c>
      <c r="W44" s="3">
        <v>5</v>
      </c>
      <c r="X44" s="3">
        <v>100</v>
      </c>
      <c r="Y44" s="3">
        <v>0</v>
      </c>
      <c r="Z44" s="3">
        <v>0</v>
      </c>
      <c r="AA44" s="3">
        <f t="shared" si="3"/>
        <v>10</v>
      </c>
      <c r="AB44" s="3">
        <v>0</v>
      </c>
      <c r="AC44" s="3">
        <f t="shared" si="4"/>
        <v>0.375</v>
      </c>
      <c r="AD44" s="3">
        <f t="shared" si="5"/>
        <v>5</v>
      </c>
      <c r="AE44" s="3">
        <f t="shared" si="6"/>
        <v>5</v>
      </c>
      <c r="AF44" s="3">
        <f t="shared" si="7"/>
        <v>5.2</v>
      </c>
      <c r="AG44" s="3">
        <f t="shared" si="8"/>
        <v>5.2</v>
      </c>
      <c r="AH44" s="3">
        <f t="shared" si="9"/>
        <v>5.4</v>
      </c>
      <c r="AI44" s="3">
        <f t="shared" si="10"/>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f t="shared" si="1"/>
        <v>0</v>
      </c>
      <c r="O45" s="2">
        <f t="shared" si="2"/>
        <v>0.375</v>
      </c>
      <c r="P45" s="2">
        <v>5</v>
      </c>
      <c r="Q45" s="2">
        <v>5</v>
      </c>
      <c r="R45" s="2">
        <v>5.2</v>
      </c>
      <c r="S45" s="2">
        <v>5.2</v>
      </c>
      <c r="T45" s="2">
        <v>5.4</v>
      </c>
      <c r="U45" s="2">
        <v>5.4</v>
      </c>
      <c r="V45" s="3">
        <v>5</v>
      </c>
      <c r="W45" s="3">
        <v>5</v>
      </c>
      <c r="X45" s="3">
        <v>100</v>
      </c>
      <c r="Y45" s="3">
        <v>0</v>
      </c>
      <c r="Z45" s="3">
        <v>0</v>
      </c>
      <c r="AA45" s="3">
        <f t="shared" si="3"/>
        <v>10</v>
      </c>
      <c r="AB45" s="3">
        <v>0</v>
      </c>
      <c r="AC45" s="3">
        <f t="shared" si="4"/>
        <v>0.375</v>
      </c>
      <c r="AD45" s="3">
        <f t="shared" si="5"/>
        <v>5</v>
      </c>
      <c r="AE45" s="3">
        <f t="shared" si="6"/>
        <v>5</v>
      </c>
      <c r="AF45" s="3">
        <f t="shared" si="7"/>
        <v>5.2</v>
      </c>
      <c r="AG45" s="3">
        <f t="shared" si="8"/>
        <v>5.2</v>
      </c>
      <c r="AH45" s="3">
        <f t="shared" si="9"/>
        <v>5.4</v>
      </c>
      <c r="AI45" s="3">
        <f t="shared" si="10"/>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f t="shared" si="1"/>
        <v>0</v>
      </c>
      <c r="O46" s="2">
        <f t="shared" si="2"/>
        <v>0.375</v>
      </c>
      <c r="P46" s="2">
        <v>5</v>
      </c>
      <c r="Q46" s="2">
        <v>5</v>
      </c>
      <c r="R46" s="2">
        <v>5.2</v>
      </c>
      <c r="S46" s="2">
        <v>5.2</v>
      </c>
      <c r="T46" s="2">
        <v>5.4</v>
      </c>
      <c r="U46" s="2">
        <v>5.4</v>
      </c>
      <c r="V46" s="3">
        <v>5</v>
      </c>
      <c r="W46" s="3">
        <v>5</v>
      </c>
      <c r="X46" s="3">
        <v>100</v>
      </c>
      <c r="Y46" s="3">
        <v>0</v>
      </c>
      <c r="Z46" s="3">
        <v>0</v>
      </c>
      <c r="AA46" s="3">
        <f t="shared" si="3"/>
        <v>10</v>
      </c>
      <c r="AB46" s="3">
        <v>0</v>
      </c>
      <c r="AC46" s="3">
        <f t="shared" si="4"/>
        <v>0.375</v>
      </c>
      <c r="AD46" s="3">
        <f t="shared" si="5"/>
        <v>5</v>
      </c>
      <c r="AE46" s="3">
        <f t="shared" si="6"/>
        <v>5</v>
      </c>
      <c r="AF46" s="3">
        <f t="shared" si="7"/>
        <v>5.2</v>
      </c>
      <c r="AG46" s="3">
        <f t="shared" si="8"/>
        <v>5.2</v>
      </c>
      <c r="AH46" s="3">
        <f t="shared" si="9"/>
        <v>5.4</v>
      </c>
      <c r="AI46" s="3">
        <f t="shared" si="10"/>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f t="shared" si="1"/>
        <v>0</v>
      </c>
      <c r="O47" s="2">
        <f t="shared" si="2"/>
        <v>0.375</v>
      </c>
      <c r="P47" s="2">
        <v>5</v>
      </c>
      <c r="Q47" s="2">
        <v>5</v>
      </c>
      <c r="R47" s="2">
        <v>5.2</v>
      </c>
      <c r="S47" s="2">
        <v>5.2</v>
      </c>
      <c r="T47" s="2">
        <v>5.4</v>
      </c>
      <c r="U47" s="2">
        <v>5.4</v>
      </c>
      <c r="V47" s="3">
        <v>5</v>
      </c>
      <c r="W47" s="3">
        <v>5</v>
      </c>
      <c r="X47" s="3">
        <v>100</v>
      </c>
      <c r="Y47" s="3">
        <v>0</v>
      </c>
      <c r="Z47" s="3">
        <v>0</v>
      </c>
      <c r="AA47" s="3">
        <f t="shared" si="3"/>
        <v>10</v>
      </c>
      <c r="AB47" s="3">
        <v>0</v>
      </c>
      <c r="AC47" s="3">
        <f t="shared" si="4"/>
        <v>0.375</v>
      </c>
      <c r="AD47" s="3">
        <f t="shared" si="5"/>
        <v>5</v>
      </c>
      <c r="AE47" s="3">
        <f t="shared" si="6"/>
        <v>5</v>
      </c>
      <c r="AF47" s="3">
        <f t="shared" si="7"/>
        <v>5.2</v>
      </c>
      <c r="AG47" s="3">
        <f t="shared" si="8"/>
        <v>5.2</v>
      </c>
      <c r="AH47" s="3">
        <f t="shared" si="9"/>
        <v>5.4</v>
      </c>
      <c r="AI47" s="3">
        <f t="shared" si="10"/>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f t="shared" si="1"/>
        <v>0</v>
      </c>
      <c r="O48" s="2">
        <f t="shared" si="2"/>
        <v>0.375</v>
      </c>
      <c r="P48" s="2">
        <v>5</v>
      </c>
      <c r="Q48" s="2">
        <v>5</v>
      </c>
      <c r="R48" s="2">
        <v>5.2</v>
      </c>
      <c r="S48" s="2">
        <v>5.2</v>
      </c>
      <c r="T48" s="2">
        <v>5.4</v>
      </c>
      <c r="U48" s="2">
        <v>5.4</v>
      </c>
      <c r="V48" s="3">
        <v>5</v>
      </c>
      <c r="W48" s="3">
        <v>5</v>
      </c>
      <c r="X48" s="3">
        <v>100</v>
      </c>
      <c r="Y48" s="3">
        <v>0</v>
      </c>
      <c r="Z48" s="3">
        <v>0</v>
      </c>
      <c r="AA48" s="3">
        <f t="shared" si="3"/>
        <v>10</v>
      </c>
      <c r="AB48" s="3">
        <v>0</v>
      </c>
      <c r="AC48" s="3">
        <f t="shared" si="4"/>
        <v>0.375</v>
      </c>
      <c r="AD48" s="3">
        <f t="shared" si="5"/>
        <v>5</v>
      </c>
      <c r="AE48" s="3">
        <f t="shared" si="6"/>
        <v>5</v>
      </c>
      <c r="AF48" s="3">
        <f t="shared" si="7"/>
        <v>5.2</v>
      </c>
      <c r="AG48" s="3">
        <f t="shared" si="8"/>
        <v>5.2</v>
      </c>
      <c r="AH48" s="3">
        <f t="shared" si="9"/>
        <v>5.4</v>
      </c>
      <c r="AI48" s="3">
        <f t="shared" si="10"/>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f t="shared" si="1"/>
        <v>3000</v>
      </c>
      <c r="O49" s="2">
        <f t="shared" si="2"/>
        <v>0.374</v>
      </c>
      <c r="P49" s="2">
        <v>5</v>
      </c>
      <c r="Q49" s="2">
        <v>5</v>
      </c>
      <c r="R49" s="2">
        <v>5.2</v>
      </c>
      <c r="S49" s="2">
        <v>5.2</v>
      </c>
      <c r="T49" s="2">
        <v>5.4</v>
      </c>
      <c r="U49" s="2">
        <v>5.4</v>
      </c>
      <c r="V49" s="3">
        <v>5</v>
      </c>
      <c r="W49" s="3">
        <v>5</v>
      </c>
      <c r="X49" s="3">
        <v>100</v>
      </c>
      <c r="Y49" s="3">
        <v>0</v>
      </c>
      <c r="Z49" s="3">
        <v>0</v>
      </c>
      <c r="AA49" s="3">
        <f t="shared" si="3"/>
        <v>10</v>
      </c>
      <c r="AB49" s="3">
        <v>0</v>
      </c>
      <c r="AC49" s="3">
        <f t="shared" si="4"/>
        <v>0.374</v>
      </c>
      <c r="AD49" s="3">
        <f t="shared" si="5"/>
        <v>5</v>
      </c>
      <c r="AE49" s="3">
        <f t="shared" si="6"/>
        <v>5</v>
      </c>
      <c r="AF49" s="3">
        <f t="shared" si="7"/>
        <v>5.2</v>
      </c>
      <c r="AG49" s="3">
        <f t="shared" si="8"/>
        <v>5.2</v>
      </c>
      <c r="AH49" s="3">
        <f t="shared" si="9"/>
        <v>5.4</v>
      </c>
      <c r="AI49" s="3">
        <f t="shared" si="10"/>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f t="shared" si="1"/>
        <v>0</v>
      </c>
      <c r="O50" s="2">
        <f t="shared" si="2"/>
        <v>0.375</v>
      </c>
      <c r="P50" s="2">
        <v>5</v>
      </c>
      <c r="Q50" s="2">
        <v>5</v>
      </c>
      <c r="R50" s="2">
        <v>5.2</v>
      </c>
      <c r="S50" s="2">
        <v>5.2</v>
      </c>
      <c r="T50" s="2">
        <v>5.4</v>
      </c>
      <c r="U50" s="2">
        <v>5.4</v>
      </c>
      <c r="V50" s="3">
        <v>5</v>
      </c>
      <c r="W50" s="3">
        <v>5</v>
      </c>
      <c r="X50" s="3">
        <v>100</v>
      </c>
      <c r="Y50" s="3">
        <v>0</v>
      </c>
      <c r="Z50" s="3">
        <v>0</v>
      </c>
      <c r="AA50" s="3">
        <f t="shared" si="3"/>
        <v>10</v>
      </c>
      <c r="AB50" s="3">
        <v>0</v>
      </c>
      <c r="AC50" s="3">
        <f t="shared" si="4"/>
        <v>0.375</v>
      </c>
      <c r="AD50" s="3">
        <f t="shared" si="5"/>
        <v>5</v>
      </c>
      <c r="AE50" s="3">
        <f t="shared" si="6"/>
        <v>5</v>
      </c>
      <c r="AF50" s="3">
        <f t="shared" si="7"/>
        <v>5.2</v>
      </c>
      <c r="AG50" s="3">
        <f t="shared" si="8"/>
        <v>5.2</v>
      </c>
      <c r="AH50" s="3">
        <f t="shared" si="9"/>
        <v>5.4</v>
      </c>
      <c r="AI50" s="3">
        <f t="shared" si="10"/>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f t="shared" si="1"/>
        <v>0</v>
      </c>
      <c r="O51" s="2">
        <f t="shared" si="2"/>
        <v>0.375</v>
      </c>
      <c r="P51" s="2">
        <v>5</v>
      </c>
      <c r="Q51" s="2">
        <v>5</v>
      </c>
      <c r="R51" s="2">
        <v>5.2</v>
      </c>
      <c r="S51" s="2">
        <v>5.2</v>
      </c>
      <c r="T51" s="2">
        <v>5.4</v>
      </c>
      <c r="U51" s="2">
        <v>5.4</v>
      </c>
      <c r="V51" s="3">
        <v>5</v>
      </c>
      <c r="W51" s="3">
        <v>5</v>
      </c>
      <c r="X51" s="3">
        <v>100</v>
      </c>
      <c r="Y51" s="3">
        <v>0</v>
      </c>
      <c r="Z51" s="3">
        <v>0</v>
      </c>
      <c r="AA51" s="3">
        <f t="shared" si="3"/>
        <v>10</v>
      </c>
      <c r="AB51" s="3">
        <v>0</v>
      </c>
      <c r="AC51" s="3">
        <f t="shared" si="4"/>
        <v>0.375</v>
      </c>
      <c r="AD51" s="3">
        <f t="shared" si="5"/>
        <v>5</v>
      </c>
      <c r="AE51" s="3">
        <f t="shared" si="6"/>
        <v>5</v>
      </c>
      <c r="AF51" s="3">
        <f t="shared" si="7"/>
        <v>5.2</v>
      </c>
      <c r="AG51" s="3">
        <f t="shared" si="8"/>
        <v>5.2</v>
      </c>
      <c r="AH51" s="3">
        <f t="shared" si="9"/>
        <v>5.4</v>
      </c>
      <c r="AI51" s="3">
        <f t="shared" si="10"/>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f t="shared" si="1"/>
        <v>0</v>
      </c>
      <c r="O52" s="2">
        <f t="shared" si="2"/>
        <v>0.375</v>
      </c>
      <c r="P52" s="2">
        <v>5</v>
      </c>
      <c r="Q52" s="2">
        <v>5</v>
      </c>
      <c r="R52" s="2">
        <v>5.2</v>
      </c>
      <c r="S52" s="2">
        <v>5.2</v>
      </c>
      <c r="T52" s="2">
        <v>5.4</v>
      </c>
      <c r="U52" s="2">
        <v>5.4</v>
      </c>
      <c r="V52" s="3">
        <v>5</v>
      </c>
      <c r="W52" s="3">
        <v>5</v>
      </c>
      <c r="X52" s="3">
        <v>100</v>
      </c>
      <c r="Y52" s="3">
        <v>0</v>
      </c>
      <c r="Z52" s="3">
        <v>0</v>
      </c>
      <c r="AA52" s="3">
        <f t="shared" si="3"/>
        <v>10</v>
      </c>
      <c r="AB52" s="3">
        <v>0</v>
      </c>
      <c r="AC52" s="3">
        <f t="shared" si="4"/>
        <v>0.375</v>
      </c>
      <c r="AD52" s="3">
        <f t="shared" si="5"/>
        <v>5</v>
      </c>
      <c r="AE52" s="3">
        <f t="shared" si="6"/>
        <v>5</v>
      </c>
      <c r="AF52" s="3">
        <f t="shared" si="7"/>
        <v>5.2</v>
      </c>
      <c r="AG52" s="3">
        <f t="shared" si="8"/>
        <v>5.2</v>
      </c>
      <c r="AH52" s="3">
        <f t="shared" si="9"/>
        <v>5.4</v>
      </c>
      <c r="AI52" s="3">
        <f t="shared" si="10"/>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f t="shared" si="1"/>
        <v>0</v>
      </c>
      <c r="O53" s="2">
        <f t="shared" si="2"/>
        <v>0.375</v>
      </c>
      <c r="P53" s="2">
        <v>5</v>
      </c>
      <c r="Q53" s="2">
        <v>5</v>
      </c>
      <c r="R53" s="2">
        <v>5.2</v>
      </c>
      <c r="S53" s="2">
        <v>5.2</v>
      </c>
      <c r="T53" s="2">
        <v>5.4</v>
      </c>
      <c r="U53" s="2">
        <v>5.4</v>
      </c>
      <c r="V53" s="3">
        <v>5</v>
      </c>
      <c r="W53" s="3">
        <v>5</v>
      </c>
      <c r="X53" s="3">
        <v>100</v>
      </c>
      <c r="Y53" s="3">
        <v>0</v>
      </c>
      <c r="Z53" s="3">
        <v>0</v>
      </c>
      <c r="AA53" s="3">
        <f t="shared" si="3"/>
        <v>10</v>
      </c>
      <c r="AB53" s="3">
        <v>0</v>
      </c>
      <c r="AC53" s="3">
        <f t="shared" si="4"/>
        <v>0.375</v>
      </c>
      <c r="AD53" s="3">
        <f t="shared" si="5"/>
        <v>5</v>
      </c>
      <c r="AE53" s="3">
        <f t="shared" si="6"/>
        <v>5</v>
      </c>
      <c r="AF53" s="3">
        <f t="shared" si="7"/>
        <v>5.2</v>
      </c>
      <c r="AG53" s="3">
        <f t="shared" si="8"/>
        <v>5.2</v>
      </c>
      <c r="AH53" s="3">
        <f t="shared" si="9"/>
        <v>5.4</v>
      </c>
      <c r="AI53" s="3">
        <f t="shared" si="10"/>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f t="shared" si="1"/>
        <v>3000</v>
      </c>
      <c r="O54" s="2">
        <f t="shared" si="2"/>
        <v>0.374</v>
      </c>
      <c r="P54" s="2">
        <v>5</v>
      </c>
      <c r="Q54" s="2">
        <v>5</v>
      </c>
      <c r="R54" s="2">
        <v>5.2</v>
      </c>
      <c r="S54" s="2">
        <v>5.2</v>
      </c>
      <c r="T54" s="2">
        <v>5.4</v>
      </c>
      <c r="U54" s="2">
        <v>5.4</v>
      </c>
      <c r="V54" s="3">
        <v>5</v>
      </c>
      <c r="W54" s="3">
        <v>5</v>
      </c>
      <c r="X54" s="3">
        <v>100</v>
      </c>
      <c r="Y54" s="3">
        <v>0</v>
      </c>
      <c r="Z54" s="3">
        <v>0</v>
      </c>
      <c r="AA54" s="3">
        <f t="shared" si="3"/>
        <v>10</v>
      </c>
      <c r="AB54" s="3">
        <v>0</v>
      </c>
      <c r="AC54" s="3">
        <f t="shared" si="4"/>
        <v>0.374</v>
      </c>
      <c r="AD54" s="3">
        <f t="shared" si="5"/>
        <v>5</v>
      </c>
      <c r="AE54" s="3">
        <f t="shared" si="6"/>
        <v>5</v>
      </c>
      <c r="AF54" s="3">
        <f t="shared" si="7"/>
        <v>5.2</v>
      </c>
      <c r="AG54" s="3">
        <f t="shared" si="8"/>
        <v>5.2</v>
      </c>
      <c r="AH54" s="3">
        <f t="shared" si="9"/>
        <v>5.4</v>
      </c>
      <c r="AI54" s="3">
        <f t="shared" si="10"/>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f t="shared" si="1"/>
        <v>0</v>
      </c>
      <c r="O55" s="2">
        <f t="shared" si="2"/>
        <v>0.375</v>
      </c>
      <c r="P55" s="2">
        <v>5</v>
      </c>
      <c r="Q55" s="2">
        <v>5</v>
      </c>
      <c r="R55" s="2">
        <v>5.2</v>
      </c>
      <c r="S55" s="2">
        <v>5.2</v>
      </c>
      <c r="T55" s="2">
        <v>5.4</v>
      </c>
      <c r="U55" s="2">
        <v>5.4</v>
      </c>
      <c r="V55" s="3">
        <v>5</v>
      </c>
      <c r="W55" s="3">
        <v>5</v>
      </c>
      <c r="X55" s="3">
        <v>100</v>
      </c>
      <c r="Y55" s="3">
        <v>0</v>
      </c>
      <c r="Z55" s="3">
        <v>0</v>
      </c>
      <c r="AA55" s="3">
        <f t="shared" si="3"/>
        <v>10</v>
      </c>
      <c r="AB55" s="3">
        <v>0</v>
      </c>
      <c r="AC55" s="3">
        <f t="shared" si="4"/>
        <v>0.375</v>
      </c>
      <c r="AD55" s="3">
        <f t="shared" si="5"/>
        <v>5</v>
      </c>
      <c r="AE55" s="3">
        <f t="shared" si="6"/>
        <v>5</v>
      </c>
      <c r="AF55" s="3">
        <f t="shared" si="7"/>
        <v>5.2</v>
      </c>
      <c r="AG55" s="3">
        <f t="shared" si="8"/>
        <v>5.2</v>
      </c>
      <c r="AH55" s="3">
        <f t="shared" si="9"/>
        <v>5.4</v>
      </c>
      <c r="AI55" s="3">
        <f t="shared" si="10"/>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f t="shared" si="1"/>
        <v>0</v>
      </c>
      <c r="O56" s="2">
        <f t="shared" si="2"/>
        <v>0.375</v>
      </c>
      <c r="P56" s="2">
        <v>5</v>
      </c>
      <c r="Q56" s="2">
        <v>5</v>
      </c>
      <c r="R56" s="2">
        <v>5.2</v>
      </c>
      <c r="S56" s="2">
        <v>5.2</v>
      </c>
      <c r="T56" s="2">
        <v>5.4</v>
      </c>
      <c r="U56" s="2">
        <v>5.4</v>
      </c>
      <c r="V56" s="3">
        <v>5</v>
      </c>
      <c r="W56" s="3">
        <v>5</v>
      </c>
      <c r="X56" s="3">
        <v>100</v>
      </c>
      <c r="Y56" s="3">
        <v>0</v>
      </c>
      <c r="Z56" s="3">
        <v>0</v>
      </c>
      <c r="AA56" s="3">
        <f t="shared" si="3"/>
        <v>10</v>
      </c>
      <c r="AB56" s="3">
        <v>0</v>
      </c>
      <c r="AC56" s="3">
        <f t="shared" si="4"/>
        <v>0.375</v>
      </c>
      <c r="AD56" s="3">
        <f t="shared" si="5"/>
        <v>5</v>
      </c>
      <c r="AE56" s="3">
        <f t="shared" si="6"/>
        <v>5</v>
      </c>
      <c r="AF56" s="3">
        <f t="shared" si="7"/>
        <v>5.2</v>
      </c>
      <c r="AG56" s="3">
        <f t="shared" si="8"/>
        <v>5.2</v>
      </c>
      <c r="AH56" s="3">
        <f t="shared" si="9"/>
        <v>5.4</v>
      </c>
      <c r="AI56" s="3">
        <f t="shared" si="10"/>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f t="shared" si="1"/>
        <v>3000</v>
      </c>
      <c r="O57" s="2">
        <f t="shared" si="2"/>
        <v>0.374</v>
      </c>
      <c r="P57" s="2">
        <v>5</v>
      </c>
      <c r="Q57" s="2">
        <v>5</v>
      </c>
      <c r="R57" s="2">
        <v>5.2</v>
      </c>
      <c r="S57" s="2">
        <v>5.2</v>
      </c>
      <c r="T57" s="2">
        <v>5.4</v>
      </c>
      <c r="U57" s="2">
        <v>5.4</v>
      </c>
      <c r="V57" s="3">
        <v>5</v>
      </c>
      <c r="W57" s="3">
        <v>5</v>
      </c>
      <c r="X57" s="3">
        <v>100</v>
      </c>
      <c r="Y57" s="3">
        <v>0</v>
      </c>
      <c r="Z57" s="3">
        <v>0</v>
      </c>
      <c r="AA57" s="3">
        <f t="shared" si="3"/>
        <v>10</v>
      </c>
      <c r="AB57" s="3">
        <v>0</v>
      </c>
      <c r="AC57" s="3">
        <f t="shared" si="4"/>
        <v>0.374</v>
      </c>
      <c r="AD57" s="3">
        <f t="shared" si="5"/>
        <v>5</v>
      </c>
      <c r="AE57" s="3">
        <f t="shared" si="6"/>
        <v>5</v>
      </c>
      <c r="AF57" s="3">
        <f t="shared" si="7"/>
        <v>5.2</v>
      </c>
      <c r="AG57" s="3">
        <f t="shared" si="8"/>
        <v>5.2</v>
      </c>
      <c r="AH57" s="3">
        <f t="shared" si="9"/>
        <v>5.4</v>
      </c>
      <c r="AI57" s="3">
        <f t="shared" si="10"/>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f t="shared" si="1"/>
        <v>0</v>
      </c>
      <c r="O58" s="2">
        <f t="shared" si="2"/>
        <v>0.375</v>
      </c>
      <c r="P58" s="2">
        <v>5</v>
      </c>
      <c r="Q58" s="2">
        <v>5</v>
      </c>
      <c r="R58" s="2">
        <v>5.2</v>
      </c>
      <c r="S58" s="2">
        <v>5.2</v>
      </c>
      <c r="T58" s="2">
        <v>5.4</v>
      </c>
      <c r="U58" s="2">
        <v>5.4</v>
      </c>
      <c r="V58" s="3">
        <v>5</v>
      </c>
      <c r="W58" s="3">
        <v>5</v>
      </c>
      <c r="X58" s="3">
        <v>100</v>
      </c>
      <c r="Y58" s="3">
        <v>0</v>
      </c>
      <c r="Z58" s="3">
        <v>0</v>
      </c>
      <c r="AA58" s="3">
        <f t="shared" si="3"/>
        <v>10</v>
      </c>
      <c r="AB58" s="3">
        <v>0</v>
      </c>
      <c r="AC58" s="3">
        <f t="shared" si="4"/>
        <v>0.375</v>
      </c>
      <c r="AD58" s="3">
        <f t="shared" si="5"/>
        <v>5</v>
      </c>
      <c r="AE58" s="3">
        <f t="shared" si="6"/>
        <v>5</v>
      </c>
      <c r="AF58" s="3">
        <f t="shared" si="7"/>
        <v>5.2</v>
      </c>
      <c r="AG58" s="3">
        <f t="shared" si="8"/>
        <v>5.2</v>
      </c>
      <c r="AH58" s="3">
        <f t="shared" si="9"/>
        <v>5.4</v>
      </c>
      <c r="AI58" s="3">
        <f t="shared" si="10"/>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f t="shared" si="1"/>
        <v>0</v>
      </c>
      <c r="O59" s="2">
        <f t="shared" si="2"/>
        <v>0.375</v>
      </c>
      <c r="P59" s="2">
        <v>5</v>
      </c>
      <c r="Q59" s="2">
        <v>5</v>
      </c>
      <c r="R59" s="2">
        <v>5.2</v>
      </c>
      <c r="S59" s="2">
        <v>5.2</v>
      </c>
      <c r="T59" s="2">
        <v>5.4</v>
      </c>
      <c r="U59" s="2">
        <v>5.4</v>
      </c>
      <c r="V59" s="3">
        <v>5</v>
      </c>
      <c r="W59" s="3">
        <v>5</v>
      </c>
      <c r="X59" s="3">
        <v>100</v>
      </c>
      <c r="Y59" s="3">
        <v>0</v>
      </c>
      <c r="Z59" s="3">
        <v>0</v>
      </c>
      <c r="AA59" s="3">
        <f t="shared" si="3"/>
        <v>10</v>
      </c>
      <c r="AB59" s="3">
        <v>0</v>
      </c>
      <c r="AC59" s="3">
        <f t="shared" si="4"/>
        <v>0.375</v>
      </c>
      <c r="AD59" s="3">
        <f t="shared" si="5"/>
        <v>5</v>
      </c>
      <c r="AE59" s="3">
        <f t="shared" si="6"/>
        <v>5</v>
      </c>
      <c r="AF59" s="3">
        <f t="shared" si="7"/>
        <v>5.2</v>
      </c>
      <c r="AG59" s="3">
        <f t="shared" si="8"/>
        <v>5.2</v>
      </c>
      <c r="AH59" s="3">
        <f t="shared" si="9"/>
        <v>5.4</v>
      </c>
      <c r="AI59" s="3">
        <f t="shared" si="10"/>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f t="shared" si="1"/>
        <v>3000</v>
      </c>
      <c r="O60" s="2">
        <f t="shared" si="2"/>
        <v>0.374</v>
      </c>
      <c r="P60" s="2">
        <v>5</v>
      </c>
      <c r="Q60" s="2">
        <v>5</v>
      </c>
      <c r="R60" s="2">
        <v>5.2</v>
      </c>
      <c r="S60" s="2">
        <v>5.2</v>
      </c>
      <c r="T60" s="2">
        <v>5.4</v>
      </c>
      <c r="U60" s="2">
        <v>5.4</v>
      </c>
      <c r="V60" s="3">
        <v>5</v>
      </c>
      <c r="W60" s="3">
        <v>5</v>
      </c>
      <c r="X60" s="3">
        <v>100</v>
      </c>
      <c r="Y60" s="3">
        <v>0</v>
      </c>
      <c r="Z60" s="3">
        <v>0</v>
      </c>
      <c r="AA60" s="3">
        <f t="shared" si="3"/>
        <v>10</v>
      </c>
      <c r="AB60" s="3">
        <v>0</v>
      </c>
      <c r="AC60" s="3">
        <f t="shared" si="4"/>
        <v>0.374</v>
      </c>
      <c r="AD60" s="3">
        <f t="shared" si="5"/>
        <v>5</v>
      </c>
      <c r="AE60" s="3">
        <f t="shared" si="6"/>
        <v>5</v>
      </c>
      <c r="AF60" s="3">
        <f t="shared" si="7"/>
        <v>5.2</v>
      </c>
      <c r="AG60" s="3">
        <f t="shared" si="8"/>
        <v>5.2</v>
      </c>
      <c r="AH60" s="3">
        <f t="shared" si="9"/>
        <v>5.4</v>
      </c>
      <c r="AI60" s="3">
        <f t="shared" si="10"/>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f t="shared" si="1"/>
        <v>0</v>
      </c>
      <c r="O61" s="2">
        <f t="shared" si="2"/>
        <v>0.375</v>
      </c>
      <c r="P61" s="2">
        <v>5</v>
      </c>
      <c r="Q61" s="2">
        <v>5</v>
      </c>
      <c r="R61" s="2">
        <v>5.2</v>
      </c>
      <c r="S61" s="2">
        <v>5.2</v>
      </c>
      <c r="T61" s="2">
        <v>5.4</v>
      </c>
      <c r="U61" s="2">
        <v>5.4</v>
      </c>
      <c r="V61" s="3">
        <v>5</v>
      </c>
      <c r="W61" s="3">
        <v>5</v>
      </c>
      <c r="X61" s="3">
        <v>100</v>
      </c>
      <c r="Y61" s="3">
        <v>0</v>
      </c>
      <c r="Z61" s="3">
        <v>0</v>
      </c>
      <c r="AA61" s="3">
        <f t="shared" si="3"/>
        <v>10</v>
      </c>
      <c r="AB61" s="3">
        <v>0</v>
      </c>
      <c r="AC61" s="3">
        <f t="shared" si="4"/>
        <v>0.375</v>
      </c>
      <c r="AD61" s="3">
        <f t="shared" si="5"/>
        <v>5</v>
      </c>
      <c r="AE61" s="3">
        <f t="shared" si="6"/>
        <v>5</v>
      </c>
      <c r="AF61" s="3">
        <f t="shared" si="7"/>
        <v>5.2</v>
      </c>
      <c r="AG61" s="3">
        <f t="shared" si="8"/>
        <v>5.2</v>
      </c>
      <c r="AH61" s="3">
        <f t="shared" si="9"/>
        <v>5.4</v>
      </c>
      <c r="AI61" s="3">
        <f t="shared" si="10"/>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H10" sqref="H10"/>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zoomScale="125" zoomScaleNormal="200" workbookViewId="0">
      <selection activeCell="I35" sqref="I35"/>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13</v>
      </c>
      <c r="C9" s="2">
        <f t="shared" si="11"/>
        <v>13</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7</v>
      </c>
      <c r="S9" s="2">
        <f t="shared" si="8"/>
        <v>7</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13</v>
      </c>
      <c r="AI9" s="2">
        <f t="shared" si="9"/>
        <v>13</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7</v>
      </c>
      <c r="AY9" s="2">
        <f t="shared" si="10"/>
        <v>7</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13</v>
      </c>
      <c r="C12" s="2">
        <f t="shared" si="11"/>
        <v>13</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7</v>
      </c>
      <c r="S12" s="2">
        <f t="shared" si="8"/>
        <v>7</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13</v>
      </c>
      <c r="AI12" s="2">
        <f t="shared" si="9"/>
        <v>13</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7</v>
      </c>
      <c r="AY12" s="2">
        <f t="shared" si="10"/>
        <v>7</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3</v>
      </c>
      <c r="C35">
        <v>3</v>
      </c>
      <c r="D35">
        <v>0</v>
      </c>
      <c r="E35">
        <v>5</v>
      </c>
      <c r="F35">
        <v>5</v>
      </c>
      <c r="G35">
        <v>0</v>
      </c>
      <c r="H35">
        <v>5</v>
      </c>
      <c r="I35">
        <v>0</v>
      </c>
      <c r="R35">
        <v>-3</v>
      </c>
      <c r="S35">
        <v>-3</v>
      </c>
      <c r="T35">
        <v>0</v>
      </c>
      <c r="U35">
        <v>5</v>
      </c>
      <c r="V35">
        <v>5</v>
      </c>
      <c r="W35">
        <v>0</v>
      </c>
      <c r="X35">
        <v>-5</v>
      </c>
      <c r="Y35">
        <v>0</v>
      </c>
      <c r="AH35">
        <v>3</v>
      </c>
      <c r="AI35">
        <v>3</v>
      </c>
      <c r="AJ35">
        <v>0</v>
      </c>
      <c r="AK35">
        <v>-5</v>
      </c>
      <c r="AL35">
        <v>-5</v>
      </c>
      <c r="AM35">
        <v>0</v>
      </c>
      <c r="AN35">
        <v>5</v>
      </c>
      <c r="AO35">
        <v>0</v>
      </c>
      <c r="AX35">
        <v>-3</v>
      </c>
      <c r="AY35">
        <v>-3</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3</v>
      </c>
      <c r="C38">
        <v>3</v>
      </c>
      <c r="D38">
        <v>0</v>
      </c>
      <c r="E38">
        <v>5</v>
      </c>
      <c r="F38">
        <v>5</v>
      </c>
      <c r="G38">
        <v>0</v>
      </c>
      <c r="H38">
        <v>5</v>
      </c>
      <c r="I38">
        <v>0</v>
      </c>
      <c r="R38">
        <v>-3</v>
      </c>
      <c r="S38">
        <v>-3</v>
      </c>
      <c r="T38">
        <v>0</v>
      </c>
      <c r="U38">
        <v>5</v>
      </c>
      <c r="V38">
        <v>5</v>
      </c>
      <c r="W38">
        <v>0</v>
      </c>
      <c r="X38">
        <v>-5</v>
      </c>
      <c r="Y38">
        <v>0</v>
      </c>
      <c r="AH38">
        <v>3</v>
      </c>
      <c r="AI38">
        <v>3</v>
      </c>
      <c r="AJ38">
        <v>0</v>
      </c>
      <c r="AK38">
        <v>-5</v>
      </c>
      <c r="AL38">
        <v>-5</v>
      </c>
      <c r="AM38">
        <v>0</v>
      </c>
      <c r="AN38">
        <v>5</v>
      </c>
      <c r="AO38">
        <v>0</v>
      </c>
      <c r="AX38">
        <v>-3</v>
      </c>
      <c r="AY38">
        <v>-3</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B3:I3"/>
    <mergeCell ref="J3:Q3"/>
    <mergeCell ref="B1:Q1"/>
    <mergeCell ref="B2:Q2"/>
    <mergeCell ref="R1:AG1"/>
    <mergeCell ref="R2:AG2"/>
    <mergeCell ref="R3:Y3"/>
    <mergeCell ref="Z3:AG3"/>
    <mergeCell ref="AH1:AW1"/>
    <mergeCell ref="AH2:AW2"/>
    <mergeCell ref="AH3:AO3"/>
    <mergeCell ref="AP3:AW3"/>
    <mergeCell ref="AX1:BM1"/>
    <mergeCell ref="AX2:BM2"/>
    <mergeCell ref="AX3:BE3"/>
    <mergeCell ref="BF3:B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topLeftCell="IC3" zoomScale="130" zoomScaleNormal="130" workbookViewId="0">
      <selection activeCell="IH11" sqref="IH11"/>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4">
        <v>9</v>
      </c>
      <c r="C3" s="65"/>
      <c r="D3" s="65"/>
      <c r="E3" s="65"/>
      <c r="F3" s="65"/>
      <c r="G3" s="65"/>
      <c r="H3" s="65"/>
      <c r="I3" s="65"/>
      <c r="J3" s="65"/>
      <c r="K3" s="65"/>
      <c r="L3" s="65"/>
      <c r="M3" s="65"/>
      <c r="N3" s="65"/>
      <c r="O3" s="65"/>
      <c r="P3" s="65"/>
      <c r="Q3" s="66"/>
      <c r="R3" s="64">
        <v>9</v>
      </c>
      <c r="S3" s="65"/>
      <c r="T3" s="65"/>
      <c r="U3" s="65"/>
      <c r="V3" s="65"/>
      <c r="W3" s="65"/>
      <c r="X3" s="65"/>
      <c r="Y3" s="65"/>
      <c r="Z3" s="65"/>
      <c r="AA3" s="65"/>
      <c r="AB3" s="65"/>
      <c r="AC3" s="65"/>
      <c r="AD3" s="65"/>
      <c r="AE3" s="65"/>
      <c r="AF3" s="65"/>
      <c r="AG3" s="66"/>
      <c r="AH3" s="64">
        <v>9</v>
      </c>
      <c r="AI3" s="65"/>
      <c r="AJ3" s="65"/>
      <c r="AK3" s="65"/>
      <c r="AL3" s="65"/>
      <c r="AM3" s="65"/>
      <c r="AN3" s="65"/>
      <c r="AO3" s="65"/>
      <c r="AP3" s="65"/>
      <c r="AQ3" s="65"/>
      <c r="AR3" s="65"/>
      <c r="AS3" s="65"/>
      <c r="AT3" s="65"/>
      <c r="AU3" s="65"/>
      <c r="AV3" s="65"/>
      <c r="AW3" s="66"/>
      <c r="AX3" s="64">
        <v>9</v>
      </c>
      <c r="AY3" s="65"/>
      <c r="AZ3" s="65"/>
      <c r="BA3" s="65"/>
      <c r="BB3" s="65"/>
      <c r="BC3" s="65"/>
      <c r="BD3" s="65"/>
      <c r="BE3" s="65"/>
      <c r="BF3" s="65"/>
      <c r="BG3" s="65"/>
      <c r="BH3" s="65"/>
      <c r="BI3" s="65"/>
      <c r="BJ3" s="65"/>
      <c r="BK3" s="65"/>
      <c r="BL3" s="65"/>
      <c r="BM3" s="66"/>
      <c r="BN3" s="64">
        <v>17</v>
      </c>
      <c r="BO3" s="65"/>
      <c r="BP3" s="65"/>
      <c r="BQ3" s="65"/>
      <c r="BR3" s="65"/>
      <c r="BS3" s="65"/>
      <c r="BT3" s="65"/>
      <c r="BU3" s="65"/>
      <c r="BV3" s="65"/>
      <c r="BW3" s="65"/>
      <c r="BX3" s="65"/>
      <c r="BY3" s="65"/>
      <c r="BZ3" s="65"/>
      <c r="CA3" s="65"/>
      <c r="CB3" s="65"/>
      <c r="CC3" s="66"/>
      <c r="CD3" s="64">
        <v>17</v>
      </c>
      <c r="CE3" s="65"/>
      <c r="CF3" s="65"/>
      <c r="CG3" s="65"/>
      <c r="CH3" s="65"/>
      <c r="CI3" s="65"/>
      <c r="CJ3" s="65"/>
      <c r="CK3" s="65"/>
      <c r="CL3" s="65"/>
      <c r="CM3" s="65"/>
      <c r="CN3" s="65"/>
      <c r="CO3" s="65"/>
      <c r="CP3" s="65"/>
      <c r="CQ3" s="65"/>
      <c r="CR3" s="65"/>
      <c r="CS3" s="66"/>
      <c r="CT3" s="64">
        <v>17</v>
      </c>
      <c r="CU3" s="65"/>
      <c r="CV3" s="65"/>
      <c r="CW3" s="65"/>
      <c r="CX3" s="65"/>
      <c r="CY3" s="65"/>
      <c r="CZ3" s="65"/>
      <c r="DA3" s="65"/>
      <c r="DB3" s="65"/>
      <c r="DC3" s="65"/>
      <c r="DD3" s="65"/>
      <c r="DE3" s="65"/>
      <c r="DF3" s="65"/>
      <c r="DG3" s="65"/>
      <c r="DH3" s="65"/>
      <c r="DI3" s="66"/>
      <c r="DJ3" s="64">
        <v>17</v>
      </c>
      <c r="DK3" s="65"/>
      <c r="DL3" s="65"/>
      <c r="DM3" s="65"/>
      <c r="DN3" s="65"/>
      <c r="DO3" s="65"/>
      <c r="DP3" s="65"/>
      <c r="DQ3" s="65"/>
      <c r="DR3" s="65"/>
      <c r="DS3" s="65"/>
      <c r="DT3" s="65"/>
      <c r="DU3" s="65"/>
      <c r="DV3" s="65"/>
      <c r="DW3" s="65"/>
      <c r="DX3" s="65"/>
      <c r="DY3" s="66"/>
      <c r="DZ3" s="67">
        <v>25</v>
      </c>
      <c r="EA3" s="62"/>
      <c r="EB3" s="62"/>
      <c r="EC3" s="62"/>
      <c r="ED3" s="62"/>
      <c r="EE3" s="62"/>
      <c r="EF3" s="62"/>
      <c r="EG3" s="62"/>
      <c r="EH3" s="62"/>
      <c r="EI3" s="62"/>
      <c r="EJ3" s="62"/>
      <c r="EK3" s="62"/>
      <c r="EL3" s="62"/>
      <c r="EM3" s="62"/>
      <c r="EN3" s="62"/>
      <c r="EO3" s="63"/>
      <c r="EP3" s="61">
        <v>25</v>
      </c>
      <c r="EQ3" s="62"/>
      <c r="ER3" s="62"/>
      <c r="ES3" s="62"/>
      <c r="ET3" s="62"/>
      <c r="EU3" s="62"/>
      <c r="EV3" s="62"/>
      <c r="EW3" s="62"/>
      <c r="EX3" s="62"/>
      <c r="EY3" s="62"/>
      <c r="EZ3" s="62"/>
      <c r="FA3" s="62"/>
      <c r="FB3" s="62"/>
      <c r="FC3" s="62"/>
      <c r="FD3" s="62"/>
      <c r="FE3" s="63"/>
      <c r="FF3" s="61">
        <v>25</v>
      </c>
      <c r="FG3" s="62"/>
      <c r="FH3" s="62"/>
      <c r="FI3" s="62"/>
      <c r="FJ3" s="62"/>
      <c r="FK3" s="62"/>
      <c r="FL3" s="62"/>
      <c r="FM3" s="62"/>
      <c r="FN3" s="62"/>
      <c r="FO3" s="62"/>
      <c r="FP3" s="62"/>
      <c r="FQ3" s="62"/>
      <c r="FR3" s="62"/>
      <c r="FS3" s="62"/>
      <c r="FT3" s="62"/>
      <c r="FU3" s="63"/>
      <c r="FV3" s="61">
        <v>25</v>
      </c>
      <c r="FW3" s="62"/>
      <c r="FX3" s="62"/>
      <c r="FY3" s="62"/>
      <c r="FZ3" s="62"/>
      <c r="GA3" s="62"/>
      <c r="GB3" s="62"/>
      <c r="GC3" s="62"/>
      <c r="GD3" s="62"/>
      <c r="GE3" s="62"/>
      <c r="GF3" s="62"/>
      <c r="GG3" s="62"/>
      <c r="GH3" s="62"/>
      <c r="GI3" s="62"/>
      <c r="GJ3" s="62"/>
      <c r="GK3" s="63"/>
      <c r="GL3" s="61">
        <v>33</v>
      </c>
      <c r="GM3" s="62"/>
      <c r="GN3" s="62"/>
      <c r="GO3" s="62"/>
      <c r="GP3" s="62"/>
      <c r="GQ3" s="62"/>
      <c r="GR3" s="62"/>
      <c r="GS3" s="62"/>
      <c r="GT3" s="62"/>
      <c r="GU3" s="62"/>
      <c r="GV3" s="62"/>
      <c r="GW3" s="62"/>
      <c r="GX3" s="62"/>
      <c r="GY3" s="62"/>
      <c r="GZ3" s="62"/>
      <c r="HA3" s="63"/>
      <c r="HB3" s="61">
        <v>33</v>
      </c>
      <c r="HC3" s="62"/>
      <c r="HD3" s="62"/>
      <c r="HE3" s="62"/>
      <c r="HF3" s="62"/>
      <c r="HG3" s="62"/>
      <c r="HH3" s="62"/>
      <c r="HI3" s="62"/>
      <c r="HJ3" s="62"/>
      <c r="HK3" s="62"/>
      <c r="HL3" s="62"/>
      <c r="HM3" s="62"/>
      <c r="HN3" s="62"/>
      <c r="HO3" s="62"/>
      <c r="HP3" s="62"/>
      <c r="HQ3" s="63"/>
      <c r="HR3" s="61">
        <v>33</v>
      </c>
      <c r="HS3" s="62"/>
      <c r="HT3" s="62"/>
      <c r="HU3" s="62"/>
      <c r="HV3" s="62"/>
      <c r="HW3" s="62"/>
      <c r="HX3" s="62"/>
      <c r="HY3" s="62"/>
      <c r="HZ3" s="62"/>
      <c r="IA3" s="62"/>
      <c r="IB3" s="62"/>
      <c r="IC3" s="62"/>
      <c r="ID3" s="62"/>
      <c r="IE3" s="62"/>
      <c r="IF3" s="62"/>
      <c r="IG3" s="63"/>
      <c r="IH3" s="61">
        <v>33</v>
      </c>
      <c r="II3" s="62"/>
      <c r="IJ3" s="62"/>
      <c r="IK3" s="62"/>
      <c r="IL3" s="62"/>
      <c r="IM3" s="62"/>
      <c r="IN3" s="62"/>
      <c r="IO3" s="62"/>
      <c r="IP3" s="62"/>
      <c r="IQ3" s="62"/>
      <c r="IR3" s="62"/>
      <c r="IS3" s="62"/>
      <c r="IT3" s="62"/>
      <c r="IU3" s="62"/>
      <c r="IV3" s="62"/>
      <c r="IW3" s="63"/>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13</v>
      </c>
      <c r="C10" s="2">
        <f>'Demand Stage 2'!C9</f>
        <v>13</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13</v>
      </c>
      <c r="S10" s="2">
        <f>'Demand Stage 2'!C9</f>
        <v>13</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13</v>
      </c>
      <c r="AI10" s="2">
        <f>'Demand Stage 2'!C9</f>
        <v>13</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13</v>
      </c>
      <c r="AY10" s="2">
        <f>'Demand Stage 2'!C9</f>
        <v>13</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7</v>
      </c>
      <c r="BO10" s="2">
        <f>'Demand Stage 2'!S9</f>
        <v>7</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7</v>
      </c>
      <c r="CE10" s="2">
        <f t="shared" si="14"/>
        <v>7</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7</v>
      </c>
      <c r="CU10" s="2">
        <f t="shared" si="16"/>
        <v>7</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7</v>
      </c>
      <c r="DK10" s="2">
        <f t="shared" si="24"/>
        <v>7</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13</v>
      </c>
      <c r="EA10" s="2">
        <f>'Demand Stage 2'!AI9</f>
        <v>13</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13</v>
      </c>
      <c r="EQ10" s="2">
        <f t="shared" si="26"/>
        <v>13</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13</v>
      </c>
      <c r="FG10" s="2">
        <f t="shared" si="28"/>
        <v>13</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13</v>
      </c>
      <c r="FW10" s="2">
        <f t="shared" si="30"/>
        <v>13</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7</v>
      </c>
      <c r="GM10" s="2">
        <f>'Demand Stage 2'!AY9</f>
        <v>7</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7</v>
      </c>
      <c r="HC10" s="2">
        <f t="shared" si="32"/>
        <v>7</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7</v>
      </c>
      <c r="HS10" s="2">
        <f t="shared" si="34"/>
        <v>7</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7</v>
      </c>
      <c r="II10" s="2">
        <f t="shared" si="36"/>
        <v>7</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13</v>
      </c>
      <c r="C13" s="2">
        <f>'Demand Stage 2'!C12</f>
        <v>13</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13</v>
      </c>
      <c r="S13" s="2">
        <f>'Demand Stage 2'!C12</f>
        <v>13</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13</v>
      </c>
      <c r="AI13" s="2">
        <f>'Demand Stage 2'!C12</f>
        <v>13</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13</v>
      </c>
      <c r="AY13" s="2">
        <f>'Demand Stage 2'!C12</f>
        <v>13</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7</v>
      </c>
      <c r="BO13" s="2">
        <f>'Demand Stage 2'!S12</f>
        <v>7</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7</v>
      </c>
      <c r="CE13" s="2">
        <f t="shared" si="14"/>
        <v>7</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7</v>
      </c>
      <c r="CU13" s="2">
        <f t="shared" si="16"/>
        <v>7</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7</v>
      </c>
      <c r="DK13" s="2">
        <f t="shared" si="24"/>
        <v>7</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13</v>
      </c>
      <c r="EA13" s="2">
        <f>'Demand Stage 2'!AI12</f>
        <v>13</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13</v>
      </c>
      <c r="EQ13" s="2">
        <f t="shared" si="26"/>
        <v>13</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13</v>
      </c>
      <c r="FG13" s="2">
        <f t="shared" si="28"/>
        <v>13</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13</v>
      </c>
      <c r="FW13" s="2">
        <f t="shared" si="30"/>
        <v>13</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7</v>
      </c>
      <c r="GM13" s="2">
        <f>'Demand Stage 2'!AY12</f>
        <v>7</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7</v>
      </c>
      <c r="HC13" s="2">
        <f t="shared" si="32"/>
        <v>7</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7</v>
      </c>
      <c r="HS13" s="2">
        <f t="shared" si="34"/>
        <v>7</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7</v>
      </c>
      <c r="II13" s="2">
        <f t="shared" si="36"/>
        <v>7</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B1:Q1"/>
    <mergeCell ref="R1:AG1"/>
    <mergeCell ref="B2:Q2"/>
    <mergeCell ref="R2:AG2"/>
    <mergeCell ref="B4:I4"/>
    <mergeCell ref="J4:Q4"/>
    <mergeCell ref="R4:Y4"/>
    <mergeCell ref="Z4:AG4"/>
    <mergeCell ref="B3:Q3"/>
    <mergeCell ref="R3:AG3"/>
    <mergeCell ref="AH4:AO4"/>
    <mergeCell ref="AP4:AW4"/>
    <mergeCell ref="AX4:BE4"/>
    <mergeCell ref="BF4:BM4"/>
    <mergeCell ref="BN4:BU4"/>
    <mergeCell ref="BV4:CC4"/>
    <mergeCell ref="CD4:CK4"/>
    <mergeCell ref="CL4:CS4"/>
    <mergeCell ref="CT4:DA4"/>
    <mergeCell ref="DB4:DI4"/>
    <mergeCell ref="DJ4:DQ4"/>
    <mergeCell ref="DR4:DY4"/>
    <mergeCell ref="DZ4:EG4"/>
    <mergeCell ref="EH4:EO4"/>
    <mergeCell ref="EP4:EW4"/>
    <mergeCell ref="EX4:FE4"/>
    <mergeCell ref="FF4:FM4"/>
    <mergeCell ref="FN4:FU4"/>
    <mergeCell ref="FV4:GC4"/>
    <mergeCell ref="GD4:GK4"/>
    <mergeCell ref="GL4:GS4"/>
    <mergeCell ref="GT4:HA4"/>
    <mergeCell ref="HB4:HI4"/>
    <mergeCell ref="HJ4:HQ4"/>
    <mergeCell ref="HR4:HY4"/>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AX2:BM2"/>
    <mergeCell ref="BN2:CC2"/>
    <mergeCell ref="CD2:CS2"/>
    <mergeCell ref="CT2:DI2"/>
    <mergeCell ref="DJ2:DY2"/>
    <mergeCell ref="HB2:HQ2"/>
    <mergeCell ref="HR2:IG2"/>
    <mergeCell ref="IH2:IW2"/>
    <mergeCell ref="DZ2:EO2"/>
    <mergeCell ref="EP2:FE2"/>
    <mergeCell ref="FF2:FU2"/>
    <mergeCell ref="FV2:GK2"/>
    <mergeCell ref="GL2:HA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I13" sqref="I13"/>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5" sqref="B15"/>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1.04</v>
      </c>
    </row>
    <row r="14" spans="1:2" x14ac:dyDescent="0.2">
      <c r="A14" s="8" t="s">
        <v>344</v>
      </c>
      <c r="B14">
        <v>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S62"/>
  <sheetViews>
    <sheetView tabSelected="1" zoomScale="160" zoomScaleNormal="160" workbookViewId="0">
      <selection activeCell="I28" sqref="I28"/>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9"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c r="S1" s="69" t="s">
        <v>345</v>
      </c>
    </row>
    <row r="2" spans="1:19"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f>S2</f>
        <v>0.01</v>
      </c>
      <c r="N2" s="3">
        <f>S2</f>
        <v>0.01</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c r="S2">
        <v>0.01</v>
      </c>
    </row>
    <row r="3" spans="1:19"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f t="shared" ref="M3:M62" si="2">S3</f>
        <v>0.01</v>
      </c>
      <c r="N3" s="3">
        <f t="shared" ref="N3:N62" si="3">S3</f>
        <v>0.01</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c r="S3">
        <v>0.01</v>
      </c>
    </row>
    <row r="4" spans="1:19"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f t="shared" si="2"/>
        <v>0.70699999999999996</v>
      </c>
      <c r="N4" s="3">
        <f t="shared" si="3"/>
        <v>0.70699999999999996</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c r="S4">
        <v>0.70699999999999996</v>
      </c>
    </row>
    <row r="5" spans="1:19"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f t="shared" si="2"/>
        <v>0.4002</v>
      </c>
      <c r="N5" s="3">
        <f t="shared" si="3"/>
        <v>0.4002</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c r="S5">
        <f>0.667*0.6</f>
        <v>0.4002</v>
      </c>
    </row>
    <row r="6" spans="1:19"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f t="shared" si="2"/>
        <v>0.26680000000000004</v>
      </c>
      <c r="N6" s="3">
        <f t="shared" si="3"/>
        <v>0.26680000000000004</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c r="S6">
        <f>0.667*0.4</f>
        <v>0.26680000000000004</v>
      </c>
    </row>
    <row r="7" spans="1:19"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f t="shared" si="2"/>
        <v>0.44</v>
      </c>
      <c r="N7" s="3">
        <f t="shared" si="3"/>
        <v>0.44</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c r="S7">
        <v>0.44</v>
      </c>
    </row>
    <row r="8" spans="1:19"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f t="shared" si="2"/>
        <v>0.22</v>
      </c>
      <c r="N8" s="3">
        <f t="shared" si="3"/>
        <v>0.22</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c r="S8">
        <v>0.22</v>
      </c>
    </row>
    <row r="9" spans="1:19"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68">
        <v>54.2</v>
      </c>
      <c r="J9" s="1" t="str">
        <f t="shared" si="0"/>
        <v/>
      </c>
      <c r="K9" s="1">
        <f>INDEX(Nodes!$A:$A,MATCH(Arcs!F9,Nodes!$B:$B,0))</f>
        <v>15</v>
      </c>
      <c r="L9" s="1">
        <f>INDEX(Nodes!$A:$A,MATCH(Arcs!G9,Nodes!$B:$B,0))</f>
        <v>17</v>
      </c>
      <c r="M9" s="2">
        <f t="shared" si="2"/>
        <v>0.84</v>
      </c>
      <c r="N9" s="3">
        <f t="shared" si="3"/>
        <v>0.84</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c r="S9">
        <v>0.84</v>
      </c>
    </row>
    <row r="10" spans="1:19"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f t="shared" si="2"/>
        <v>0.14699999999999999</v>
      </c>
      <c r="N10" s="3">
        <f t="shared" si="3"/>
        <v>0.14699999999999999</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c r="S10">
        <v>0.14699999999999999</v>
      </c>
    </row>
    <row r="11" spans="1:19"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f t="shared" si="2"/>
        <v>0.627</v>
      </c>
      <c r="N11" s="3">
        <f t="shared" si="3"/>
        <v>0.627</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c r="S11">
        <v>0.627</v>
      </c>
    </row>
    <row r="12" spans="1:19"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f t="shared" si="2"/>
        <v>0.54300000000000004</v>
      </c>
      <c r="N12" s="3">
        <f t="shared" si="3"/>
        <v>0.54300000000000004</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c r="S12">
        <v>0.54300000000000004</v>
      </c>
    </row>
    <row r="13" spans="1:19"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f t="shared" si="2"/>
        <v>0.128</v>
      </c>
      <c r="N13" s="3">
        <f t="shared" si="3"/>
        <v>0.128</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c r="S13">
        <v>0.128</v>
      </c>
    </row>
    <row r="14" spans="1:19"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f t="shared" si="2"/>
        <v>0.02</v>
      </c>
      <c r="N14" s="3">
        <f t="shared" si="3"/>
        <v>0.02</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c r="S14">
        <v>0.02</v>
      </c>
    </row>
    <row r="15" spans="1:19"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f t="shared" si="2"/>
        <v>0.14366666666666666</v>
      </c>
      <c r="N15" s="3">
        <f t="shared" si="3"/>
        <v>0.14366666666666666</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c r="S15">
        <f>0.431/3</f>
        <v>0.14366666666666666</v>
      </c>
    </row>
    <row r="16" spans="1:19"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f t="shared" si="2"/>
        <v>0.14366666666666666</v>
      </c>
      <c r="N16" s="3">
        <f t="shared" si="3"/>
        <v>0.14366666666666666</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c r="S16">
        <f>0.431/3</f>
        <v>0.14366666666666666</v>
      </c>
    </row>
    <row r="17" spans="1:19"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f t="shared" si="2"/>
        <v>0.14366666666666666</v>
      </c>
      <c r="N17" s="3">
        <f t="shared" si="3"/>
        <v>0.14366666666666666</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c r="S17">
        <f>0.431/3</f>
        <v>0.14366666666666666</v>
      </c>
    </row>
    <row r="18" spans="1:19"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f t="shared" si="2"/>
        <v>0.109</v>
      </c>
      <c r="N18" s="3">
        <f t="shared" si="3"/>
        <v>0.109</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c r="S18">
        <v>0.109</v>
      </c>
    </row>
    <row r="19" spans="1:19"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f t="shared" si="2"/>
        <v>0.153</v>
      </c>
      <c r="N19" s="3">
        <f t="shared" si="3"/>
        <v>0.153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c r="S19">
        <f>0.306/2</f>
        <v>0.153</v>
      </c>
    </row>
    <row r="20" spans="1:19"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f t="shared" si="2"/>
        <v>0.155</v>
      </c>
      <c r="N20" s="3">
        <f t="shared" si="3"/>
        <v>0.155</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c r="S20">
        <v>0.155</v>
      </c>
    </row>
    <row r="21" spans="1:19"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f t="shared" si="2"/>
        <v>0.22800000000000001</v>
      </c>
      <c r="N21" s="3">
        <f t="shared" si="3"/>
        <v>0.22800000000000001</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c r="S21">
        <v>0.22800000000000001</v>
      </c>
    </row>
    <row r="22" spans="1:19"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f t="shared" si="2"/>
        <v>0.20300000000000001</v>
      </c>
      <c r="N22" s="3">
        <f t="shared" si="3"/>
        <v>0.20300000000000001</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c r="S22">
        <v>0.20300000000000001</v>
      </c>
    </row>
    <row r="23" spans="1:19"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f t="shared" si="2"/>
        <v>0.153</v>
      </c>
      <c r="N23" s="3">
        <f t="shared" si="3"/>
        <v>0.153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c r="S23">
        <f>0.306/2</f>
        <v>0.153</v>
      </c>
    </row>
    <row r="24" spans="1:19"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f t="shared" si="2"/>
        <v>2.3E-2</v>
      </c>
      <c r="N24" s="3">
        <f t="shared" si="3"/>
        <v>2.3E-2</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c r="S24">
        <v>2.3E-2</v>
      </c>
    </row>
    <row r="25" spans="1:19"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f t="shared" si="2"/>
        <v>0.36099999999999999</v>
      </c>
      <c r="N25" s="3">
        <f t="shared" si="3"/>
        <v>0.36099999999999999</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c r="S25">
        <v>0.36099999999999999</v>
      </c>
    </row>
    <row r="26" spans="1:19"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68">
        <v>42.2</v>
      </c>
      <c r="J26" s="1" t="str">
        <f t="shared" si="0"/>
        <v/>
      </c>
      <c r="K26" s="1">
        <f>INDEX(Nodes!$A:$A,MATCH(Arcs!F26,Nodes!$B:$B,0))</f>
        <v>51</v>
      </c>
      <c r="L26" s="1">
        <f>INDEX(Nodes!$A:$A,MATCH(Arcs!G26,Nodes!$B:$B,0))</f>
        <v>59</v>
      </c>
      <c r="M26" s="2">
        <f t="shared" si="2"/>
        <v>0.40649999999999997</v>
      </c>
      <c r="N26" s="3">
        <f t="shared" si="3"/>
        <v>0.40649999999999997</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c r="S26">
        <f>0.813/2</f>
        <v>0.40649999999999997</v>
      </c>
    </row>
    <row r="27" spans="1:19"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68">
        <v>42.2</v>
      </c>
      <c r="J27" s="1" t="str">
        <f t="shared" si="0"/>
        <v/>
      </c>
      <c r="K27" s="1">
        <f>INDEX(Nodes!$A:$A,MATCH(Arcs!F27,Nodes!$B:$B,0))</f>
        <v>59</v>
      </c>
      <c r="L27" s="1">
        <f>INDEX(Nodes!$A:$A,MATCH(Arcs!G27,Nodes!$B:$B,0))</f>
        <v>58</v>
      </c>
      <c r="M27" s="2">
        <f t="shared" si="2"/>
        <v>0.40649999999999997</v>
      </c>
      <c r="N27" s="3">
        <f t="shared" si="3"/>
        <v>0.40649999999999997</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c r="S27">
        <f>0.813/2</f>
        <v>0.40649999999999997</v>
      </c>
    </row>
    <row r="28" spans="1:19"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f t="shared" si="2"/>
        <v>0.29899999999999999</v>
      </c>
      <c r="N28" s="3">
        <f t="shared" si="3"/>
        <v>0.29899999999999999</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c r="S28">
        <v>0.29899999999999999</v>
      </c>
    </row>
    <row r="29" spans="1:19"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f t="shared" si="2"/>
        <v>0.3</v>
      </c>
      <c r="N29" s="3">
        <f t="shared" si="3"/>
        <v>0.3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c r="S29">
        <v>0.3</v>
      </c>
    </row>
    <row r="30" spans="1:19"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f t="shared" si="2"/>
        <v>0.13100000000000001</v>
      </c>
      <c r="N30" s="3">
        <f t="shared" si="3"/>
        <v>0.13100000000000001</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c r="S30">
        <v>0.13100000000000001</v>
      </c>
    </row>
    <row r="31" spans="1:19"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f t="shared" si="2"/>
        <v>0.02</v>
      </c>
      <c r="N31" s="3">
        <f t="shared" si="3"/>
        <v>0.02</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c r="S31">
        <v>0.02</v>
      </c>
    </row>
    <row r="32" spans="1:19"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f t="shared" si="2"/>
        <v>0.05</v>
      </c>
      <c r="N32" s="3">
        <f t="shared" si="3"/>
        <v>0.05</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c r="S32">
        <v>0.05</v>
      </c>
    </row>
    <row r="33" spans="1:19"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f t="shared" si="2"/>
        <v>0.25</v>
      </c>
      <c r="N33" s="3">
        <f t="shared" si="3"/>
        <v>0.25</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c r="S33">
        <v>0.25</v>
      </c>
    </row>
    <row r="34" spans="1:19"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f t="shared" si="2"/>
        <v>0.01</v>
      </c>
      <c r="N34" s="3">
        <f t="shared" si="3"/>
        <v>0.01</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c r="S34">
        <v>0.01</v>
      </c>
    </row>
    <row r="35" spans="1:19"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f t="shared" si="2"/>
        <v>0.01</v>
      </c>
      <c r="N35" s="3">
        <f t="shared" si="3"/>
        <v>0.01</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c r="S35">
        <v>0.01</v>
      </c>
    </row>
    <row r="36" spans="1:19"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f t="shared" si="2"/>
        <v>0.01</v>
      </c>
      <c r="N36" s="3">
        <f t="shared" si="3"/>
        <v>0.01</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c r="S36">
        <v>0.01</v>
      </c>
    </row>
    <row r="37" spans="1:19"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f t="shared" si="2"/>
        <v>0.1</v>
      </c>
      <c r="N37" s="3">
        <f t="shared" si="3"/>
        <v>0.1</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c r="S37">
        <v>0.1</v>
      </c>
    </row>
    <row r="38" spans="1:19"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f t="shared" si="2"/>
        <v>0.48199999999999998</v>
      </c>
      <c r="N38" s="3">
        <f t="shared" si="3"/>
        <v>0.48199999999999998</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c r="S38">
        <v>0.48199999999999998</v>
      </c>
    </row>
    <row r="39" spans="1:19"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f t="shared" si="2"/>
        <v>0.02</v>
      </c>
      <c r="N39" s="3">
        <f t="shared" si="3"/>
        <v>0.02</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c r="S39">
        <v>0.02</v>
      </c>
    </row>
    <row r="40" spans="1:19"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f t="shared" si="2"/>
        <v>0.05</v>
      </c>
      <c r="N40" s="3">
        <f t="shared" si="3"/>
        <v>0.05</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c r="S40">
        <v>0.05</v>
      </c>
    </row>
    <row r="41" spans="1:19"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f t="shared" si="2"/>
        <v>9.4E-2</v>
      </c>
      <c r="N41" s="3">
        <f t="shared" si="3"/>
        <v>9.4E-2</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c r="S41">
        <v>9.4E-2</v>
      </c>
    </row>
    <row r="42" spans="1:19"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f t="shared" si="2"/>
        <v>3.9E-2</v>
      </c>
      <c r="N42" s="3">
        <f t="shared" si="3"/>
        <v>3.9E-2</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c r="S42">
        <v>3.9E-2</v>
      </c>
    </row>
    <row r="43" spans="1:19"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f t="shared" si="2"/>
        <v>0.1</v>
      </c>
      <c r="N43" s="3">
        <f t="shared" si="3"/>
        <v>0.1</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c r="S43">
        <v>0.1</v>
      </c>
    </row>
    <row r="44" spans="1:19"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f t="shared" si="2"/>
        <v>0.05</v>
      </c>
      <c r="N44" s="3">
        <f t="shared" si="3"/>
        <v>0.05</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c r="S44">
        <v>0.05</v>
      </c>
    </row>
    <row r="45" spans="1:19"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f t="shared" si="2"/>
        <v>0.15</v>
      </c>
      <c r="N45" s="3">
        <f t="shared" si="3"/>
        <v>0.15</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c r="S45">
        <v>0.15</v>
      </c>
    </row>
    <row r="46" spans="1:19"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f t="shared" si="2"/>
        <v>0.2</v>
      </c>
      <c r="N46" s="3">
        <f t="shared" si="3"/>
        <v>0.2</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c r="S46">
        <v>0.2</v>
      </c>
    </row>
    <row r="47" spans="1:19"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4">IF(I47=100,"Capacity unknown","")</f>
        <v/>
      </c>
      <c r="K47" s="1">
        <f>INDEX(Nodes!$A:$A,MATCH(Arcs!F47,Nodes!$B:$B,0))</f>
        <v>40</v>
      </c>
      <c r="L47" s="1">
        <f>INDEX(Nodes!$A:$A,MATCH(Arcs!G47,Nodes!$B:$B,0))</f>
        <v>52</v>
      </c>
      <c r="M47" s="2">
        <f t="shared" si="2"/>
        <v>0.4</v>
      </c>
      <c r="N47" s="3">
        <f t="shared" si="3"/>
        <v>0.4</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c r="S47">
        <v>0.4</v>
      </c>
    </row>
    <row r="48" spans="1:19" x14ac:dyDescent="0.2">
      <c r="A48" s="1">
        <v>47</v>
      </c>
      <c r="B48" s="31" t="s">
        <v>220</v>
      </c>
      <c r="F48" s="32" t="s">
        <v>123</v>
      </c>
      <c r="G48" s="32" t="s">
        <v>124</v>
      </c>
      <c r="H48" s="1" t="str">
        <f t="shared" si="1"/>
        <v>LINESTRING(8.4073 55.745,8.85905 55.681,9.3108 55.617)</v>
      </c>
      <c r="I48" s="33">
        <v>1000</v>
      </c>
      <c r="J48" s="30" t="str">
        <f t="shared" si="4"/>
        <v/>
      </c>
      <c r="K48" s="1">
        <f>INDEX(Nodes!$A:$A,MATCH(Arcs!F48,Nodes!$B:$B,0))</f>
        <v>9</v>
      </c>
      <c r="L48" s="1">
        <f>INDEX(Nodes!$A:$A,MATCH(Arcs!G48,Nodes!$B:$B,0))</f>
        <v>10</v>
      </c>
      <c r="M48" s="2">
        <f t="shared" si="2"/>
        <v>0</v>
      </c>
      <c r="N48" s="3">
        <f t="shared" si="3"/>
        <v>0</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c r="S48">
        <v>0</v>
      </c>
    </row>
    <row r="49" spans="1:19" x14ac:dyDescent="0.2">
      <c r="A49" s="1">
        <v>48</v>
      </c>
      <c r="B49" s="31" t="s">
        <v>221</v>
      </c>
      <c r="F49" s="20" t="s">
        <v>125</v>
      </c>
      <c r="G49" s="20" t="s">
        <v>126</v>
      </c>
      <c r="H49" s="1" t="str">
        <f t="shared" si="1"/>
        <v>LINESTRING(10.7951 55.287,11.00265 55.338,11.2102 55.389)</v>
      </c>
      <c r="I49" s="33">
        <v>1000</v>
      </c>
      <c r="J49" s="30" t="str">
        <f t="shared" si="4"/>
        <v/>
      </c>
      <c r="K49" s="1">
        <f>INDEX(Nodes!$A:$A,MATCH(Arcs!F49,Nodes!$B:$B,0))</f>
        <v>11</v>
      </c>
      <c r="L49" s="1">
        <f>INDEX(Nodes!$A:$A,MATCH(Arcs!G49,Nodes!$B:$B,0))</f>
        <v>12</v>
      </c>
      <c r="M49" s="2">
        <f t="shared" si="2"/>
        <v>0</v>
      </c>
      <c r="N49" s="3">
        <f t="shared" si="3"/>
        <v>0</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c r="S49">
        <v>0</v>
      </c>
    </row>
    <row r="50" spans="1:19"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4"/>
        <v/>
      </c>
      <c r="K50" s="1">
        <f>INDEX(Nodes!$A:$A,MATCH(Arcs!F50,Nodes!$B:$B,0))</f>
        <v>16</v>
      </c>
      <c r="L50" s="1">
        <f>INDEX(Nodes!$A:$A,MATCH(Arcs!G50,Nodes!$B:$B,0))</f>
        <v>15</v>
      </c>
      <c r="M50" s="2">
        <f t="shared" si="2"/>
        <v>0</v>
      </c>
      <c r="N50" s="3">
        <f t="shared" si="3"/>
        <v>0</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c r="S50">
        <v>0</v>
      </c>
    </row>
    <row r="51" spans="1:19"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4"/>
        <v/>
      </c>
      <c r="K51" s="1">
        <f>INDEX(Nodes!$A:$A,MATCH(Arcs!F51,Nodes!$B:$B,0))</f>
        <v>50</v>
      </c>
      <c r="L51" s="1">
        <f>INDEX(Nodes!$A:$A,MATCH(Arcs!G51,Nodes!$B:$B,0))</f>
        <v>51</v>
      </c>
      <c r="M51" s="2">
        <f t="shared" si="2"/>
        <v>0</v>
      </c>
      <c r="N51" s="3">
        <f t="shared" si="3"/>
        <v>0</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c r="S51">
        <v>0</v>
      </c>
    </row>
    <row r="52" spans="1:19" x14ac:dyDescent="0.2">
      <c r="A52" s="1">
        <v>51</v>
      </c>
      <c r="B52" s="31" t="s">
        <v>318</v>
      </c>
      <c r="F52" s="32" t="s">
        <v>110</v>
      </c>
      <c r="G52" s="32" t="s">
        <v>111</v>
      </c>
      <c r="H52" s="1" t="str">
        <f t="shared" si="1"/>
        <v>LINESTRING(3.23 56.55,3.28025150000001 56.5201845,3.33050300000002 56.490369)</v>
      </c>
      <c r="I52" s="33">
        <v>1000</v>
      </c>
      <c r="J52" s="30" t="str">
        <f t="shared" si="4"/>
        <v/>
      </c>
      <c r="K52" s="1">
        <f>INDEX(Nodes!$A:$A,MATCH(Arcs!F52,Nodes!$B:$B,0))</f>
        <v>20</v>
      </c>
      <c r="L52" s="1">
        <f>INDEX(Nodes!$A:$A,MATCH(Arcs!G52,Nodes!$B:$B,0))</f>
        <v>43</v>
      </c>
      <c r="M52" s="2">
        <f t="shared" si="2"/>
        <v>0</v>
      </c>
      <c r="N52" s="3">
        <f t="shared" si="3"/>
        <v>0</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c r="S52">
        <v>0</v>
      </c>
    </row>
    <row r="53" spans="1:19"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4"/>
        <v/>
      </c>
      <c r="K53" s="1">
        <f>INDEX(Nodes!$A:$A,MATCH(Arcs!F53,Nodes!$B:$B,0))</f>
        <v>14</v>
      </c>
      <c r="L53" s="1">
        <f>INDEX(Nodes!$A:$A,MATCH(Arcs!G53,Nodes!$B:$B,0))</f>
        <v>13</v>
      </c>
      <c r="M53" s="2">
        <f t="shared" si="2"/>
        <v>0</v>
      </c>
      <c r="N53" s="3">
        <f t="shared" si="3"/>
        <v>0</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c r="S53">
        <v>0</v>
      </c>
    </row>
    <row r="54" spans="1:19"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4"/>
        <v/>
      </c>
      <c r="K54" s="1">
        <f>INDEX(Nodes!$A:$A,MATCH(Arcs!F54,Nodes!$B:$B,0))</f>
        <v>24</v>
      </c>
      <c r="L54" s="1">
        <f>INDEX(Nodes!$A:$A,MATCH(Arcs!G54,Nodes!$B:$B,0))</f>
        <v>40</v>
      </c>
      <c r="M54" s="2">
        <f t="shared" si="2"/>
        <v>0</v>
      </c>
      <c r="N54" s="3">
        <f t="shared" si="3"/>
        <v>0</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c r="S54">
        <v>0</v>
      </c>
    </row>
    <row r="55" spans="1:19"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4"/>
        <v/>
      </c>
      <c r="K55" s="1">
        <f>INDEX(Nodes!$A:$A,MATCH(Arcs!F55,Nodes!$B:$B,0))</f>
        <v>3</v>
      </c>
      <c r="L55" s="1">
        <f>INDEX(Nodes!$A:$A,MATCH(Arcs!G55,Nodes!$B:$B,0))</f>
        <v>2</v>
      </c>
      <c r="M55" s="2">
        <f t="shared" si="2"/>
        <v>0</v>
      </c>
      <c r="N55" s="3">
        <f t="shared" si="3"/>
        <v>0</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c r="S55">
        <v>0</v>
      </c>
    </row>
    <row r="56" spans="1:19"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5">IF(I56=100,"Capacity unknown","")</f>
        <v/>
      </c>
      <c r="K56" s="1">
        <f>INDEX(Nodes!$A:$A,MATCH(Arcs!F56,Nodes!$B:$B,0))</f>
        <v>7</v>
      </c>
      <c r="L56" s="1">
        <f>INDEX(Nodes!$A:$A,MATCH(Arcs!G56,Nodes!$B:$B,0))</f>
        <v>46</v>
      </c>
      <c r="M56" s="2">
        <f t="shared" si="2"/>
        <v>0</v>
      </c>
      <c r="N56" s="3">
        <f t="shared" si="3"/>
        <v>0</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c r="S56">
        <v>0</v>
      </c>
    </row>
    <row r="57" spans="1:19"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5"/>
        <v/>
      </c>
      <c r="K57" s="1">
        <f>INDEX(Nodes!$A:$A,MATCH(Arcs!F57,Nodes!$B:$B,0))</f>
        <v>14</v>
      </c>
      <c r="L57" s="1">
        <f>INDEX(Nodes!$A:$A,MATCH(Arcs!G57,Nodes!$B:$B,0))</f>
        <v>2</v>
      </c>
      <c r="M57" s="2">
        <f t="shared" si="2"/>
        <v>0</v>
      </c>
      <c r="N57" s="3">
        <f t="shared" si="3"/>
        <v>0</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c r="S57">
        <v>0</v>
      </c>
    </row>
    <row r="58" spans="1:19" x14ac:dyDescent="0.2">
      <c r="A58" s="1">
        <v>57</v>
      </c>
      <c r="B58" s="31" t="s">
        <v>327</v>
      </c>
      <c r="F58" s="32" t="s">
        <v>103</v>
      </c>
      <c r="G58" t="s">
        <v>99</v>
      </c>
      <c r="H58" s="1" t="str">
        <f t="shared" si="1"/>
        <v>LINESTRING(2.25414983173741 58.8394056753501,3.65416291586873 59.0831068376751,5.05417600000004 59.326808)</v>
      </c>
      <c r="I58" s="33">
        <v>1000</v>
      </c>
      <c r="J58" s="30" t="str">
        <f t="shared" si="5"/>
        <v/>
      </c>
      <c r="K58" s="1">
        <f>INDEX(Nodes!$A:$A,MATCH(Arcs!F58,Nodes!$B:$B,0))</f>
        <v>48</v>
      </c>
      <c r="L58" s="1">
        <f>INDEX(Nodes!$A:$A,MATCH(Arcs!G58,Nodes!$B:$B,0))</f>
        <v>34</v>
      </c>
      <c r="M58" s="2">
        <f t="shared" si="2"/>
        <v>0</v>
      </c>
      <c r="N58" s="3">
        <f t="shared" si="3"/>
        <v>0</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c r="S58">
        <v>0</v>
      </c>
    </row>
    <row r="59" spans="1:19"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5"/>
        <v/>
      </c>
      <c r="K59" s="1">
        <f>INDEX(Nodes!$A:$A,MATCH(Arcs!F59,Nodes!$B:$B,0))</f>
        <v>35</v>
      </c>
      <c r="L59" s="1">
        <f>INDEX(Nodes!$A:$A,MATCH(Arcs!G59,Nodes!$B:$B,0))</f>
        <v>36</v>
      </c>
      <c r="M59" s="2">
        <f t="shared" si="2"/>
        <v>0</v>
      </c>
      <c r="N59" s="3">
        <f t="shared" si="3"/>
        <v>0</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c r="S59">
        <v>0</v>
      </c>
    </row>
    <row r="60" spans="1:19"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5"/>
        <v/>
      </c>
      <c r="K60" s="1">
        <f>INDEX(Nodes!$A:$A,MATCH(Arcs!F60,Nodes!$B:$B,0))</f>
        <v>42</v>
      </c>
      <c r="L60" s="1">
        <f>INDEX(Nodes!$A:$A,MATCH(Arcs!G60,Nodes!$B:$B,0))</f>
        <v>2</v>
      </c>
      <c r="M60" s="2">
        <f t="shared" si="2"/>
        <v>0</v>
      </c>
      <c r="N60" s="3">
        <f t="shared" si="3"/>
        <v>0</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c r="S60">
        <v>0</v>
      </c>
    </row>
    <row r="61" spans="1:19"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6">IF(I61=100,"Capacity unknown","")</f>
        <v/>
      </c>
      <c r="K61" s="1">
        <f>INDEX(Nodes!$A:$A,MATCH(Arcs!F61,Nodes!$B:$B,0))</f>
        <v>39</v>
      </c>
      <c r="L61" s="1">
        <f>INDEX(Nodes!$A:$A,MATCH(Arcs!G61,Nodes!$B:$B,0))</f>
        <v>33</v>
      </c>
      <c r="M61" s="2">
        <f t="shared" si="2"/>
        <v>0</v>
      </c>
      <c r="N61" s="3">
        <f t="shared" si="3"/>
        <v>0</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c r="S61">
        <v>0</v>
      </c>
    </row>
    <row r="62" spans="1:19"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f t="shared" si="2"/>
        <v>0</v>
      </c>
      <c r="N62" s="3">
        <f t="shared" si="3"/>
        <v>0</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c r="S62">
        <v>0</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E15" sqref="E15"/>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SUM(C2:C9)</f>
        <v>1</v>
      </c>
      <c r="D10">
        <f>SUM(D2:D9)</f>
        <v>1</v>
      </c>
      <c r="E10">
        <f>SUM(E2:E9)</f>
        <v>0.99999999999999989</v>
      </c>
      <c r="F10">
        <f>SUM(F2:F9)</f>
        <v>1</v>
      </c>
      <c r="G10">
        <f>SUM(G2:G9)</f>
        <v>1</v>
      </c>
      <c r="H10">
        <f>SUM(H2:H9)</f>
        <v>1</v>
      </c>
      <c r="I10">
        <f>SUM(I2:I9)</f>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workbookViewId="0">
      <selection activeCell="A3" sqref="A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K16" sqref="K16:R23"/>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2025-04-09T17:01:46Z</dcterms:modified>
</cp:coreProperties>
</file>