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defaultThemeVersion="166925"/>
  <mc:AlternateContent xmlns:mc="http://schemas.openxmlformats.org/markup-compatibility/2006">
    <mc:Choice Requires="x15">
      <x15ac:absPath xmlns:x15ac="http://schemas.microsoft.com/office/spreadsheetml/2010/11/ac" url="/Users/berendmarkhorst/Library/Mobile Documents/com~apple~CloudDocs/PhD/READINESS/08 - Trondheim/Data/"/>
    </mc:Choice>
  </mc:AlternateContent>
  <xr:revisionPtr revIDLastSave="0" documentId="13_ncr:1_{45F08F1B-F4C4-A44A-A160-78490D78695C}" xr6:coauthVersionLast="47" xr6:coauthVersionMax="47" xr10:uidLastSave="{00000000-0000-0000-0000-000000000000}"/>
  <bookViews>
    <workbookView xWindow="0" yWindow="500" windowWidth="28800" windowHeight="16060" firstSheet="7" activeTab="14" xr2:uid="{D82E7092-1A4C-0041-9612-C431AA3B912B}"/>
  </bookViews>
  <sheets>
    <sheet name="Visualisation" sheetId="7" r:id="rId1"/>
    <sheet name="Units" sheetId="6" r:id="rId2"/>
    <sheet name="Nodes" sheetId="2" r:id="rId3"/>
    <sheet name="Demand Stage 1" sheetId="13" r:id="rId4"/>
    <sheet name="Demand Stage 2" sheetId="5" r:id="rId5"/>
    <sheet name="Demand Stage 3" sheetId="9" r:id="rId6"/>
    <sheet name="SalesPriceGasMix" sheetId="11" r:id="rId7"/>
    <sheet name="SalesPricePureHydrogen" sheetId="12" r:id="rId8"/>
    <sheet name="Parameters" sheetId="8" r:id="rId9"/>
    <sheet name="Arcs" sheetId="1" r:id="rId10"/>
    <sheet name="Traders" sheetId="3" r:id="rId11"/>
    <sheet name="TraderPercentages" sheetId="16" r:id="rId12"/>
    <sheet name="Commodities" sheetId="4" r:id="rId13"/>
    <sheet name="Probabilities" sheetId="14" r:id="rId14"/>
    <sheet name="HydrogenUncertainty" sheetId="18" r:id="rId15"/>
    <sheet name="ProductionCapacities" sheetId="15" r:id="rId16"/>
    <sheet name="Extra" sheetId="17" r:id="rId17"/>
  </sheets>
  <definedNames>
    <definedName name="_xlnm._FilterDatabase" localSheetId="9" hidden="1">Arcs!$A$1:$N$54</definedName>
    <definedName name="_xlnm._FilterDatabase" localSheetId="2" hidden="1">Nodes!$A$2:$AI$61</definedName>
    <definedName name="_xlnm._FilterDatabase" localSheetId="15" hidden="1">ProductionCapacities!$A$1:$H$51</definedName>
    <definedName name="solver_adj" localSheetId="11" hidden="1">TraderPercentages!$B$2:$I$9</definedName>
    <definedName name="solver_cvg" localSheetId="11" hidden="1">0.0001</definedName>
    <definedName name="solver_drv" localSheetId="11" hidden="1">1</definedName>
    <definedName name="solver_eng" localSheetId="11" hidden="1">1</definedName>
    <definedName name="solver_itr" localSheetId="11" hidden="1">2147483647</definedName>
    <definedName name="solver_lhs1" localSheetId="11" hidden="1">TraderPercentages!$D$2:$D$4</definedName>
    <definedName name="solver_lhs2" localSheetId="11" hidden="1">TraderPercentages!$D$6:$D$9</definedName>
    <definedName name="solver_lhs3" localSheetId="11" hidden="1">TraderPercentages!$L$2:$L$9</definedName>
    <definedName name="solver_lin" localSheetId="11" hidden="1">2</definedName>
    <definedName name="solver_mip" localSheetId="11" hidden="1">2147483647</definedName>
    <definedName name="solver_mni" localSheetId="11" hidden="1">30</definedName>
    <definedName name="solver_mrt" localSheetId="11" hidden="1">0.075</definedName>
    <definedName name="solver_msl" localSheetId="11" hidden="1">2</definedName>
    <definedName name="solver_neg" localSheetId="11" hidden="1">1</definedName>
    <definedName name="solver_nod" localSheetId="11" hidden="1">2147483647</definedName>
    <definedName name="solver_num" localSheetId="11" hidden="1">3</definedName>
    <definedName name="solver_opt" localSheetId="11" hidden="1">TraderPercentages!$L$10</definedName>
    <definedName name="solver_pre" localSheetId="11" hidden="1">0.000001</definedName>
    <definedName name="solver_rbv" localSheetId="11" hidden="1">1</definedName>
    <definedName name="solver_rel1" localSheetId="11" hidden="1">2</definedName>
    <definedName name="solver_rel2" localSheetId="11" hidden="1">2</definedName>
    <definedName name="solver_rel3" localSheetId="11" hidden="1">1</definedName>
    <definedName name="solver_rhs1" localSheetId="11" hidden="1">0</definedName>
    <definedName name="solver_rhs2" localSheetId="11" hidden="1">0</definedName>
    <definedName name="solver_rhs3" localSheetId="11" hidden="1">TraderPercentages!$K$2:$K$9</definedName>
    <definedName name="solver_rlx" localSheetId="11" hidden="1">1</definedName>
    <definedName name="solver_rsd" localSheetId="11" hidden="1">0</definedName>
    <definedName name="solver_scl" localSheetId="11" hidden="1">2</definedName>
    <definedName name="solver_sho" localSheetId="11" hidden="1">2</definedName>
    <definedName name="solver_ssz" localSheetId="11" hidden="1">100</definedName>
    <definedName name="solver_tim" localSheetId="11" hidden="1">2147483647</definedName>
    <definedName name="solver_tol" localSheetId="11" hidden="1">0.01</definedName>
    <definedName name="solver_typ" localSheetId="11" hidden="1">1</definedName>
    <definedName name="solver_val" localSheetId="11" hidden="1">0</definedName>
    <definedName name="solver_ver" localSheetId="11" hidden="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G2" i="16" l="1"/>
  <c r="H2" i="16"/>
  <c r="F3" i="16"/>
  <c r="E4" i="16"/>
  <c r="E5" i="16"/>
  <c r="F5" i="16"/>
  <c r="E6" i="16"/>
  <c r="F6" i="16"/>
  <c r="F8" i="16"/>
  <c r="C10" i="16"/>
  <c r="I4" i="2"/>
  <c r="I5" i="2"/>
  <c r="I6" i="2"/>
  <c r="I7" i="2"/>
  <c r="I8" i="2"/>
  <c r="I9"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3" i="2"/>
  <c r="B2" i="16"/>
  <c r="O4" i="2"/>
  <c r="O5" i="2"/>
  <c r="O6" i="2"/>
  <c r="O7" i="2"/>
  <c r="O8" i="2"/>
  <c r="AC8" i="2" s="1"/>
  <c r="O9" i="2"/>
  <c r="AC9" i="2" s="1"/>
  <c r="O10" i="2"/>
  <c r="O11" i="2"/>
  <c r="AC11" i="2" s="1"/>
  <c r="O12" i="2"/>
  <c r="O13" i="2"/>
  <c r="O14" i="2"/>
  <c r="O15" i="2"/>
  <c r="O16" i="2"/>
  <c r="O17" i="2"/>
  <c r="O18" i="2"/>
  <c r="O19" i="2"/>
  <c r="AC19" i="2" s="1"/>
  <c r="O20" i="2"/>
  <c r="O21" i="2"/>
  <c r="O22" i="2"/>
  <c r="O23" i="2"/>
  <c r="AC23" i="2" s="1"/>
  <c r="O24" i="2"/>
  <c r="O25" i="2"/>
  <c r="O26" i="2"/>
  <c r="O27" i="2"/>
  <c r="AC27" i="2" s="1"/>
  <c r="O28" i="2"/>
  <c r="O29" i="2"/>
  <c r="O30" i="2"/>
  <c r="O31" i="2"/>
  <c r="O32" i="2"/>
  <c r="O33" i="2"/>
  <c r="O34" i="2"/>
  <c r="O35" i="2"/>
  <c r="AC35" i="2" s="1"/>
  <c r="O36" i="2"/>
  <c r="O37" i="2"/>
  <c r="O38" i="2"/>
  <c r="O39" i="2"/>
  <c r="O40" i="2"/>
  <c r="O41" i="2"/>
  <c r="O42" i="2"/>
  <c r="O43" i="2"/>
  <c r="O44" i="2"/>
  <c r="O45" i="2"/>
  <c r="O46" i="2"/>
  <c r="O47" i="2"/>
  <c r="O48" i="2"/>
  <c r="O49" i="2"/>
  <c r="O50" i="2"/>
  <c r="O51" i="2"/>
  <c r="O52" i="2"/>
  <c r="O53" i="2"/>
  <c r="O54" i="2"/>
  <c r="O55" i="2"/>
  <c r="O56" i="2"/>
  <c r="O57" i="2"/>
  <c r="O58" i="2"/>
  <c r="O59" i="2"/>
  <c r="O60" i="2"/>
  <c r="O61" i="2"/>
  <c r="O3" i="2"/>
  <c r="AA4" i="2"/>
  <c r="AA5" i="2"/>
  <c r="AA6" i="2"/>
  <c r="AA7" i="2"/>
  <c r="AA8" i="2"/>
  <c r="AA9" i="2"/>
  <c r="AA10" i="2"/>
  <c r="AA11" i="2"/>
  <c r="AA12" i="2"/>
  <c r="AA13" i="2"/>
  <c r="AA14" i="2"/>
  <c r="AA15" i="2"/>
  <c r="AA16" i="2"/>
  <c r="AA17" i="2"/>
  <c r="AA18" i="2"/>
  <c r="AA19" i="2"/>
  <c r="AA20" i="2"/>
  <c r="AA21" i="2"/>
  <c r="AA22" i="2"/>
  <c r="AA23" i="2"/>
  <c r="AA24" i="2"/>
  <c r="AA25" i="2"/>
  <c r="AA26" i="2"/>
  <c r="AA27" i="2"/>
  <c r="AA28" i="2"/>
  <c r="AA29" i="2"/>
  <c r="AA30" i="2"/>
  <c r="AA31" i="2"/>
  <c r="AA32" i="2"/>
  <c r="AA33" i="2"/>
  <c r="AA34" i="2"/>
  <c r="AA35" i="2"/>
  <c r="AA36" i="2"/>
  <c r="AA37" i="2"/>
  <c r="AA38" i="2"/>
  <c r="AA39" i="2"/>
  <c r="AA40" i="2"/>
  <c r="AA41" i="2"/>
  <c r="AA42" i="2"/>
  <c r="AA43" i="2"/>
  <c r="AA44" i="2"/>
  <c r="AA45" i="2"/>
  <c r="AA46" i="2"/>
  <c r="AA47" i="2"/>
  <c r="AA48" i="2"/>
  <c r="AA49" i="2"/>
  <c r="AA50" i="2"/>
  <c r="AA51" i="2"/>
  <c r="AA52" i="2"/>
  <c r="AA53" i="2"/>
  <c r="AA54" i="2"/>
  <c r="AA55" i="2"/>
  <c r="AA56" i="2"/>
  <c r="AA57" i="2"/>
  <c r="AA58" i="2"/>
  <c r="AA59" i="2"/>
  <c r="AA60" i="2"/>
  <c r="AA61" i="2"/>
  <c r="AA3" i="2"/>
  <c r="AC4" i="2"/>
  <c r="AD4" i="2"/>
  <c r="AE4" i="2"/>
  <c r="AF4" i="2"/>
  <c r="AG4" i="2"/>
  <c r="AH4" i="2"/>
  <c r="AI4" i="2"/>
  <c r="AC5" i="2"/>
  <c r="AD5" i="2"/>
  <c r="AE5" i="2"/>
  <c r="AF5" i="2"/>
  <c r="AG5" i="2"/>
  <c r="AH5" i="2"/>
  <c r="AI5" i="2"/>
  <c r="AC6" i="2"/>
  <c r="AD6" i="2"/>
  <c r="AE6" i="2"/>
  <c r="AF6" i="2"/>
  <c r="AG6" i="2"/>
  <c r="AH6" i="2"/>
  <c r="AI6" i="2"/>
  <c r="AC7" i="2"/>
  <c r="AD7" i="2"/>
  <c r="AE7" i="2"/>
  <c r="AF7" i="2"/>
  <c r="AG7" i="2"/>
  <c r="AH7" i="2"/>
  <c r="AI7" i="2"/>
  <c r="AD8" i="2"/>
  <c r="AE8" i="2"/>
  <c r="AF8" i="2"/>
  <c r="AG8" i="2"/>
  <c r="AH8" i="2"/>
  <c r="AI8" i="2"/>
  <c r="AD9" i="2"/>
  <c r="AE9" i="2"/>
  <c r="AF9" i="2"/>
  <c r="AG9" i="2"/>
  <c r="AH9" i="2"/>
  <c r="AI9" i="2"/>
  <c r="AC10" i="2"/>
  <c r="AD10" i="2"/>
  <c r="AE10" i="2"/>
  <c r="AF10" i="2"/>
  <c r="AG10" i="2"/>
  <c r="AH10" i="2"/>
  <c r="AI10" i="2"/>
  <c r="AD11" i="2"/>
  <c r="AE11" i="2"/>
  <c r="AF11" i="2"/>
  <c r="AG11" i="2"/>
  <c r="AH11" i="2"/>
  <c r="AI11" i="2"/>
  <c r="AC12" i="2"/>
  <c r="AD12" i="2"/>
  <c r="AE12" i="2"/>
  <c r="AF12" i="2"/>
  <c r="AG12" i="2"/>
  <c r="AH12" i="2"/>
  <c r="AI12" i="2"/>
  <c r="AC13" i="2"/>
  <c r="AD13" i="2"/>
  <c r="AE13" i="2"/>
  <c r="AF13" i="2"/>
  <c r="AG13" i="2"/>
  <c r="AH13" i="2"/>
  <c r="AI13" i="2"/>
  <c r="AC14" i="2"/>
  <c r="AD14" i="2"/>
  <c r="AE14" i="2"/>
  <c r="AF14" i="2"/>
  <c r="AG14" i="2"/>
  <c r="AH14" i="2"/>
  <c r="AI14" i="2"/>
  <c r="AC15" i="2"/>
  <c r="AD15" i="2"/>
  <c r="AE15" i="2"/>
  <c r="AF15" i="2"/>
  <c r="AG15" i="2"/>
  <c r="AH15" i="2"/>
  <c r="AI15" i="2"/>
  <c r="AC16" i="2"/>
  <c r="AD16" i="2"/>
  <c r="AE16" i="2"/>
  <c r="AF16" i="2"/>
  <c r="AG16" i="2"/>
  <c r="AH16" i="2"/>
  <c r="AI16" i="2"/>
  <c r="AC17" i="2"/>
  <c r="AD17" i="2"/>
  <c r="AE17" i="2"/>
  <c r="AF17" i="2"/>
  <c r="AG17" i="2"/>
  <c r="AH17" i="2"/>
  <c r="AI17" i="2"/>
  <c r="AC18" i="2"/>
  <c r="AD18" i="2"/>
  <c r="AE18" i="2"/>
  <c r="AF18" i="2"/>
  <c r="AG18" i="2"/>
  <c r="AH18" i="2"/>
  <c r="AI18" i="2"/>
  <c r="AD19" i="2"/>
  <c r="AE19" i="2"/>
  <c r="AF19" i="2"/>
  <c r="AG19" i="2"/>
  <c r="AH19" i="2"/>
  <c r="AI19" i="2"/>
  <c r="AC20" i="2"/>
  <c r="AD20" i="2"/>
  <c r="AE20" i="2"/>
  <c r="AF20" i="2"/>
  <c r="AG20" i="2"/>
  <c r="AH20" i="2"/>
  <c r="AI20" i="2"/>
  <c r="AC21" i="2"/>
  <c r="AD21" i="2"/>
  <c r="AE21" i="2"/>
  <c r="AF21" i="2"/>
  <c r="AG21" i="2"/>
  <c r="AH21" i="2"/>
  <c r="AI21" i="2"/>
  <c r="AC22" i="2"/>
  <c r="AD22" i="2"/>
  <c r="AE22" i="2"/>
  <c r="AF22" i="2"/>
  <c r="AG22" i="2"/>
  <c r="AH22" i="2"/>
  <c r="AI22" i="2"/>
  <c r="AD23" i="2"/>
  <c r="AE23" i="2"/>
  <c r="AF23" i="2"/>
  <c r="AG23" i="2"/>
  <c r="AH23" i="2"/>
  <c r="AI23" i="2"/>
  <c r="AC24" i="2"/>
  <c r="AD24" i="2"/>
  <c r="AE24" i="2"/>
  <c r="AF24" i="2"/>
  <c r="AG24" i="2"/>
  <c r="AH24" i="2"/>
  <c r="AI24" i="2"/>
  <c r="AC25" i="2"/>
  <c r="AD25" i="2"/>
  <c r="AE25" i="2"/>
  <c r="AF25" i="2"/>
  <c r="AG25" i="2"/>
  <c r="AH25" i="2"/>
  <c r="AI25" i="2"/>
  <c r="AC26" i="2"/>
  <c r="AD26" i="2"/>
  <c r="AE26" i="2"/>
  <c r="AF26" i="2"/>
  <c r="AG26" i="2"/>
  <c r="AH26" i="2"/>
  <c r="AI26" i="2"/>
  <c r="AD27" i="2"/>
  <c r="AE27" i="2"/>
  <c r="AF27" i="2"/>
  <c r="AG27" i="2"/>
  <c r="AH27" i="2"/>
  <c r="AI27" i="2"/>
  <c r="AC28" i="2"/>
  <c r="AD28" i="2"/>
  <c r="AE28" i="2"/>
  <c r="AF28" i="2"/>
  <c r="AG28" i="2"/>
  <c r="AH28" i="2"/>
  <c r="AI28" i="2"/>
  <c r="AC29" i="2"/>
  <c r="AD29" i="2"/>
  <c r="AE29" i="2"/>
  <c r="AF29" i="2"/>
  <c r="AG29" i="2"/>
  <c r="AH29" i="2"/>
  <c r="AI29" i="2"/>
  <c r="AC30" i="2"/>
  <c r="AD30" i="2"/>
  <c r="AE30" i="2"/>
  <c r="AF30" i="2"/>
  <c r="AG30" i="2"/>
  <c r="AH30" i="2"/>
  <c r="AI30" i="2"/>
  <c r="AC31" i="2"/>
  <c r="AD31" i="2"/>
  <c r="AE31" i="2"/>
  <c r="AF31" i="2"/>
  <c r="AG31" i="2"/>
  <c r="AH31" i="2"/>
  <c r="AI31" i="2"/>
  <c r="AC32" i="2"/>
  <c r="AD32" i="2"/>
  <c r="AE32" i="2"/>
  <c r="AF32" i="2"/>
  <c r="AG32" i="2"/>
  <c r="AH32" i="2"/>
  <c r="AI32" i="2"/>
  <c r="AC33" i="2"/>
  <c r="AD33" i="2"/>
  <c r="AE33" i="2"/>
  <c r="AF33" i="2"/>
  <c r="AG33" i="2"/>
  <c r="AH33" i="2"/>
  <c r="AI33" i="2"/>
  <c r="AC34" i="2"/>
  <c r="AD34" i="2"/>
  <c r="AE34" i="2"/>
  <c r="AF34" i="2"/>
  <c r="AG34" i="2"/>
  <c r="AH34" i="2"/>
  <c r="AI34" i="2"/>
  <c r="AD35" i="2"/>
  <c r="AE35" i="2"/>
  <c r="AF35" i="2"/>
  <c r="AG35" i="2"/>
  <c r="AH35" i="2"/>
  <c r="AI35" i="2"/>
  <c r="AC36" i="2"/>
  <c r="AD36" i="2"/>
  <c r="AE36" i="2"/>
  <c r="AF36" i="2"/>
  <c r="AG36" i="2"/>
  <c r="AH36" i="2"/>
  <c r="AI36" i="2"/>
  <c r="AC37" i="2"/>
  <c r="AD37" i="2"/>
  <c r="AE37" i="2"/>
  <c r="AF37" i="2"/>
  <c r="AG37" i="2"/>
  <c r="AH37" i="2"/>
  <c r="AI37" i="2"/>
  <c r="AC38" i="2"/>
  <c r="AD38" i="2"/>
  <c r="AE38" i="2"/>
  <c r="AF38" i="2"/>
  <c r="AG38" i="2"/>
  <c r="AH38" i="2"/>
  <c r="AI38" i="2"/>
  <c r="AC39" i="2"/>
  <c r="AD39" i="2"/>
  <c r="AE39" i="2"/>
  <c r="AF39" i="2"/>
  <c r="AG39" i="2"/>
  <c r="AH39" i="2"/>
  <c r="AI39" i="2"/>
  <c r="AC40" i="2"/>
  <c r="AD40" i="2"/>
  <c r="AE40" i="2"/>
  <c r="AF40" i="2"/>
  <c r="AG40" i="2"/>
  <c r="AH40" i="2"/>
  <c r="AI40" i="2"/>
  <c r="AC41" i="2"/>
  <c r="AD41" i="2"/>
  <c r="AE41" i="2"/>
  <c r="AF41" i="2"/>
  <c r="AG41" i="2"/>
  <c r="AH41" i="2"/>
  <c r="AI41" i="2"/>
  <c r="AC42" i="2"/>
  <c r="AD42" i="2"/>
  <c r="AE42" i="2"/>
  <c r="AF42" i="2"/>
  <c r="AG42" i="2"/>
  <c r="AH42" i="2"/>
  <c r="AI42" i="2"/>
  <c r="AC43" i="2"/>
  <c r="AD43" i="2"/>
  <c r="AE43" i="2"/>
  <c r="AF43" i="2"/>
  <c r="AG43" i="2"/>
  <c r="AH43" i="2"/>
  <c r="AI43" i="2"/>
  <c r="AC44" i="2"/>
  <c r="AD44" i="2"/>
  <c r="AE44" i="2"/>
  <c r="AF44" i="2"/>
  <c r="AG44" i="2"/>
  <c r="AH44" i="2"/>
  <c r="AI44" i="2"/>
  <c r="AC45" i="2"/>
  <c r="AD45" i="2"/>
  <c r="AE45" i="2"/>
  <c r="AF45" i="2"/>
  <c r="AG45" i="2"/>
  <c r="AH45" i="2"/>
  <c r="AI45" i="2"/>
  <c r="AC46" i="2"/>
  <c r="AD46" i="2"/>
  <c r="AE46" i="2"/>
  <c r="AF46" i="2"/>
  <c r="AG46" i="2"/>
  <c r="AH46" i="2"/>
  <c r="AI46" i="2"/>
  <c r="AC47" i="2"/>
  <c r="AD47" i="2"/>
  <c r="AE47" i="2"/>
  <c r="AF47" i="2"/>
  <c r="AG47" i="2"/>
  <c r="AH47" i="2"/>
  <c r="AI47" i="2"/>
  <c r="AC48" i="2"/>
  <c r="AD48" i="2"/>
  <c r="AE48" i="2"/>
  <c r="AF48" i="2"/>
  <c r="AG48" i="2"/>
  <c r="AH48" i="2"/>
  <c r="AI48" i="2"/>
  <c r="AC49" i="2"/>
  <c r="AD49" i="2"/>
  <c r="AE49" i="2"/>
  <c r="AF49" i="2"/>
  <c r="AG49" i="2"/>
  <c r="AH49" i="2"/>
  <c r="AI49" i="2"/>
  <c r="AC50" i="2"/>
  <c r="AD50" i="2"/>
  <c r="AE50" i="2"/>
  <c r="AF50" i="2"/>
  <c r="AG50" i="2"/>
  <c r="AH50" i="2"/>
  <c r="AI50" i="2"/>
  <c r="AC51" i="2"/>
  <c r="AD51" i="2"/>
  <c r="AE51" i="2"/>
  <c r="AF51" i="2"/>
  <c r="AG51" i="2"/>
  <c r="AH51" i="2"/>
  <c r="AI51" i="2"/>
  <c r="AC52" i="2"/>
  <c r="AD52" i="2"/>
  <c r="AE52" i="2"/>
  <c r="AF52" i="2"/>
  <c r="AG52" i="2"/>
  <c r="AH52" i="2"/>
  <c r="AI52" i="2"/>
  <c r="AC53" i="2"/>
  <c r="AD53" i="2"/>
  <c r="AE53" i="2"/>
  <c r="AF53" i="2"/>
  <c r="AG53" i="2"/>
  <c r="AH53" i="2"/>
  <c r="AI53" i="2"/>
  <c r="AC54" i="2"/>
  <c r="AD54" i="2"/>
  <c r="AE54" i="2"/>
  <c r="AF54" i="2"/>
  <c r="AG54" i="2"/>
  <c r="AH54" i="2"/>
  <c r="AI54" i="2"/>
  <c r="AC55" i="2"/>
  <c r="AD55" i="2"/>
  <c r="AE55" i="2"/>
  <c r="AF55" i="2"/>
  <c r="AG55" i="2"/>
  <c r="AH55" i="2"/>
  <c r="AI55" i="2"/>
  <c r="AC56" i="2"/>
  <c r="AD56" i="2"/>
  <c r="AE56" i="2"/>
  <c r="AF56" i="2"/>
  <c r="AG56" i="2"/>
  <c r="AH56" i="2"/>
  <c r="AI56" i="2"/>
  <c r="AC57" i="2"/>
  <c r="AD57" i="2"/>
  <c r="AE57" i="2"/>
  <c r="AF57" i="2"/>
  <c r="AG57" i="2"/>
  <c r="AH57" i="2"/>
  <c r="AI57" i="2"/>
  <c r="AC58" i="2"/>
  <c r="AD58" i="2"/>
  <c r="AE58" i="2"/>
  <c r="AF58" i="2"/>
  <c r="AG58" i="2"/>
  <c r="AH58" i="2"/>
  <c r="AI58" i="2"/>
  <c r="AC59" i="2"/>
  <c r="AD59" i="2"/>
  <c r="AE59" i="2"/>
  <c r="AF59" i="2"/>
  <c r="AG59" i="2"/>
  <c r="AH59" i="2"/>
  <c r="AI59" i="2"/>
  <c r="AC60" i="2"/>
  <c r="AD60" i="2"/>
  <c r="AE60" i="2"/>
  <c r="AF60" i="2"/>
  <c r="AG60" i="2"/>
  <c r="AH60" i="2"/>
  <c r="AI60" i="2"/>
  <c r="AC61" i="2"/>
  <c r="AD61" i="2"/>
  <c r="AE61" i="2"/>
  <c r="AF61" i="2"/>
  <c r="AG61" i="2"/>
  <c r="AH61" i="2"/>
  <c r="AI61" i="2"/>
  <c r="AD3" i="2"/>
  <c r="AE3" i="2"/>
  <c r="AF3" i="2"/>
  <c r="AG3" i="2"/>
  <c r="AH3" i="2"/>
  <c r="AI3" i="2"/>
  <c r="AC3" i="2"/>
  <c r="K62" i="1"/>
  <c r="O62" i="1" s="1" a="1"/>
  <c r="O62" i="1" s="1"/>
  <c r="L62" i="1"/>
  <c r="P62" i="1" s="1" a="1"/>
  <c r="P62" i="1" s="1"/>
  <c r="H24" i="17"/>
  <c r="C24" i="17"/>
  <c r="B24" i="17"/>
  <c r="A24" i="17"/>
  <c r="F21" i="17"/>
  <c r="E21" i="17"/>
  <c r="D21" i="17"/>
  <c r="F20" i="17"/>
  <c r="E20" i="17"/>
  <c r="D20" i="17"/>
  <c r="D24" i="17" s="1"/>
  <c r="F19" i="17"/>
  <c r="E19" i="17"/>
  <c r="D19" i="17"/>
  <c r="D18" i="17"/>
  <c r="E17" i="17"/>
  <c r="G16" i="17"/>
  <c r="G24" i="17" s="1"/>
  <c r="F16" i="17"/>
  <c r="F24" i="17" s="1"/>
  <c r="E16" i="17"/>
  <c r="E24" i="17" s="1"/>
  <c r="A16" i="17"/>
  <c r="K2" i="11"/>
  <c r="K3" i="11"/>
  <c r="K4" i="11"/>
  <c r="K5" i="11"/>
  <c r="K6" i="11"/>
  <c r="K7" i="11"/>
  <c r="K8" i="11"/>
  <c r="K9" i="11"/>
  <c r="II6" i="9"/>
  <c r="IJ6" i="9"/>
  <c r="IK6" i="9"/>
  <c r="IL6" i="9"/>
  <c r="IM6" i="9"/>
  <c r="IN6" i="9"/>
  <c r="IO6" i="9"/>
  <c r="II7" i="9"/>
  <c r="IJ7" i="9"/>
  <c r="IK7" i="9"/>
  <c r="IL7" i="9"/>
  <c r="IM7" i="9"/>
  <c r="IN7" i="9"/>
  <c r="IO7" i="9"/>
  <c r="II8" i="9"/>
  <c r="IJ8" i="9"/>
  <c r="IK8" i="9"/>
  <c r="IL8" i="9"/>
  <c r="IM8" i="9"/>
  <c r="IN8" i="9"/>
  <c r="IO8" i="9"/>
  <c r="II9" i="9"/>
  <c r="IJ9" i="9"/>
  <c r="IK9" i="9"/>
  <c r="IL9" i="9"/>
  <c r="IM9" i="9"/>
  <c r="IN9" i="9"/>
  <c r="IO9" i="9"/>
  <c r="II10" i="9"/>
  <c r="IJ10" i="9"/>
  <c r="IK10" i="9"/>
  <c r="IL10" i="9"/>
  <c r="IM10" i="9"/>
  <c r="IN10" i="9"/>
  <c r="IO10" i="9"/>
  <c r="II11" i="9"/>
  <c r="IJ11" i="9"/>
  <c r="IK11" i="9"/>
  <c r="IL11" i="9"/>
  <c r="IM11" i="9"/>
  <c r="IN11" i="9"/>
  <c r="IO11" i="9"/>
  <c r="II12" i="9"/>
  <c r="IJ12" i="9"/>
  <c r="IK12" i="9"/>
  <c r="IL12" i="9"/>
  <c r="IM12" i="9"/>
  <c r="IN12" i="9"/>
  <c r="IO12" i="9"/>
  <c r="II13" i="9"/>
  <c r="IJ13" i="9"/>
  <c r="IK13" i="9"/>
  <c r="IL13" i="9"/>
  <c r="IM13" i="9"/>
  <c r="IN13" i="9"/>
  <c r="IO13" i="9"/>
  <c r="IH7" i="9"/>
  <c r="IH8" i="9"/>
  <c r="IH9" i="9"/>
  <c r="IH10" i="9"/>
  <c r="IH11" i="9"/>
  <c r="IH12" i="9"/>
  <c r="IH13" i="9"/>
  <c r="HS6" i="9"/>
  <c r="HT6" i="9"/>
  <c r="HU6" i="9"/>
  <c r="HV6" i="9"/>
  <c r="HW6" i="9"/>
  <c r="HX6" i="9"/>
  <c r="HY6" i="9"/>
  <c r="HS7" i="9"/>
  <c r="HT7" i="9"/>
  <c r="HU7" i="9"/>
  <c r="HV7" i="9"/>
  <c r="HW7" i="9"/>
  <c r="HX7" i="9"/>
  <c r="HY7" i="9"/>
  <c r="HS8" i="9"/>
  <c r="HT8" i="9"/>
  <c r="HU8" i="9"/>
  <c r="HV8" i="9"/>
  <c r="HW8" i="9"/>
  <c r="HX8" i="9"/>
  <c r="HY8" i="9"/>
  <c r="HS9" i="9"/>
  <c r="HT9" i="9"/>
  <c r="HU9" i="9"/>
  <c r="HV9" i="9"/>
  <c r="HW9" i="9"/>
  <c r="HX9" i="9"/>
  <c r="HY9" i="9"/>
  <c r="HS10" i="9"/>
  <c r="HT10" i="9"/>
  <c r="HU10" i="9"/>
  <c r="HV10" i="9"/>
  <c r="HW10" i="9"/>
  <c r="HX10" i="9"/>
  <c r="HY10" i="9"/>
  <c r="HS11" i="9"/>
  <c r="HT11" i="9"/>
  <c r="HU11" i="9"/>
  <c r="HV11" i="9"/>
  <c r="HW11" i="9"/>
  <c r="HX11" i="9"/>
  <c r="HY11" i="9"/>
  <c r="HS12" i="9"/>
  <c r="HT12" i="9"/>
  <c r="HU12" i="9"/>
  <c r="HV12" i="9"/>
  <c r="HW12" i="9"/>
  <c r="HX12" i="9"/>
  <c r="HY12" i="9"/>
  <c r="HS13" i="9"/>
  <c r="HT13" i="9"/>
  <c r="HU13" i="9"/>
  <c r="HV13" i="9"/>
  <c r="HW13" i="9"/>
  <c r="HX13" i="9"/>
  <c r="HY13" i="9"/>
  <c r="HR7" i="9"/>
  <c r="HR8" i="9"/>
  <c r="HR9" i="9"/>
  <c r="HR10" i="9"/>
  <c r="HR11" i="9"/>
  <c r="HR12" i="9"/>
  <c r="HR13" i="9"/>
  <c r="HC6" i="9"/>
  <c r="HD6" i="9"/>
  <c r="HE6" i="9"/>
  <c r="HF6" i="9"/>
  <c r="HG6" i="9"/>
  <c r="HH6" i="9"/>
  <c r="HI6" i="9"/>
  <c r="HC7" i="9"/>
  <c r="HD7" i="9"/>
  <c r="HE7" i="9"/>
  <c r="HF7" i="9"/>
  <c r="HG7" i="9"/>
  <c r="HH7" i="9"/>
  <c r="HI7" i="9"/>
  <c r="HC8" i="9"/>
  <c r="HD8" i="9"/>
  <c r="HE8" i="9"/>
  <c r="HF8" i="9"/>
  <c r="HG8" i="9"/>
  <c r="HH8" i="9"/>
  <c r="HI8" i="9"/>
  <c r="HC9" i="9"/>
  <c r="HD9" i="9"/>
  <c r="HE9" i="9"/>
  <c r="HF9" i="9"/>
  <c r="HG9" i="9"/>
  <c r="HH9" i="9"/>
  <c r="HI9" i="9"/>
  <c r="HC10" i="9"/>
  <c r="HD10" i="9"/>
  <c r="HE10" i="9"/>
  <c r="HF10" i="9"/>
  <c r="HG10" i="9"/>
  <c r="HH10" i="9"/>
  <c r="HI10" i="9"/>
  <c r="HC11" i="9"/>
  <c r="HD11" i="9"/>
  <c r="HE11" i="9"/>
  <c r="HF11" i="9"/>
  <c r="HG11" i="9"/>
  <c r="HH11" i="9"/>
  <c r="HI11" i="9"/>
  <c r="HC12" i="9"/>
  <c r="HD12" i="9"/>
  <c r="HE12" i="9"/>
  <c r="HF12" i="9"/>
  <c r="HG12" i="9"/>
  <c r="HH12" i="9"/>
  <c r="HI12" i="9"/>
  <c r="HC13" i="9"/>
  <c r="HD13" i="9"/>
  <c r="HE13" i="9"/>
  <c r="HF13" i="9"/>
  <c r="HG13" i="9"/>
  <c r="HH13" i="9"/>
  <c r="HI13" i="9"/>
  <c r="HB7" i="9"/>
  <c r="HB8" i="9"/>
  <c r="HB9" i="9"/>
  <c r="HB10" i="9"/>
  <c r="HB11" i="9"/>
  <c r="HB12" i="9"/>
  <c r="HB13" i="9"/>
  <c r="GM6" i="9"/>
  <c r="GN6" i="9"/>
  <c r="GO6" i="9"/>
  <c r="GP6" i="9"/>
  <c r="GQ6" i="9"/>
  <c r="GR6" i="9"/>
  <c r="GS6" i="9"/>
  <c r="GM7" i="9"/>
  <c r="GN7" i="9"/>
  <c r="GO7" i="9"/>
  <c r="GP7" i="9"/>
  <c r="GQ7" i="9"/>
  <c r="GR7" i="9"/>
  <c r="GS7" i="9"/>
  <c r="GM8" i="9"/>
  <c r="GN8" i="9"/>
  <c r="GO8" i="9"/>
  <c r="GP8" i="9"/>
  <c r="GQ8" i="9"/>
  <c r="GR8" i="9"/>
  <c r="GS8" i="9"/>
  <c r="GM9" i="9"/>
  <c r="GN9" i="9"/>
  <c r="GO9" i="9"/>
  <c r="GP9" i="9"/>
  <c r="GQ9" i="9"/>
  <c r="GR9" i="9"/>
  <c r="GS9" i="9"/>
  <c r="GM10" i="9"/>
  <c r="GN10" i="9"/>
  <c r="GO10" i="9"/>
  <c r="GP10" i="9"/>
  <c r="GQ10" i="9"/>
  <c r="GR10" i="9"/>
  <c r="GS10" i="9"/>
  <c r="GM11" i="9"/>
  <c r="GN11" i="9"/>
  <c r="GO11" i="9"/>
  <c r="GP11" i="9"/>
  <c r="GQ11" i="9"/>
  <c r="GR11" i="9"/>
  <c r="GS11" i="9"/>
  <c r="GM12" i="9"/>
  <c r="GN12" i="9"/>
  <c r="GO12" i="9"/>
  <c r="GP12" i="9"/>
  <c r="GQ12" i="9"/>
  <c r="GR12" i="9"/>
  <c r="GS12" i="9"/>
  <c r="GM13" i="9"/>
  <c r="GN13" i="9"/>
  <c r="GO13" i="9"/>
  <c r="GP13" i="9"/>
  <c r="GQ13" i="9"/>
  <c r="GR13" i="9"/>
  <c r="GS13" i="9"/>
  <c r="GL7" i="9"/>
  <c r="GL8" i="9"/>
  <c r="GL9" i="9"/>
  <c r="GL10" i="9"/>
  <c r="GL11" i="9"/>
  <c r="GL12" i="9"/>
  <c r="GL13" i="9"/>
  <c r="FW6" i="9"/>
  <c r="FX6" i="9"/>
  <c r="FY6" i="9"/>
  <c r="FZ6" i="9"/>
  <c r="GA6" i="9"/>
  <c r="GB6" i="9"/>
  <c r="GC6" i="9"/>
  <c r="FW7" i="9"/>
  <c r="FX7" i="9"/>
  <c r="FY7" i="9"/>
  <c r="FZ7" i="9"/>
  <c r="GA7" i="9"/>
  <c r="GB7" i="9"/>
  <c r="GC7" i="9"/>
  <c r="FW8" i="9"/>
  <c r="FX8" i="9"/>
  <c r="FY8" i="9"/>
  <c r="FZ8" i="9"/>
  <c r="GA8" i="9"/>
  <c r="GB8" i="9"/>
  <c r="GC8" i="9"/>
  <c r="FW9" i="9"/>
  <c r="FX9" i="9"/>
  <c r="FY9" i="9"/>
  <c r="FZ9" i="9"/>
  <c r="GA9" i="9"/>
  <c r="GB9" i="9"/>
  <c r="GC9" i="9"/>
  <c r="FW10" i="9"/>
  <c r="FX10" i="9"/>
  <c r="GA10" i="9"/>
  <c r="GC10" i="9"/>
  <c r="FW11" i="9"/>
  <c r="FX11" i="9"/>
  <c r="FY11" i="9"/>
  <c r="FZ11" i="9"/>
  <c r="GA11" i="9"/>
  <c r="GB11" i="9"/>
  <c r="GC11" i="9"/>
  <c r="FW12" i="9"/>
  <c r="FX12" i="9"/>
  <c r="FY12" i="9"/>
  <c r="FZ12" i="9"/>
  <c r="GA12" i="9"/>
  <c r="GB12" i="9"/>
  <c r="GC12" i="9"/>
  <c r="FW13" i="9"/>
  <c r="FX13" i="9"/>
  <c r="GA13" i="9"/>
  <c r="GC13" i="9"/>
  <c r="FV7" i="9"/>
  <c r="FV8" i="9"/>
  <c r="FV9" i="9"/>
  <c r="FV10" i="9"/>
  <c r="FV11" i="9"/>
  <c r="FV12" i="9"/>
  <c r="FV13" i="9"/>
  <c r="FG6" i="9"/>
  <c r="FH6" i="9"/>
  <c r="FI6" i="9"/>
  <c r="FJ6" i="9"/>
  <c r="FK6" i="9"/>
  <c r="FL6" i="9"/>
  <c r="FM6" i="9"/>
  <c r="FG7" i="9"/>
  <c r="FH7" i="9"/>
  <c r="FI7" i="9"/>
  <c r="FJ7" i="9"/>
  <c r="FK7" i="9"/>
  <c r="FL7" i="9"/>
  <c r="FM7" i="9"/>
  <c r="FG8" i="9"/>
  <c r="FH8" i="9"/>
  <c r="FI8" i="9"/>
  <c r="FJ8" i="9"/>
  <c r="FK8" i="9"/>
  <c r="FL8" i="9"/>
  <c r="FM8" i="9"/>
  <c r="FG9" i="9"/>
  <c r="FH9" i="9"/>
  <c r="FI9" i="9"/>
  <c r="FJ9" i="9"/>
  <c r="FK9" i="9"/>
  <c r="FL9" i="9"/>
  <c r="FM9" i="9"/>
  <c r="FG10" i="9"/>
  <c r="FH10" i="9"/>
  <c r="FK10" i="9"/>
  <c r="FM10" i="9"/>
  <c r="FG11" i="9"/>
  <c r="FH11" i="9"/>
  <c r="FI11" i="9"/>
  <c r="FJ11" i="9"/>
  <c r="FK11" i="9"/>
  <c r="FL11" i="9"/>
  <c r="FM11" i="9"/>
  <c r="FG12" i="9"/>
  <c r="FH12" i="9"/>
  <c r="FI12" i="9"/>
  <c r="FJ12" i="9"/>
  <c r="FK12" i="9"/>
  <c r="FL12" i="9"/>
  <c r="FM12" i="9"/>
  <c r="FG13" i="9"/>
  <c r="FH13" i="9"/>
  <c r="FK13" i="9"/>
  <c r="FM13" i="9"/>
  <c r="FF7" i="9"/>
  <c r="FF8" i="9"/>
  <c r="FF9" i="9"/>
  <c r="FF10" i="9"/>
  <c r="FF11" i="9"/>
  <c r="FF12" i="9"/>
  <c r="FF13" i="9"/>
  <c r="EQ6" i="9"/>
  <c r="ER6" i="9"/>
  <c r="ES6" i="9"/>
  <c r="ET6" i="9"/>
  <c r="EU6" i="9"/>
  <c r="EV6" i="9"/>
  <c r="EW6" i="9"/>
  <c r="EQ7" i="9"/>
  <c r="ER7" i="9"/>
  <c r="ES7" i="9"/>
  <c r="ET7" i="9"/>
  <c r="EU7" i="9"/>
  <c r="EV7" i="9"/>
  <c r="EW7" i="9"/>
  <c r="EQ8" i="9"/>
  <c r="ER8" i="9"/>
  <c r="ES8" i="9"/>
  <c r="ET8" i="9"/>
  <c r="EU8" i="9"/>
  <c r="EV8" i="9"/>
  <c r="EW8" i="9"/>
  <c r="EQ9" i="9"/>
  <c r="ER9" i="9"/>
  <c r="ES9" i="9"/>
  <c r="ET9" i="9"/>
  <c r="EU9" i="9"/>
  <c r="EV9" i="9"/>
  <c r="EW9" i="9"/>
  <c r="EQ10" i="9"/>
  <c r="ER10" i="9"/>
  <c r="EU10" i="9"/>
  <c r="EW10" i="9"/>
  <c r="EQ11" i="9"/>
  <c r="ER11" i="9"/>
  <c r="ES11" i="9"/>
  <c r="ET11" i="9"/>
  <c r="EU11" i="9"/>
  <c r="EV11" i="9"/>
  <c r="EW11" i="9"/>
  <c r="EQ12" i="9"/>
  <c r="ER12" i="9"/>
  <c r="ES12" i="9"/>
  <c r="ET12" i="9"/>
  <c r="EU12" i="9"/>
  <c r="EV12" i="9"/>
  <c r="EW12" i="9"/>
  <c r="EQ13" i="9"/>
  <c r="ER13" i="9"/>
  <c r="EU13" i="9"/>
  <c r="EW13" i="9"/>
  <c r="EP7" i="9"/>
  <c r="EP8" i="9"/>
  <c r="EP9" i="9"/>
  <c r="EP10" i="9"/>
  <c r="EP11" i="9"/>
  <c r="EP12" i="9"/>
  <c r="EP13" i="9"/>
  <c r="EA6" i="9"/>
  <c r="EB6" i="9"/>
  <c r="EC6" i="9"/>
  <c r="ED6" i="9"/>
  <c r="EE6" i="9"/>
  <c r="EF6" i="9"/>
  <c r="EG6" i="9"/>
  <c r="EA7" i="9"/>
  <c r="EB7" i="9"/>
  <c r="EC7" i="9"/>
  <c r="ED7" i="9"/>
  <c r="EE7" i="9"/>
  <c r="EF7" i="9"/>
  <c r="EG7" i="9"/>
  <c r="EA8" i="9"/>
  <c r="EB8" i="9"/>
  <c r="EC8" i="9"/>
  <c r="ED8" i="9"/>
  <c r="EE8" i="9"/>
  <c r="EF8" i="9"/>
  <c r="EG8" i="9"/>
  <c r="EA9" i="9"/>
  <c r="EB9" i="9"/>
  <c r="EC9" i="9"/>
  <c r="ED9" i="9"/>
  <c r="EE9" i="9"/>
  <c r="EF9" i="9"/>
  <c r="EG9" i="9"/>
  <c r="EA10" i="9"/>
  <c r="EB10" i="9"/>
  <c r="EE10" i="9"/>
  <c r="EF10" i="9"/>
  <c r="EV10" i="9" s="1"/>
  <c r="FL10" i="9" s="1"/>
  <c r="GB10" i="9" s="1"/>
  <c r="EG10" i="9"/>
  <c r="EA11" i="9"/>
  <c r="EB11" i="9"/>
  <c r="EC11" i="9"/>
  <c r="ED11" i="9"/>
  <c r="EE11" i="9"/>
  <c r="EF11" i="9"/>
  <c r="EG11" i="9"/>
  <c r="EA12" i="9"/>
  <c r="EB12" i="9"/>
  <c r="EC12" i="9"/>
  <c r="ED12" i="9"/>
  <c r="EE12" i="9"/>
  <c r="EF12" i="9"/>
  <c r="EG12" i="9"/>
  <c r="EA13" i="9"/>
  <c r="EB13" i="9"/>
  <c r="ED13" i="9"/>
  <c r="ET13" i="9" s="1"/>
  <c r="FJ13" i="9" s="1"/>
  <c r="FZ13" i="9" s="1"/>
  <c r="EE13" i="9"/>
  <c r="EF13" i="9"/>
  <c r="EV13" i="9" s="1"/>
  <c r="FL13" i="9" s="1"/>
  <c r="GB13" i="9" s="1"/>
  <c r="EG13" i="9"/>
  <c r="DZ10" i="9"/>
  <c r="DZ11" i="9"/>
  <c r="DZ12" i="9"/>
  <c r="DZ13" i="9"/>
  <c r="DZ7" i="9"/>
  <c r="DZ8" i="9"/>
  <c r="DZ9" i="9"/>
  <c r="B1" i="9"/>
  <c r="DK6" i="9"/>
  <c r="DL6" i="9"/>
  <c r="DM6" i="9"/>
  <c r="DN6" i="9"/>
  <c r="DO6" i="9"/>
  <c r="DP6" i="9"/>
  <c r="DQ6" i="9"/>
  <c r="DK7" i="9"/>
  <c r="DL7" i="9"/>
  <c r="DM7" i="9"/>
  <c r="DN7" i="9"/>
  <c r="DO7" i="9"/>
  <c r="DP7" i="9"/>
  <c r="DQ7" i="9"/>
  <c r="DK8" i="9"/>
  <c r="DL8" i="9"/>
  <c r="DM8" i="9"/>
  <c r="DN8" i="9"/>
  <c r="DO8" i="9"/>
  <c r="DP8" i="9"/>
  <c r="DQ8" i="9"/>
  <c r="DK9" i="9"/>
  <c r="DL9" i="9"/>
  <c r="DM9" i="9"/>
  <c r="DN9" i="9"/>
  <c r="DO9" i="9"/>
  <c r="DP9" i="9"/>
  <c r="DQ9" i="9"/>
  <c r="DK10" i="9"/>
  <c r="DL10" i="9"/>
  <c r="DO10" i="9"/>
  <c r="DQ10" i="9"/>
  <c r="DK11" i="9"/>
  <c r="DL11" i="9"/>
  <c r="DM11" i="9"/>
  <c r="DN11" i="9"/>
  <c r="DO11" i="9"/>
  <c r="DP11" i="9"/>
  <c r="DQ11" i="9"/>
  <c r="DK12" i="9"/>
  <c r="DL12" i="9"/>
  <c r="DM12" i="9"/>
  <c r="DN12" i="9"/>
  <c r="DO12" i="9"/>
  <c r="DP12" i="9"/>
  <c r="DQ12" i="9"/>
  <c r="DK13" i="9"/>
  <c r="DL13" i="9"/>
  <c r="DO13" i="9"/>
  <c r="DQ13" i="9"/>
  <c r="DJ7" i="9"/>
  <c r="DJ8" i="9"/>
  <c r="DJ9" i="9"/>
  <c r="DJ10" i="9"/>
  <c r="DJ11" i="9"/>
  <c r="DJ12" i="9"/>
  <c r="DJ13" i="9"/>
  <c r="CU12" i="9"/>
  <c r="CV12" i="9"/>
  <c r="CW12" i="9"/>
  <c r="CX12" i="9"/>
  <c r="CY12" i="9"/>
  <c r="CZ12" i="9"/>
  <c r="DA12" i="9"/>
  <c r="CU13" i="9"/>
  <c r="CV13" i="9"/>
  <c r="CY13" i="9"/>
  <c r="DA13" i="9"/>
  <c r="CT13" i="9"/>
  <c r="CE11" i="9"/>
  <c r="CF11" i="9"/>
  <c r="CV11" i="9" s="1"/>
  <c r="CG11" i="9"/>
  <c r="CH11" i="9"/>
  <c r="CX11" i="9" s="1"/>
  <c r="CI11" i="9"/>
  <c r="CJ11" i="9"/>
  <c r="CK11" i="9"/>
  <c r="DA11" i="9" s="1"/>
  <c r="CE12" i="9"/>
  <c r="CF12" i="9"/>
  <c r="CG12" i="9"/>
  <c r="CH12" i="9"/>
  <c r="CI12" i="9"/>
  <c r="CJ12" i="9"/>
  <c r="CK12" i="9"/>
  <c r="CE13" i="9"/>
  <c r="CF13" i="9"/>
  <c r="CI13" i="9"/>
  <c r="CK13" i="9"/>
  <c r="CD13" i="9"/>
  <c r="CU6" i="9"/>
  <c r="CV6" i="9"/>
  <c r="CW6" i="9"/>
  <c r="CX6" i="9"/>
  <c r="CY6" i="9"/>
  <c r="CZ6" i="9"/>
  <c r="DA6" i="9"/>
  <c r="CU7" i="9"/>
  <c r="CV7" i="9"/>
  <c r="CW7" i="9"/>
  <c r="CX7" i="9"/>
  <c r="CY7" i="9"/>
  <c r="CZ7" i="9"/>
  <c r="DA7" i="9"/>
  <c r="CU8" i="9"/>
  <c r="CV8" i="9"/>
  <c r="CW8" i="9"/>
  <c r="CX8" i="9"/>
  <c r="CY8" i="9"/>
  <c r="CZ8" i="9"/>
  <c r="DA8" i="9"/>
  <c r="CU9" i="9"/>
  <c r="CV9" i="9"/>
  <c r="CW9" i="9"/>
  <c r="CX9" i="9"/>
  <c r="CY9" i="9"/>
  <c r="CZ9" i="9"/>
  <c r="DA9" i="9"/>
  <c r="CU10" i="9"/>
  <c r="CV10" i="9"/>
  <c r="CY10" i="9"/>
  <c r="DA10" i="9"/>
  <c r="CU11" i="9"/>
  <c r="CW11" i="9"/>
  <c r="CY11" i="9"/>
  <c r="CZ11" i="9"/>
  <c r="CT7" i="9"/>
  <c r="CT8" i="9"/>
  <c r="CT9" i="9"/>
  <c r="CT10" i="9"/>
  <c r="CT11" i="9"/>
  <c r="CT12" i="9"/>
  <c r="CE6" i="9"/>
  <c r="CF6" i="9"/>
  <c r="CG6" i="9"/>
  <c r="CH6" i="9"/>
  <c r="CI6" i="9"/>
  <c r="CJ6" i="9"/>
  <c r="CK6" i="9"/>
  <c r="CE7" i="9"/>
  <c r="CF7" i="9"/>
  <c r="CG7" i="9"/>
  <c r="CH7" i="9"/>
  <c r="CI7" i="9"/>
  <c r="CJ7" i="9"/>
  <c r="CK7" i="9"/>
  <c r="CE8" i="9"/>
  <c r="CF8" i="9"/>
  <c r="CG8" i="9"/>
  <c r="CH8" i="9"/>
  <c r="CI8" i="9"/>
  <c r="CJ8" i="9"/>
  <c r="CK8" i="9"/>
  <c r="CE9" i="9"/>
  <c r="CF9" i="9"/>
  <c r="CG9" i="9"/>
  <c r="CH9" i="9"/>
  <c r="CI9" i="9"/>
  <c r="CJ9" i="9"/>
  <c r="CK9" i="9"/>
  <c r="CE10" i="9"/>
  <c r="CF10" i="9"/>
  <c r="CI10" i="9"/>
  <c r="CK10" i="9"/>
  <c r="CD7" i="9"/>
  <c r="CD8" i="9"/>
  <c r="CD9" i="9"/>
  <c r="CD10" i="9"/>
  <c r="CD11" i="9"/>
  <c r="CD12" i="9"/>
  <c r="BO6" i="9"/>
  <c r="BP6" i="9"/>
  <c r="BQ6" i="9"/>
  <c r="BR6" i="9"/>
  <c r="BS6" i="9"/>
  <c r="BT6" i="9"/>
  <c r="BU6" i="9"/>
  <c r="BO7" i="9"/>
  <c r="BP7" i="9"/>
  <c r="BQ7" i="9"/>
  <c r="BR7" i="9"/>
  <c r="BS7" i="9"/>
  <c r="BT7" i="9"/>
  <c r="BU7" i="9"/>
  <c r="BO8" i="9"/>
  <c r="BP8" i="9"/>
  <c r="BQ8" i="9"/>
  <c r="BR8" i="9"/>
  <c r="BS8" i="9"/>
  <c r="BT8" i="9"/>
  <c r="BU8" i="9"/>
  <c r="BO9" i="9"/>
  <c r="BP9" i="9"/>
  <c r="BQ9" i="9"/>
  <c r="BR9" i="9"/>
  <c r="BS9" i="9"/>
  <c r="BT9" i="9"/>
  <c r="BU9" i="9"/>
  <c r="BO10" i="9"/>
  <c r="BP10" i="9"/>
  <c r="BS10" i="9"/>
  <c r="BU10" i="9"/>
  <c r="BO11" i="9"/>
  <c r="BP11" i="9"/>
  <c r="BQ11" i="9"/>
  <c r="BR11" i="9"/>
  <c r="BS11" i="9"/>
  <c r="BT11" i="9"/>
  <c r="BU11" i="9"/>
  <c r="BO12" i="9"/>
  <c r="BP12" i="9"/>
  <c r="BQ12" i="9"/>
  <c r="BR12" i="9"/>
  <c r="BS12" i="9"/>
  <c r="BT12" i="9"/>
  <c r="BU12" i="9"/>
  <c r="BO13" i="9"/>
  <c r="BP13" i="9"/>
  <c r="BS13" i="9"/>
  <c r="BT13" i="9"/>
  <c r="CJ13" i="9" s="1"/>
  <c r="CZ13" i="9" s="1"/>
  <c r="DP13" i="9" s="1"/>
  <c r="BU13" i="9"/>
  <c r="BN7" i="9"/>
  <c r="BN8" i="9"/>
  <c r="BN9" i="9"/>
  <c r="BN10" i="9"/>
  <c r="BN11" i="9"/>
  <c r="BN12" i="9"/>
  <c r="BN13" i="9"/>
  <c r="AY6" i="9"/>
  <c r="AZ6" i="9"/>
  <c r="BA6" i="9"/>
  <c r="BB6" i="9"/>
  <c r="BC6" i="9"/>
  <c r="BD6" i="9"/>
  <c r="BE6" i="9"/>
  <c r="AY7" i="9"/>
  <c r="AZ7" i="9"/>
  <c r="BA7" i="9"/>
  <c r="BB7" i="9"/>
  <c r="BC7" i="9"/>
  <c r="BD7" i="9"/>
  <c r="BE7" i="9"/>
  <c r="AY8" i="9"/>
  <c r="AZ8" i="9"/>
  <c r="BA8" i="9"/>
  <c r="BB8" i="9"/>
  <c r="BC8" i="9"/>
  <c r="BD8" i="9"/>
  <c r="BE8" i="9"/>
  <c r="AY9" i="9"/>
  <c r="AZ9" i="9"/>
  <c r="BA9" i="9"/>
  <c r="BB9" i="9"/>
  <c r="BC9" i="9"/>
  <c r="BD9" i="9"/>
  <c r="BE9" i="9"/>
  <c r="AY10" i="9"/>
  <c r="AZ10" i="9"/>
  <c r="BA10" i="9"/>
  <c r="BB10" i="9"/>
  <c r="BC10" i="9"/>
  <c r="BD10" i="9"/>
  <c r="BE10" i="9"/>
  <c r="AY11" i="9"/>
  <c r="AZ11" i="9"/>
  <c r="BA11" i="9"/>
  <c r="BB11" i="9"/>
  <c r="BC11" i="9"/>
  <c r="BD11" i="9"/>
  <c r="BE11" i="9"/>
  <c r="AY12" i="9"/>
  <c r="AZ12" i="9"/>
  <c r="BA12" i="9"/>
  <c r="BB12" i="9"/>
  <c r="BC12" i="9"/>
  <c r="BD12" i="9"/>
  <c r="BE12" i="9"/>
  <c r="AY13" i="9"/>
  <c r="AZ13" i="9"/>
  <c r="BA13" i="9"/>
  <c r="BB13" i="9"/>
  <c r="BC13" i="9"/>
  <c r="BD13" i="9"/>
  <c r="BE13" i="9"/>
  <c r="AX7" i="9"/>
  <c r="AX8" i="9"/>
  <c r="AX9" i="9"/>
  <c r="AX10" i="9"/>
  <c r="AX11" i="9"/>
  <c r="AX12" i="9"/>
  <c r="AX13" i="9"/>
  <c r="AI6" i="9"/>
  <c r="AJ6" i="9"/>
  <c r="AK6" i="9"/>
  <c r="AL6" i="9"/>
  <c r="AM6" i="9"/>
  <c r="AN6" i="9"/>
  <c r="AO6" i="9"/>
  <c r="AI7" i="9"/>
  <c r="AJ7" i="9"/>
  <c r="AK7" i="9"/>
  <c r="AL7" i="9"/>
  <c r="AM7" i="9"/>
  <c r="AN7" i="9"/>
  <c r="AO7" i="9"/>
  <c r="AI8" i="9"/>
  <c r="AJ8" i="9"/>
  <c r="AK8" i="9"/>
  <c r="AL8" i="9"/>
  <c r="AM8" i="9"/>
  <c r="AN8" i="9"/>
  <c r="AO8" i="9"/>
  <c r="AI9" i="9"/>
  <c r="AJ9" i="9"/>
  <c r="AK9" i="9"/>
  <c r="AL9" i="9"/>
  <c r="AM9" i="9"/>
  <c r="AN9" i="9"/>
  <c r="AO9" i="9"/>
  <c r="AI10" i="9"/>
  <c r="AJ10" i="9"/>
  <c r="AK10" i="9"/>
  <c r="AL10" i="9"/>
  <c r="AM10" i="9"/>
  <c r="AN10" i="9"/>
  <c r="AO10" i="9"/>
  <c r="AI11" i="9"/>
  <c r="AJ11" i="9"/>
  <c r="AK11" i="9"/>
  <c r="AL11" i="9"/>
  <c r="AM11" i="9"/>
  <c r="AN11" i="9"/>
  <c r="AO11" i="9"/>
  <c r="AI12" i="9"/>
  <c r="AJ12" i="9"/>
  <c r="AK12" i="9"/>
  <c r="AL12" i="9"/>
  <c r="AM12" i="9"/>
  <c r="AN12" i="9"/>
  <c r="AO12" i="9"/>
  <c r="AI13" i="9"/>
  <c r="AJ13" i="9"/>
  <c r="AK13" i="9"/>
  <c r="AL13" i="9"/>
  <c r="AM13" i="9"/>
  <c r="AN13" i="9"/>
  <c r="AO13" i="9"/>
  <c r="AH7" i="9"/>
  <c r="AH8" i="9"/>
  <c r="AH9" i="9"/>
  <c r="AH10" i="9"/>
  <c r="AH11" i="9"/>
  <c r="AH12" i="9"/>
  <c r="AH13" i="9"/>
  <c r="S6" i="9"/>
  <c r="T6" i="9"/>
  <c r="U6" i="9"/>
  <c r="V6" i="9"/>
  <c r="W6" i="9"/>
  <c r="X6" i="9"/>
  <c r="Y6" i="9"/>
  <c r="S7" i="9"/>
  <c r="T7" i="9"/>
  <c r="U7" i="9"/>
  <c r="V7" i="9"/>
  <c r="W7" i="9"/>
  <c r="X7" i="9"/>
  <c r="Y7" i="9"/>
  <c r="S8" i="9"/>
  <c r="T8" i="9"/>
  <c r="U8" i="9"/>
  <c r="V8" i="9"/>
  <c r="W8" i="9"/>
  <c r="X8" i="9"/>
  <c r="Y8" i="9"/>
  <c r="S9" i="9"/>
  <c r="T9" i="9"/>
  <c r="U9" i="9"/>
  <c r="V9" i="9"/>
  <c r="W9" i="9"/>
  <c r="X9" i="9"/>
  <c r="Y9" i="9"/>
  <c r="S10" i="9"/>
  <c r="T10" i="9"/>
  <c r="U10" i="9"/>
  <c r="V10" i="9"/>
  <c r="W10" i="9"/>
  <c r="X10" i="9"/>
  <c r="Y10" i="9"/>
  <c r="S11" i="9"/>
  <c r="T11" i="9"/>
  <c r="U11" i="9"/>
  <c r="V11" i="9"/>
  <c r="W11" i="9"/>
  <c r="X11" i="9"/>
  <c r="Y11" i="9"/>
  <c r="S12" i="9"/>
  <c r="T12" i="9"/>
  <c r="U12" i="9"/>
  <c r="V12" i="9"/>
  <c r="W12" i="9"/>
  <c r="X12" i="9"/>
  <c r="Y12" i="9"/>
  <c r="S13" i="9"/>
  <c r="T13" i="9"/>
  <c r="U13" i="9"/>
  <c r="V13" i="9"/>
  <c r="W13" i="9"/>
  <c r="X13" i="9"/>
  <c r="Y13" i="9"/>
  <c r="R7" i="9"/>
  <c r="R8" i="9"/>
  <c r="R9" i="9"/>
  <c r="R10" i="9"/>
  <c r="R11" i="9"/>
  <c r="R12" i="9"/>
  <c r="R13" i="9"/>
  <c r="C6" i="9"/>
  <c r="D6" i="9"/>
  <c r="E6" i="9"/>
  <c r="F6" i="9"/>
  <c r="G6" i="9"/>
  <c r="H6" i="9"/>
  <c r="I6" i="9"/>
  <c r="C7" i="9"/>
  <c r="D7" i="9"/>
  <c r="E7" i="9"/>
  <c r="F7" i="9"/>
  <c r="G7" i="9"/>
  <c r="H7" i="9"/>
  <c r="I7" i="9"/>
  <c r="C8" i="9"/>
  <c r="D8" i="9"/>
  <c r="E8" i="9"/>
  <c r="F8" i="9"/>
  <c r="G8" i="9"/>
  <c r="H8" i="9"/>
  <c r="I8" i="9"/>
  <c r="C9" i="9"/>
  <c r="D9" i="9"/>
  <c r="E9" i="9"/>
  <c r="F9" i="9"/>
  <c r="G9" i="9"/>
  <c r="H9" i="9"/>
  <c r="I9" i="9"/>
  <c r="C10" i="9"/>
  <c r="D10" i="9"/>
  <c r="E10" i="9"/>
  <c r="F10" i="9"/>
  <c r="G10" i="9"/>
  <c r="H10" i="9"/>
  <c r="I10" i="9"/>
  <c r="C11" i="9"/>
  <c r="D11" i="9"/>
  <c r="E11" i="9"/>
  <c r="F11" i="9"/>
  <c r="G11" i="9"/>
  <c r="H11" i="9"/>
  <c r="I11" i="9"/>
  <c r="C12" i="9"/>
  <c r="D12" i="9"/>
  <c r="E12" i="9"/>
  <c r="F12" i="9"/>
  <c r="G12" i="9"/>
  <c r="H12" i="9"/>
  <c r="I12" i="9"/>
  <c r="C13" i="9"/>
  <c r="D13" i="9"/>
  <c r="E13" i="9"/>
  <c r="F13" i="9"/>
  <c r="G13" i="9"/>
  <c r="H13" i="9"/>
  <c r="I13" i="9"/>
  <c r="B7" i="9"/>
  <c r="B8" i="9"/>
  <c r="B9" i="9"/>
  <c r="B10" i="9"/>
  <c r="B11" i="9"/>
  <c r="B12" i="9"/>
  <c r="B13" i="9"/>
  <c r="AY5" i="5"/>
  <c r="AZ5" i="5"/>
  <c r="BA5" i="5"/>
  <c r="BB5" i="5"/>
  <c r="BC5" i="5"/>
  <c r="BD5" i="5"/>
  <c r="BE5" i="5"/>
  <c r="AY6" i="5"/>
  <c r="AZ6" i="5"/>
  <c r="BA6" i="5"/>
  <c r="BB6" i="5"/>
  <c r="BC6" i="5"/>
  <c r="BD6" i="5"/>
  <c r="BE6" i="5"/>
  <c r="AY7" i="5"/>
  <c r="AZ7" i="5"/>
  <c r="BA7" i="5"/>
  <c r="BB7" i="5"/>
  <c r="BC7" i="5"/>
  <c r="BD7" i="5"/>
  <c r="BE7" i="5"/>
  <c r="AY8" i="5"/>
  <c r="AZ8" i="5"/>
  <c r="BA8" i="5"/>
  <c r="BB8" i="5"/>
  <c r="BC8" i="5"/>
  <c r="BD8" i="5"/>
  <c r="BE8" i="5"/>
  <c r="AY9" i="5"/>
  <c r="AZ9" i="5"/>
  <c r="BA9" i="5"/>
  <c r="BB9" i="5"/>
  <c r="BC9" i="5"/>
  <c r="BD9" i="5"/>
  <c r="BE9" i="5"/>
  <c r="AY10" i="5"/>
  <c r="AZ10" i="5"/>
  <c r="BA10" i="5"/>
  <c r="BB10" i="5"/>
  <c r="BC10" i="5"/>
  <c r="BD10" i="5"/>
  <c r="BE10" i="5"/>
  <c r="AY11" i="5"/>
  <c r="AZ11" i="5"/>
  <c r="BA11" i="5"/>
  <c r="BB11" i="5"/>
  <c r="BC11" i="5"/>
  <c r="BD11" i="5"/>
  <c r="BE11" i="5"/>
  <c r="AY12" i="5"/>
  <c r="AZ12" i="5"/>
  <c r="BA12" i="5"/>
  <c r="BB12" i="5"/>
  <c r="BC12" i="5"/>
  <c r="BD12" i="5"/>
  <c r="BE12" i="5"/>
  <c r="AX6" i="5"/>
  <c r="AX7" i="5"/>
  <c r="AX8" i="5"/>
  <c r="AX9" i="5"/>
  <c r="AX10" i="5"/>
  <c r="AX11" i="5"/>
  <c r="AX12" i="5"/>
  <c r="AI5" i="5"/>
  <c r="AJ5" i="5"/>
  <c r="AK5" i="5"/>
  <c r="AL5" i="5"/>
  <c r="AM5" i="5"/>
  <c r="AN5" i="5"/>
  <c r="AO5" i="5"/>
  <c r="AI6" i="5"/>
  <c r="AJ6" i="5"/>
  <c r="AK6" i="5"/>
  <c r="AL6" i="5"/>
  <c r="AM6" i="5"/>
  <c r="AN6" i="5"/>
  <c r="AO6" i="5"/>
  <c r="AI7" i="5"/>
  <c r="AJ7" i="5"/>
  <c r="AK7" i="5"/>
  <c r="AL7" i="5"/>
  <c r="AM7" i="5"/>
  <c r="AN7" i="5"/>
  <c r="AO7" i="5"/>
  <c r="AI8" i="5"/>
  <c r="AJ8" i="5"/>
  <c r="AK8" i="5"/>
  <c r="AL8" i="5"/>
  <c r="AM8" i="5"/>
  <c r="AN8" i="5"/>
  <c r="AO8" i="5"/>
  <c r="AI9" i="5"/>
  <c r="AJ9" i="5"/>
  <c r="AK9" i="5"/>
  <c r="EC10" i="9" s="1"/>
  <c r="ES10" i="9" s="1"/>
  <c r="FI10" i="9" s="1"/>
  <c r="FY10" i="9" s="1"/>
  <c r="AL9" i="5"/>
  <c r="ED10" i="9" s="1"/>
  <c r="ET10" i="9" s="1"/>
  <c r="FJ10" i="9" s="1"/>
  <c r="FZ10" i="9" s="1"/>
  <c r="AM9" i="5"/>
  <c r="AN9" i="5"/>
  <c r="AO9" i="5"/>
  <c r="AI10" i="5"/>
  <c r="AJ10" i="5"/>
  <c r="AK10" i="5"/>
  <c r="AL10" i="5"/>
  <c r="AM10" i="5"/>
  <c r="AN10" i="5"/>
  <c r="AO10" i="5"/>
  <c r="AI11" i="5"/>
  <c r="AJ11" i="5"/>
  <c r="AK11" i="5"/>
  <c r="AL11" i="5"/>
  <c r="AM11" i="5"/>
  <c r="AN11" i="5"/>
  <c r="AO11" i="5"/>
  <c r="AI12" i="5"/>
  <c r="AJ12" i="5"/>
  <c r="AK12" i="5"/>
  <c r="EC13" i="9" s="1"/>
  <c r="ES13" i="9" s="1"/>
  <c r="FI13" i="9" s="1"/>
  <c r="FY13" i="9" s="1"/>
  <c r="AL12" i="5"/>
  <c r="AM12" i="5"/>
  <c r="AN12" i="5"/>
  <c r="AO12" i="5"/>
  <c r="AH6" i="5"/>
  <c r="AH7" i="5"/>
  <c r="AH8" i="5"/>
  <c r="AH9" i="5"/>
  <c r="AH10" i="5"/>
  <c r="AH11" i="5"/>
  <c r="AH12" i="5"/>
  <c r="S5" i="5"/>
  <c r="T5" i="5"/>
  <c r="U5" i="5"/>
  <c r="V5" i="5"/>
  <c r="W5" i="5"/>
  <c r="X5" i="5"/>
  <c r="Y5" i="5"/>
  <c r="S6" i="5"/>
  <c r="T6" i="5"/>
  <c r="U6" i="5"/>
  <c r="V6" i="5"/>
  <c r="W6" i="5"/>
  <c r="X6" i="5"/>
  <c r="Y6" i="5"/>
  <c r="S7" i="5"/>
  <c r="T7" i="5"/>
  <c r="U7" i="5"/>
  <c r="V7" i="5"/>
  <c r="W7" i="5"/>
  <c r="X7" i="5"/>
  <c r="Y7" i="5"/>
  <c r="S8" i="5"/>
  <c r="T8" i="5"/>
  <c r="U8" i="5"/>
  <c r="V8" i="5"/>
  <c r="W8" i="5"/>
  <c r="X8" i="5"/>
  <c r="Y8" i="5"/>
  <c r="S9" i="5"/>
  <c r="T9" i="5"/>
  <c r="U9" i="5"/>
  <c r="BQ10" i="9" s="1"/>
  <c r="CG10" i="9" s="1"/>
  <c r="CW10" i="9" s="1"/>
  <c r="DM10" i="9" s="1"/>
  <c r="V9" i="5"/>
  <c r="BR10" i="9" s="1"/>
  <c r="CH10" i="9" s="1"/>
  <c r="CX10" i="9" s="1"/>
  <c r="DN10" i="9" s="1"/>
  <c r="W9" i="5"/>
  <c r="X9" i="5"/>
  <c r="BT10" i="9" s="1"/>
  <c r="CJ10" i="9" s="1"/>
  <c r="CZ10" i="9" s="1"/>
  <c r="DP10" i="9" s="1"/>
  <c r="Y9" i="5"/>
  <c r="S10" i="5"/>
  <c r="T10" i="5"/>
  <c r="U10" i="5"/>
  <c r="V10" i="5"/>
  <c r="W10" i="5"/>
  <c r="X10" i="5"/>
  <c r="Y10" i="5"/>
  <c r="S11" i="5"/>
  <c r="T11" i="5"/>
  <c r="U11" i="5"/>
  <c r="V11" i="5"/>
  <c r="W11" i="5"/>
  <c r="X11" i="5"/>
  <c r="Y11" i="5"/>
  <c r="S12" i="5"/>
  <c r="T12" i="5"/>
  <c r="U12" i="5"/>
  <c r="BQ13" i="9" s="1"/>
  <c r="CG13" i="9" s="1"/>
  <c r="CW13" i="9" s="1"/>
  <c r="DM13" i="9" s="1"/>
  <c r="V12" i="5"/>
  <c r="BR13" i="9" s="1"/>
  <c r="CH13" i="9" s="1"/>
  <c r="CX13" i="9" s="1"/>
  <c r="DN13" i="9" s="1"/>
  <c r="W12" i="5"/>
  <c r="X12" i="5"/>
  <c r="Y12" i="5"/>
  <c r="R6" i="5"/>
  <c r="R7" i="5"/>
  <c r="R8" i="5"/>
  <c r="R9" i="5"/>
  <c r="R10" i="5"/>
  <c r="R11" i="5"/>
  <c r="R12" i="5"/>
  <c r="R5" i="5"/>
  <c r="C5" i="5"/>
  <c r="D5" i="5"/>
  <c r="E5" i="5"/>
  <c r="F5" i="5"/>
  <c r="G5" i="5"/>
  <c r="H5" i="5"/>
  <c r="I5" i="5"/>
  <c r="C6" i="5"/>
  <c r="D6" i="5"/>
  <c r="E6" i="5"/>
  <c r="F6" i="5"/>
  <c r="G6" i="5"/>
  <c r="H6" i="5"/>
  <c r="I6" i="5"/>
  <c r="C7" i="5"/>
  <c r="D7" i="5"/>
  <c r="E7" i="5"/>
  <c r="F7" i="5"/>
  <c r="G7" i="5"/>
  <c r="H7" i="5"/>
  <c r="I7" i="5"/>
  <c r="C8" i="5"/>
  <c r="D8" i="5"/>
  <c r="E8" i="5"/>
  <c r="F8" i="5"/>
  <c r="G8" i="5"/>
  <c r="H8" i="5"/>
  <c r="I8" i="5"/>
  <c r="C9" i="5"/>
  <c r="D9" i="5"/>
  <c r="E9" i="5"/>
  <c r="F9" i="5"/>
  <c r="G9" i="5"/>
  <c r="H9" i="5"/>
  <c r="I9" i="5"/>
  <c r="C10" i="5"/>
  <c r="D10" i="5"/>
  <c r="E10" i="5"/>
  <c r="F10" i="5"/>
  <c r="G10" i="5"/>
  <c r="H10" i="5"/>
  <c r="I10" i="5"/>
  <c r="C11" i="5"/>
  <c r="D11" i="5"/>
  <c r="E11" i="5"/>
  <c r="F11" i="5"/>
  <c r="G11" i="5"/>
  <c r="H11" i="5"/>
  <c r="I11" i="5"/>
  <c r="C12" i="5"/>
  <c r="D12" i="5"/>
  <c r="E12" i="5"/>
  <c r="F12" i="5"/>
  <c r="G12" i="5"/>
  <c r="H12" i="5"/>
  <c r="I12" i="5"/>
  <c r="B6" i="5"/>
  <c r="B7" i="5"/>
  <c r="B8" i="5"/>
  <c r="B9" i="5"/>
  <c r="B10" i="5"/>
  <c r="B11" i="5"/>
  <c r="B12" i="5"/>
  <c r="C5" i="13"/>
  <c r="D5" i="13"/>
  <c r="E5" i="13"/>
  <c r="F5" i="13"/>
  <c r="G5" i="13"/>
  <c r="H5" i="13"/>
  <c r="I5" i="13"/>
  <c r="C6" i="13"/>
  <c r="D6" i="13"/>
  <c r="E6" i="13"/>
  <c r="F6" i="13"/>
  <c r="G6" i="13"/>
  <c r="H6" i="13"/>
  <c r="I6" i="13"/>
  <c r="C7" i="13"/>
  <c r="D7" i="13"/>
  <c r="E7" i="13"/>
  <c r="F7" i="13"/>
  <c r="G7" i="13"/>
  <c r="H7" i="13"/>
  <c r="I7" i="13"/>
  <c r="C8" i="13"/>
  <c r="D8" i="13"/>
  <c r="E8" i="13"/>
  <c r="F8" i="13"/>
  <c r="G8" i="13"/>
  <c r="H8" i="13"/>
  <c r="I8" i="13"/>
  <c r="C9" i="13"/>
  <c r="D9" i="13"/>
  <c r="E9" i="13"/>
  <c r="F9" i="13"/>
  <c r="G9" i="13"/>
  <c r="H9" i="13"/>
  <c r="I9" i="13"/>
  <c r="C10" i="13"/>
  <c r="D10" i="13"/>
  <c r="E10" i="13"/>
  <c r="F10" i="13"/>
  <c r="G10" i="13"/>
  <c r="H10" i="13"/>
  <c r="I10" i="13"/>
  <c r="C11" i="13"/>
  <c r="D11" i="13"/>
  <c r="E11" i="13"/>
  <c r="F11" i="13"/>
  <c r="G11" i="13"/>
  <c r="H11" i="13"/>
  <c r="I11" i="13"/>
  <c r="C12" i="13"/>
  <c r="D12" i="13"/>
  <c r="E12" i="13"/>
  <c r="F12" i="13"/>
  <c r="G12" i="13"/>
  <c r="H12" i="13"/>
  <c r="I12" i="13"/>
  <c r="B6" i="13"/>
  <c r="B7" i="13"/>
  <c r="B8" i="13"/>
  <c r="B9" i="13"/>
  <c r="B10" i="13"/>
  <c r="B11" i="13"/>
  <c r="B12" i="13"/>
  <c r="J61" i="1"/>
  <c r="K61" i="1"/>
  <c r="O61" i="1" s="1" a="1"/>
  <c r="O61" i="1" s="1"/>
  <c r="L61" i="1"/>
  <c r="P61" i="1" s="1" a="1"/>
  <c r="P61" i="1" s="1"/>
  <c r="J56" i="1"/>
  <c r="K56" i="1"/>
  <c r="L56" i="1"/>
  <c r="P56" i="1" s="1" a="1"/>
  <c r="P56" i="1" s="1"/>
  <c r="J57" i="1"/>
  <c r="K57" i="1"/>
  <c r="L57" i="1"/>
  <c r="P57" i="1" s="1" a="1"/>
  <c r="P57" i="1" s="1"/>
  <c r="J58" i="1"/>
  <c r="K58" i="1"/>
  <c r="O58" i="1" s="1" a="1"/>
  <c r="O58" i="1" s="1"/>
  <c r="L58" i="1"/>
  <c r="P58" i="1" s="1" a="1"/>
  <c r="P58" i="1" s="1"/>
  <c r="J59" i="1"/>
  <c r="K59" i="1"/>
  <c r="L59" i="1"/>
  <c r="P59" i="1" s="1" a="1"/>
  <c r="P59" i="1" s="1"/>
  <c r="J60" i="1"/>
  <c r="K60" i="1"/>
  <c r="L60" i="1"/>
  <c r="P60" i="1" s="1" a="1"/>
  <c r="P60" i="1" s="1"/>
  <c r="K55" i="1"/>
  <c r="L55" i="1"/>
  <c r="P55" i="1" s="1" a="1"/>
  <c r="P55" i="1" s="1"/>
  <c r="J55" i="1"/>
  <c r="K53" i="1"/>
  <c r="O53" i="1" s="1" a="1"/>
  <c r="O53" i="1" s="1"/>
  <c r="L53" i="1"/>
  <c r="P53" i="1" s="1" a="1"/>
  <c r="P53" i="1" s="1"/>
  <c r="K54" i="1"/>
  <c r="L54" i="1"/>
  <c r="P54" i="1" s="1" a="1"/>
  <c r="P54" i="1" s="1"/>
  <c r="J54" i="1"/>
  <c r="J53" i="1"/>
  <c r="K52" i="1"/>
  <c r="O52" i="1" s="1" a="1"/>
  <c r="O52" i="1" s="1"/>
  <c r="L52" i="1"/>
  <c r="P52" i="1" s="1" a="1"/>
  <c r="P52" i="1" s="1"/>
  <c r="J52" i="1"/>
  <c r="K51" i="1"/>
  <c r="O51" i="1" s="1" a="1"/>
  <c r="O51" i="1" s="1"/>
  <c r="L51" i="1"/>
  <c r="P51" i="1" s="1" a="1"/>
  <c r="P51" i="1" s="1"/>
  <c r="J51" i="1"/>
  <c r="K50" i="1"/>
  <c r="L50" i="1"/>
  <c r="P50" i="1" s="1" a="1"/>
  <c r="P50" i="1" s="1"/>
  <c r="J50" i="1"/>
  <c r="L6" i="17"/>
  <c r="K6" i="17"/>
  <c r="J6" i="17"/>
  <c r="L5" i="17"/>
  <c r="K5" i="17"/>
  <c r="J5" i="17"/>
  <c r="L4" i="17"/>
  <c r="K4" i="17"/>
  <c r="J4" i="17"/>
  <c r="C53" i="15"/>
  <c r="D53" i="15"/>
  <c r="B53" i="15"/>
  <c r="F3" i="15"/>
  <c r="F4" i="15"/>
  <c r="F5" i="15"/>
  <c r="F6" i="15"/>
  <c r="F7" i="15"/>
  <c r="F8" i="15"/>
  <c r="F9" i="15"/>
  <c r="F10" i="15"/>
  <c r="F11" i="15"/>
  <c r="F12" i="15"/>
  <c r="F13" i="15"/>
  <c r="F14" i="15"/>
  <c r="F15" i="15"/>
  <c r="F16" i="15"/>
  <c r="F17" i="15"/>
  <c r="F18" i="15"/>
  <c r="F19" i="15"/>
  <c r="F20" i="15"/>
  <c r="F21" i="15"/>
  <c r="F22" i="15"/>
  <c r="F23" i="15"/>
  <c r="F24" i="15"/>
  <c r="F25" i="15"/>
  <c r="F26" i="15"/>
  <c r="F27" i="15"/>
  <c r="F28" i="15"/>
  <c r="F29" i="15"/>
  <c r="F30" i="15"/>
  <c r="F31" i="15"/>
  <c r="F32" i="15"/>
  <c r="F33" i="15"/>
  <c r="F34" i="15"/>
  <c r="F35" i="15"/>
  <c r="F36" i="15"/>
  <c r="F37" i="15"/>
  <c r="F38" i="15"/>
  <c r="F39" i="15"/>
  <c r="F40" i="15"/>
  <c r="F41" i="15"/>
  <c r="F42" i="15"/>
  <c r="F43" i="15"/>
  <c r="F44" i="15"/>
  <c r="F45" i="15"/>
  <c r="F46" i="15"/>
  <c r="F47" i="15"/>
  <c r="F48" i="15"/>
  <c r="F49" i="15"/>
  <c r="F50" i="15"/>
  <c r="F51" i="15"/>
  <c r="F2" i="15"/>
  <c r="A15" i="3" a="1"/>
  <c r="A15" i="3" s="1"/>
  <c r="K2" i="16" s="1"/>
  <c r="K48" i="1"/>
  <c r="O48" i="1" s="1" a="1"/>
  <c r="O48" i="1" s="1"/>
  <c r="L48" i="1"/>
  <c r="P48" i="1" s="1" a="1"/>
  <c r="P48" i="1" s="1"/>
  <c r="K49" i="1"/>
  <c r="L49" i="1"/>
  <c r="P49" i="1" s="1" a="1"/>
  <c r="P49" i="1" s="1"/>
  <c r="L8" i="1"/>
  <c r="P8" i="1" s="1" a="1"/>
  <c r="P8" i="1" s="1"/>
  <c r="K8" i="1"/>
  <c r="J8" i="1"/>
  <c r="Q59" i="1" l="1"/>
  <c r="G15" i="3" a="1"/>
  <c r="G15" i="3" s="1"/>
  <c r="K8" i="16" s="1"/>
  <c r="Q49" i="1"/>
  <c r="Q55" i="1"/>
  <c r="Q62" i="1"/>
  <c r="H62" i="1" s="1"/>
  <c r="Q54" i="1"/>
  <c r="Q57" i="1"/>
  <c r="Q56" i="1"/>
  <c r="Q50" i="1"/>
  <c r="Q8" i="1"/>
  <c r="Q60" i="1"/>
  <c r="O57" i="1" a="1"/>
  <c r="O57" i="1" s="1"/>
  <c r="O54" i="1" a="1"/>
  <c r="O54" i="1" s="1"/>
  <c r="O60" i="1" a="1"/>
  <c r="O60" i="1" s="1"/>
  <c r="Q61" i="1"/>
  <c r="H61" i="1" s="1"/>
  <c r="Q53" i="1"/>
  <c r="H53" i="1" s="1"/>
  <c r="O50" i="1" a="1"/>
  <c r="O50" i="1" s="1"/>
  <c r="H50" i="1" s="1"/>
  <c r="Q52" i="1"/>
  <c r="H52" i="1" s="1"/>
  <c r="O59" i="1" a="1"/>
  <c r="O59" i="1" s="1"/>
  <c r="H59" i="1" s="1"/>
  <c r="O56" i="1" a="1"/>
  <c r="O56" i="1" s="1"/>
  <c r="O8" i="1" a="1"/>
  <c r="O8" i="1" s="1"/>
  <c r="Q51" i="1"/>
  <c r="H51" i="1" s="1"/>
  <c r="O49" i="1" a="1"/>
  <c r="O49" i="1" s="1"/>
  <c r="Q58" i="1"/>
  <c r="H58" i="1" s="1"/>
  <c r="O55" i="1" a="1"/>
  <c r="O55" i="1" s="1"/>
  <c r="Q48" i="1"/>
  <c r="H48" i="1" s="1"/>
  <c r="I64" i="2"/>
  <c r="C15" i="3" a="1"/>
  <c r="C15" i="3" s="1"/>
  <c r="K4" i="16" s="1"/>
  <c r="H15" i="3" a="1"/>
  <c r="H15" i="3" s="1"/>
  <c r="K9" i="16" s="1"/>
  <c r="D15" i="3" a="1"/>
  <c r="D15" i="3" s="1"/>
  <c r="K5" i="16" s="1"/>
  <c r="B15" i="3" a="1"/>
  <c r="B15" i="3" s="1"/>
  <c r="K3" i="16" s="1"/>
  <c r="F15" i="3" a="1"/>
  <c r="F15" i="3" s="1"/>
  <c r="K7" i="16" s="1"/>
  <c r="E15" i="3" a="1"/>
  <c r="E15" i="3" s="1"/>
  <c r="K6" i="16" s="1"/>
  <c r="D10" i="16"/>
  <c r="E10" i="16"/>
  <c r="F10" i="16"/>
  <c r="G10" i="16"/>
  <c r="H10" i="16"/>
  <c r="I10" i="16"/>
  <c r="B10" i="16"/>
  <c r="H49" i="1" l="1"/>
  <c r="H55" i="1"/>
  <c r="H54" i="1"/>
  <c r="H56" i="1"/>
  <c r="H57" i="1"/>
  <c r="H8" i="1"/>
  <c r="H60" i="1"/>
  <c r="J49" i="1"/>
  <c r="J48" i="1"/>
  <c r="B3" i="14"/>
  <c r="B4" i="14"/>
  <c r="B5" i="14"/>
  <c r="B2" i="14"/>
  <c r="AH2" i="9"/>
  <c r="AX2" i="9"/>
  <c r="BN2" i="9" s="1"/>
  <c r="R2" i="9"/>
  <c r="B2" i="9"/>
  <c r="AX2" i="5"/>
  <c r="AH2" i="5"/>
  <c r="R2" i="5"/>
  <c r="I41" i="5" s="1"/>
  <c r="K47" i="5"/>
  <c r="K48" i="5"/>
  <c r="K50" i="5"/>
  <c r="K43" i="5"/>
  <c r="CD2" i="9" l="1"/>
  <c r="CT2" i="9" s="1"/>
  <c r="DJ2" i="9" s="1"/>
  <c r="DZ2" i="9" s="1"/>
  <c r="EP2" i="9" s="1"/>
  <c r="FF2" i="9" s="1"/>
  <c r="FV2" i="9" s="1"/>
  <c r="GL2" i="9" s="1"/>
  <c r="HB2" i="9" s="1"/>
  <c r="HR2" i="9" s="1"/>
  <c r="IH2" i="9" s="1"/>
  <c r="C33" i="9"/>
  <c r="B5" i="13"/>
  <c r="I4" i="13"/>
  <c r="H4" i="13"/>
  <c r="G4" i="13"/>
  <c r="E4" i="13"/>
  <c r="D4" i="13"/>
  <c r="C4" i="13"/>
  <c r="B4" i="13"/>
  <c r="GU6" i="9"/>
  <c r="HK6" i="9" s="1"/>
  <c r="IA6" i="9" s="1"/>
  <c r="IQ6" i="9" s="1"/>
  <c r="GV6" i="9"/>
  <c r="HL6" i="9" s="1"/>
  <c r="IB6" i="9" s="1"/>
  <c r="IR6" i="9" s="1"/>
  <c r="GW6" i="9"/>
  <c r="HM6" i="9" s="1"/>
  <c r="IC6" i="9" s="1"/>
  <c r="IS6" i="9" s="1"/>
  <c r="GX6" i="9"/>
  <c r="HN6" i="9" s="1"/>
  <c r="ID6" i="9" s="1"/>
  <c r="IT6" i="9" s="1"/>
  <c r="GY6" i="9"/>
  <c r="HO6" i="9" s="1"/>
  <c r="IE6" i="9" s="1"/>
  <c r="IU6" i="9" s="1"/>
  <c r="GZ6" i="9"/>
  <c r="HP6" i="9" s="1"/>
  <c r="IF6" i="9" s="1"/>
  <c r="IV6" i="9" s="1"/>
  <c r="HA6" i="9"/>
  <c r="HQ6" i="9" s="1"/>
  <c r="IG6" i="9" s="1"/>
  <c r="IW6" i="9" s="1"/>
  <c r="GU7" i="9"/>
  <c r="HK7" i="9" s="1"/>
  <c r="IA7" i="9" s="1"/>
  <c r="IQ7" i="9" s="1"/>
  <c r="GV7" i="9"/>
  <c r="HL7" i="9" s="1"/>
  <c r="IB7" i="9" s="1"/>
  <c r="IR7" i="9" s="1"/>
  <c r="GW7" i="9"/>
  <c r="HM7" i="9" s="1"/>
  <c r="IC7" i="9" s="1"/>
  <c r="IS7" i="9" s="1"/>
  <c r="GX7" i="9"/>
  <c r="HN7" i="9" s="1"/>
  <c r="ID7" i="9" s="1"/>
  <c r="IT7" i="9" s="1"/>
  <c r="GY7" i="9"/>
  <c r="HO7" i="9" s="1"/>
  <c r="IE7" i="9" s="1"/>
  <c r="IU7" i="9" s="1"/>
  <c r="GZ7" i="9"/>
  <c r="HP7" i="9" s="1"/>
  <c r="IF7" i="9" s="1"/>
  <c r="IV7" i="9" s="1"/>
  <c r="HA7" i="9"/>
  <c r="HQ7" i="9" s="1"/>
  <c r="IG7" i="9" s="1"/>
  <c r="IW7" i="9" s="1"/>
  <c r="GU8" i="9"/>
  <c r="HK8" i="9" s="1"/>
  <c r="IA8" i="9" s="1"/>
  <c r="IQ8" i="9" s="1"/>
  <c r="GV8" i="9"/>
  <c r="HL8" i="9" s="1"/>
  <c r="IB8" i="9" s="1"/>
  <c r="IR8" i="9" s="1"/>
  <c r="GW8" i="9"/>
  <c r="HM8" i="9" s="1"/>
  <c r="IC8" i="9" s="1"/>
  <c r="IS8" i="9" s="1"/>
  <c r="GX8" i="9"/>
  <c r="HN8" i="9" s="1"/>
  <c r="ID8" i="9" s="1"/>
  <c r="IT8" i="9" s="1"/>
  <c r="GY8" i="9"/>
  <c r="HO8" i="9" s="1"/>
  <c r="IE8" i="9" s="1"/>
  <c r="IU8" i="9" s="1"/>
  <c r="GZ8" i="9"/>
  <c r="HP8" i="9" s="1"/>
  <c r="IF8" i="9" s="1"/>
  <c r="IV8" i="9" s="1"/>
  <c r="HA8" i="9"/>
  <c r="HQ8" i="9" s="1"/>
  <c r="IG8" i="9" s="1"/>
  <c r="IW8" i="9" s="1"/>
  <c r="GU9" i="9"/>
  <c r="HK9" i="9" s="1"/>
  <c r="IA9" i="9" s="1"/>
  <c r="IQ9" i="9" s="1"/>
  <c r="GV9" i="9"/>
  <c r="HL9" i="9" s="1"/>
  <c r="IB9" i="9" s="1"/>
  <c r="IR9" i="9" s="1"/>
  <c r="GW9" i="9"/>
  <c r="HM9" i="9" s="1"/>
  <c r="IC9" i="9" s="1"/>
  <c r="IS9" i="9" s="1"/>
  <c r="GX9" i="9"/>
  <c r="HN9" i="9" s="1"/>
  <c r="ID9" i="9" s="1"/>
  <c r="IT9" i="9" s="1"/>
  <c r="GY9" i="9"/>
  <c r="HO9" i="9" s="1"/>
  <c r="IE9" i="9" s="1"/>
  <c r="IU9" i="9" s="1"/>
  <c r="GZ9" i="9"/>
  <c r="HP9" i="9" s="1"/>
  <c r="IF9" i="9" s="1"/>
  <c r="IV9" i="9" s="1"/>
  <c r="HA9" i="9"/>
  <c r="HQ9" i="9" s="1"/>
  <c r="IG9" i="9" s="1"/>
  <c r="IW9" i="9" s="1"/>
  <c r="GT6" i="9"/>
  <c r="HJ6" i="9" s="1"/>
  <c r="HZ6" i="9" s="1"/>
  <c r="IP6" i="9" s="1"/>
  <c r="GT7" i="9"/>
  <c r="HJ7" i="9" s="1"/>
  <c r="HZ7" i="9" s="1"/>
  <c r="IP7" i="9" s="1"/>
  <c r="GT8" i="9"/>
  <c r="HJ8" i="9" s="1"/>
  <c r="HZ8" i="9" s="1"/>
  <c r="IP8" i="9" s="1"/>
  <c r="GT9" i="9"/>
  <c r="HJ9" i="9" s="1"/>
  <c r="HZ9" i="9" s="1"/>
  <c r="IP9" i="9" s="1"/>
  <c r="EH6" i="9"/>
  <c r="EX6" i="9" s="1"/>
  <c r="FN6" i="9" s="1"/>
  <c r="GD6" i="9" s="1"/>
  <c r="EI6" i="9"/>
  <c r="EY6" i="9" s="1"/>
  <c r="FO6" i="9" s="1"/>
  <c r="GE6" i="9" s="1"/>
  <c r="EJ6" i="9"/>
  <c r="EZ6" i="9" s="1"/>
  <c r="FP6" i="9" s="1"/>
  <c r="GF6" i="9" s="1"/>
  <c r="EK6" i="9"/>
  <c r="FA6" i="9" s="1"/>
  <c r="FQ6" i="9" s="1"/>
  <c r="GG6" i="9" s="1"/>
  <c r="EL6" i="9"/>
  <c r="FB6" i="9" s="1"/>
  <c r="FR6" i="9" s="1"/>
  <c r="GH6" i="9" s="1"/>
  <c r="EM6" i="9"/>
  <c r="FC6" i="9" s="1"/>
  <c r="FS6" i="9" s="1"/>
  <c r="GI6" i="9" s="1"/>
  <c r="EN6" i="9"/>
  <c r="FD6" i="9" s="1"/>
  <c r="FT6" i="9" s="1"/>
  <c r="GJ6" i="9" s="1"/>
  <c r="EO6" i="9"/>
  <c r="FE6" i="9" s="1"/>
  <c r="FU6" i="9" s="1"/>
  <c r="GK6" i="9" s="1"/>
  <c r="EO7" i="9"/>
  <c r="FE7" i="9" s="1"/>
  <c r="FU7" i="9" s="1"/>
  <c r="GK7" i="9" s="1"/>
  <c r="EH8" i="9"/>
  <c r="EX8" i="9" s="1"/>
  <c r="FN8" i="9" s="1"/>
  <c r="GD8" i="9" s="1"/>
  <c r="EI8" i="9"/>
  <c r="EY8" i="9" s="1"/>
  <c r="FO8" i="9" s="1"/>
  <c r="GE8" i="9" s="1"/>
  <c r="EJ8" i="9"/>
  <c r="EZ8" i="9" s="1"/>
  <c r="FP8" i="9" s="1"/>
  <c r="GF8" i="9" s="1"/>
  <c r="EK8" i="9"/>
  <c r="FA8" i="9" s="1"/>
  <c r="FQ8" i="9" s="1"/>
  <c r="GG8" i="9" s="1"/>
  <c r="EL8" i="9"/>
  <c r="FB8" i="9" s="1"/>
  <c r="FR8" i="9" s="1"/>
  <c r="GH8" i="9" s="1"/>
  <c r="EM8" i="9"/>
  <c r="FC8" i="9" s="1"/>
  <c r="FS8" i="9" s="1"/>
  <c r="GI8" i="9" s="1"/>
  <c r="EN8" i="9"/>
  <c r="FD8" i="9" s="1"/>
  <c r="FT8" i="9" s="1"/>
  <c r="GJ8" i="9" s="1"/>
  <c r="EO8" i="9"/>
  <c r="FE8" i="9" s="1"/>
  <c r="FU8" i="9" s="1"/>
  <c r="GK8" i="9" s="1"/>
  <c r="EH9" i="9"/>
  <c r="EX9" i="9" s="1"/>
  <c r="FN9" i="9" s="1"/>
  <c r="GD9" i="9" s="1"/>
  <c r="EI9" i="9"/>
  <c r="EY9" i="9" s="1"/>
  <c r="FO9" i="9" s="1"/>
  <c r="GE9" i="9" s="1"/>
  <c r="EJ9" i="9"/>
  <c r="EZ9" i="9" s="1"/>
  <c r="FP9" i="9" s="1"/>
  <c r="GF9" i="9" s="1"/>
  <c r="EK9" i="9"/>
  <c r="FA9" i="9" s="1"/>
  <c r="FQ9" i="9" s="1"/>
  <c r="GG9" i="9" s="1"/>
  <c r="EL9" i="9"/>
  <c r="FB9" i="9" s="1"/>
  <c r="FR9" i="9" s="1"/>
  <c r="GH9" i="9" s="1"/>
  <c r="EM9" i="9"/>
  <c r="FC9" i="9" s="1"/>
  <c r="FS9" i="9" s="1"/>
  <c r="GI9" i="9" s="1"/>
  <c r="EN9" i="9"/>
  <c r="FD9" i="9" s="1"/>
  <c r="FT9" i="9" s="1"/>
  <c r="GJ9" i="9" s="1"/>
  <c r="EO9" i="9"/>
  <c r="FE9" i="9" s="1"/>
  <c r="FU9" i="9" s="1"/>
  <c r="GK9" i="9" s="1"/>
  <c r="BV6" i="9"/>
  <c r="CL6" i="9" s="1"/>
  <c r="DB6" i="9" s="1"/>
  <c r="DR6" i="9" s="1"/>
  <c r="BW6" i="9"/>
  <c r="CM6" i="9" s="1"/>
  <c r="DC6" i="9" s="1"/>
  <c r="DS6" i="9" s="1"/>
  <c r="BX6" i="9"/>
  <c r="CN6" i="9" s="1"/>
  <c r="DD6" i="9" s="1"/>
  <c r="DT6" i="9" s="1"/>
  <c r="BY6" i="9"/>
  <c r="CO6" i="9" s="1"/>
  <c r="DE6" i="9" s="1"/>
  <c r="DU6" i="9" s="1"/>
  <c r="BZ6" i="9"/>
  <c r="CP6" i="9" s="1"/>
  <c r="DF6" i="9" s="1"/>
  <c r="DV6" i="9" s="1"/>
  <c r="CA6" i="9"/>
  <c r="CQ6" i="9" s="1"/>
  <c r="DG6" i="9" s="1"/>
  <c r="DW6" i="9" s="1"/>
  <c r="CB6" i="9"/>
  <c r="CR6" i="9" s="1"/>
  <c r="DH6" i="9" s="1"/>
  <c r="DX6" i="9" s="1"/>
  <c r="CC6" i="9"/>
  <c r="CS6" i="9" s="1"/>
  <c r="DI6" i="9" s="1"/>
  <c r="DY6" i="9" s="1"/>
  <c r="BV7" i="9"/>
  <c r="CL7" i="9" s="1"/>
  <c r="DB7" i="9" s="1"/>
  <c r="DR7" i="9" s="1"/>
  <c r="BW7" i="9"/>
  <c r="CM7" i="9" s="1"/>
  <c r="DC7" i="9" s="1"/>
  <c r="DS7" i="9" s="1"/>
  <c r="BX7" i="9"/>
  <c r="CN7" i="9" s="1"/>
  <c r="DD7" i="9" s="1"/>
  <c r="DT7" i="9" s="1"/>
  <c r="BY7" i="9"/>
  <c r="CO7" i="9" s="1"/>
  <c r="DE7" i="9" s="1"/>
  <c r="DU7" i="9" s="1"/>
  <c r="BZ7" i="9"/>
  <c r="CP7" i="9" s="1"/>
  <c r="DF7" i="9" s="1"/>
  <c r="DV7" i="9" s="1"/>
  <c r="CA7" i="9"/>
  <c r="CQ7" i="9" s="1"/>
  <c r="DG7" i="9" s="1"/>
  <c r="DW7" i="9" s="1"/>
  <c r="CB7" i="9"/>
  <c r="CR7" i="9" s="1"/>
  <c r="DH7" i="9" s="1"/>
  <c r="DX7" i="9" s="1"/>
  <c r="CC7" i="9"/>
  <c r="CS7" i="9" s="1"/>
  <c r="DI7" i="9" s="1"/>
  <c r="DY7" i="9" s="1"/>
  <c r="BV8" i="9"/>
  <c r="CL8" i="9" s="1"/>
  <c r="DB8" i="9" s="1"/>
  <c r="DR8" i="9" s="1"/>
  <c r="BW8" i="9"/>
  <c r="CM8" i="9" s="1"/>
  <c r="DC8" i="9" s="1"/>
  <c r="DS8" i="9" s="1"/>
  <c r="BX8" i="9"/>
  <c r="CN8" i="9" s="1"/>
  <c r="DD8" i="9" s="1"/>
  <c r="DT8" i="9" s="1"/>
  <c r="BY8" i="9"/>
  <c r="CO8" i="9" s="1"/>
  <c r="DE8" i="9" s="1"/>
  <c r="DU8" i="9" s="1"/>
  <c r="BZ8" i="9"/>
  <c r="CP8" i="9" s="1"/>
  <c r="DF8" i="9" s="1"/>
  <c r="DV8" i="9" s="1"/>
  <c r="CA8" i="9"/>
  <c r="CQ8" i="9" s="1"/>
  <c r="DG8" i="9" s="1"/>
  <c r="DW8" i="9" s="1"/>
  <c r="CB8" i="9"/>
  <c r="CR8" i="9" s="1"/>
  <c r="DH8" i="9" s="1"/>
  <c r="DX8" i="9" s="1"/>
  <c r="CC8" i="9"/>
  <c r="CS8" i="9" s="1"/>
  <c r="DI8" i="9" s="1"/>
  <c r="DY8" i="9" s="1"/>
  <c r="BV9" i="9"/>
  <c r="CL9" i="9" s="1"/>
  <c r="DB9" i="9" s="1"/>
  <c r="DR9" i="9" s="1"/>
  <c r="BW9" i="9"/>
  <c r="CM9" i="9" s="1"/>
  <c r="DC9" i="9" s="1"/>
  <c r="DS9" i="9" s="1"/>
  <c r="BX9" i="9"/>
  <c r="CN9" i="9" s="1"/>
  <c r="DD9" i="9" s="1"/>
  <c r="DT9" i="9" s="1"/>
  <c r="BY9" i="9"/>
  <c r="CO9" i="9" s="1"/>
  <c r="DE9" i="9" s="1"/>
  <c r="DU9" i="9" s="1"/>
  <c r="BZ9" i="9"/>
  <c r="CP9" i="9" s="1"/>
  <c r="DF9" i="9" s="1"/>
  <c r="DV9" i="9" s="1"/>
  <c r="CA9" i="9"/>
  <c r="CQ9" i="9" s="1"/>
  <c r="DG9" i="9" s="1"/>
  <c r="DW9" i="9" s="1"/>
  <c r="CB9" i="9"/>
  <c r="CR9" i="9" s="1"/>
  <c r="DH9" i="9" s="1"/>
  <c r="DX9" i="9" s="1"/>
  <c r="CC9" i="9"/>
  <c r="CS9" i="9" s="1"/>
  <c r="DI9" i="9" s="1"/>
  <c r="DY9" i="9" s="1"/>
  <c r="BF6" i="9"/>
  <c r="BG6" i="9"/>
  <c r="BH6" i="9"/>
  <c r="BI6" i="9"/>
  <c r="BJ6" i="9"/>
  <c r="BK6" i="9"/>
  <c r="BL6" i="9"/>
  <c r="BM6" i="9"/>
  <c r="BF7" i="9"/>
  <c r="BG7" i="9"/>
  <c r="BH7" i="9"/>
  <c r="BI7" i="9"/>
  <c r="BJ7" i="9"/>
  <c r="BK7" i="9"/>
  <c r="BL7" i="9"/>
  <c r="BM7" i="9"/>
  <c r="BF8" i="9"/>
  <c r="BG8" i="9"/>
  <c r="BH8" i="9"/>
  <c r="BI8" i="9"/>
  <c r="BJ8" i="9"/>
  <c r="BK8" i="9"/>
  <c r="BL8" i="9"/>
  <c r="BM8" i="9"/>
  <c r="BF9" i="9"/>
  <c r="BG9" i="9"/>
  <c r="BH9" i="9"/>
  <c r="BI9" i="9"/>
  <c r="BJ9" i="9"/>
  <c r="BK9" i="9"/>
  <c r="BL9" i="9"/>
  <c r="BM9" i="9"/>
  <c r="AY5" i="9"/>
  <c r="AZ5" i="9"/>
  <c r="BA5" i="9"/>
  <c r="BB5" i="9"/>
  <c r="BC5" i="9"/>
  <c r="BD5" i="9"/>
  <c r="BE5" i="9"/>
  <c r="AX5" i="9"/>
  <c r="AQ6" i="9"/>
  <c r="AR6" i="9"/>
  <c r="AS6" i="9"/>
  <c r="AT6" i="9"/>
  <c r="AU6" i="9"/>
  <c r="AV6" i="9"/>
  <c r="AW6" i="9"/>
  <c r="AQ7" i="9"/>
  <c r="AR7" i="9"/>
  <c r="AS7" i="9"/>
  <c r="AT7" i="9"/>
  <c r="AU7" i="9"/>
  <c r="AV7" i="9"/>
  <c r="AW7" i="9"/>
  <c r="AQ8" i="9"/>
  <c r="AR8" i="9"/>
  <c r="AS8" i="9"/>
  <c r="AT8" i="9"/>
  <c r="AU8" i="9"/>
  <c r="AV8" i="9"/>
  <c r="AW8" i="9"/>
  <c r="AQ9" i="9"/>
  <c r="AR9" i="9"/>
  <c r="AS9" i="9"/>
  <c r="AT9" i="9"/>
  <c r="AU9" i="9"/>
  <c r="AV9" i="9"/>
  <c r="AW9" i="9"/>
  <c r="AP6" i="9"/>
  <c r="AP7" i="9"/>
  <c r="AP8" i="9"/>
  <c r="AP9" i="9"/>
  <c r="AI5" i="9"/>
  <c r="AJ5" i="9"/>
  <c r="AK5" i="9"/>
  <c r="AL5" i="9"/>
  <c r="AM5" i="9"/>
  <c r="AN5" i="9"/>
  <c r="AO5" i="9"/>
  <c r="AH5" i="9"/>
  <c r="Z6" i="9"/>
  <c r="AA6" i="9"/>
  <c r="AB6" i="9"/>
  <c r="AC6" i="9"/>
  <c r="AD6" i="9"/>
  <c r="AE6" i="9"/>
  <c r="AF6" i="9"/>
  <c r="AG6" i="9"/>
  <c r="Z7" i="9"/>
  <c r="AA7" i="9"/>
  <c r="AB7" i="9"/>
  <c r="AC7" i="9"/>
  <c r="AD7" i="9"/>
  <c r="AE7" i="9"/>
  <c r="AF7" i="9"/>
  <c r="AG7" i="9"/>
  <c r="Z8" i="9"/>
  <c r="AA8" i="9"/>
  <c r="AB8" i="9"/>
  <c r="AC8" i="9"/>
  <c r="AD8" i="9"/>
  <c r="AE8" i="9"/>
  <c r="AF8" i="9"/>
  <c r="AG8" i="9"/>
  <c r="Z9" i="9"/>
  <c r="AA9" i="9"/>
  <c r="AB9" i="9"/>
  <c r="AC9" i="9"/>
  <c r="AD9" i="9"/>
  <c r="AE9" i="9"/>
  <c r="AF9" i="9"/>
  <c r="AG9" i="9"/>
  <c r="S5" i="9"/>
  <c r="T5" i="9"/>
  <c r="U5" i="9"/>
  <c r="V5" i="9"/>
  <c r="W5" i="9"/>
  <c r="X5" i="9"/>
  <c r="Y5" i="9"/>
  <c r="R5" i="9"/>
  <c r="C5" i="9"/>
  <c r="D5" i="9"/>
  <c r="E5" i="9"/>
  <c r="F5" i="9"/>
  <c r="G5" i="9"/>
  <c r="H5" i="9"/>
  <c r="I5" i="9"/>
  <c r="J6" i="9"/>
  <c r="K6" i="9"/>
  <c r="L6" i="9"/>
  <c r="M6" i="9"/>
  <c r="N6" i="9"/>
  <c r="O6" i="9"/>
  <c r="P6" i="9"/>
  <c r="Q6" i="9"/>
  <c r="J7" i="9"/>
  <c r="K7" i="9"/>
  <c r="L7" i="9"/>
  <c r="M7" i="9"/>
  <c r="N7" i="9"/>
  <c r="O7" i="9"/>
  <c r="P7" i="9"/>
  <c r="Q7" i="9"/>
  <c r="J8" i="9"/>
  <c r="K8" i="9"/>
  <c r="L8" i="9"/>
  <c r="M8" i="9"/>
  <c r="N8" i="9"/>
  <c r="O8" i="9"/>
  <c r="P8" i="9"/>
  <c r="Q8" i="9"/>
  <c r="J9" i="9"/>
  <c r="K9" i="9"/>
  <c r="L9" i="9"/>
  <c r="M9" i="9"/>
  <c r="N9" i="9"/>
  <c r="O9" i="9"/>
  <c r="P9" i="9"/>
  <c r="Q9" i="9"/>
  <c r="B5" i="9"/>
  <c r="AX5" i="5"/>
  <c r="GL6" i="9" s="1"/>
  <c r="HB6" i="9" s="1"/>
  <c r="HR6" i="9" s="1"/>
  <c r="IH6" i="9" s="1"/>
  <c r="AH5" i="5"/>
  <c r="DZ6" i="9" s="1"/>
  <c r="EP6" i="9" s="1"/>
  <c r="FF6" i="9" s="1"/>
  <c r="FV6" i="9" s="1"/>
  <c r="AV6" i="5"/>
  <c r="EN7" i="9" s="1"/>
  <c r="FD7" i="9" s="1"/>
  <c r="FT7" i="9" s="1"/>
  <c r="GJ7" i="9" s="1"/>
  <c r="AU6" i="5"/>
  <c r="EM7" i="9" s="1"/>
  <c r="FC7" i="9" s="1"/>
  <c r="FS7" i="9" s="1"/>
  <c r="GI7" i="9" s="1"/>
  <c r="AT6" i="5"/>
  <c r="EL7" i="9" s="1"/>
  <c r="FB7" i="9" s="1"/>
  <c r="FR7" i="9" s="1"/>
  <c r="GH7" i="9" s="1"/>
  <c r="AS6" i="5"/>
  <c r="EK7" i="9" s="1"/>
  <c r="FA7" i="9" s="1"/>
  <c r="FQ7" i="9" s="1"/>
  <c r="GG7" i="9" s="1"/>
  <c r="BN6" i="9"/>
  <c r="CD6" i="9" s="1"/>
  <c r="CT6" i="9" s="1"/>
  <c r="DJ6" i="9" s="1"/>
  <c r="S4" i="5"/>
  <c r="AI4" i="5" s="1"/>
  <c r="AY4" i="5" s="1"/>
  <c r="GM5" i="9" s="1"/>
  <c r="HC5" i="9" s="1"/>
  <c r="HS5" i="9" s="1"/>
  <c r="II5" i="9" s="1"/>
  <c r="T4" i="5"/>
  <c r="AJ4" i="5" s="1"/>
  <c r="AZ4" i="5" s="1"/>
  <c r="GN5" i="9" s="1"/>
  <c r="HD5" i="9" s="1"/>
  <c r="HT5" i="9" s="1"/>
  <c r="IJ5" i="9" s="1"/>
  <c r="U4" i="5"/>
  <c r="AK4" i="5" s="1"/>
  <c r="EC5" i="9" s="1"/>
  <c r="ES5" i="9" s="1"/>
  <c r="FI5" i="9" s="1"/>
  <c r="FY5" i="9" s="1"/>
  <c r="V4" i="5"/>
  <c r="AL4" i="5" s="1"/>
  <c r="ED5" i="9" s="1"/>
  <c r="ET5" i="9" s="1"/>
  <c r="FJ5" i="9" s="1"/>
  <c r="FZ5" i="9" s="1"/>
  <c r="W4" i="5"/>
  <c r="AM4" i="5" s="1"/>
  <c r="EE5" i="9" s="1"/>
  <c r="EU5" i="9" s="1"/>
  <c r="FK5" i="9" s="1"/>
  <c r="GA5" i="9" s="1"/>
  <c r="X4" i="5"/>
  <c r="AN4" i="5" s="1"/>
  <c r="EF5" i="9" s="1"/>
  <c r="EV5" i="9" s="1"/>
  <c r="FL5" i="9" s="1"/>
  <c r="GB5" i="9" s="1"/>
  <c r="Y4" i="5"/>
  <c r="AO4" i="5" s="1"/>
  <c r="EG5" i="9" s="1"/>
  <c r="EW5" i="9" s="1"/>
  <c r="FM5" i="9" s="1"/>
  <c r="GC5" i="9" s="1"/>
  <c r="R4" i="5"/>
  <c r="AH4" i="5" s="1"/>
  <c r="DZ5" i="9" s="1"/>
  <c r="EP5" i="9" s="1"/>
  <c r="FF5" i="9" s="1"/>
  <c r="FV5" i="9" s="1"/>
  <c r="K4" i="5"/>
  <c r="AA4" i="5" s="1"/>
  <c r="AQ4" i="5" s="1"/>
  <c r="EI5" i="9" s="1"/>
  <c r="EY5" i="9" s="1"/>
  <c r="FO5" i="9" s="1"/>
  <c r="GE5" i="9" s="1"/>
  <c r="L4" i="5"/>
  <c r="AB4" i="5" s="1"/>
  <c r="AR4" i="5" s="1"/>
  <c r="BG4" i="5" s="1"/>
  <c r="GU5" i="9" s="1"/>
  <c r="HK5" i="9" s="1"/>
  <c r="IA5" i="9" s="1"/>
  <c r="IQ5" i="9" s="1"/>
  <c r="M4" i="5"/>
  <c r="AC4" i="5" s="1"/>
  <c r="AS4" i="5" s="1"/>
  <c r="EK5" i="9" s="1"/>
  <c r="FA5" i="9" s="1"/>
  <c r="FQ5" i="9" s="1"/>
  <c r="GG5" i="9" s="1"/>
  <c r="N4" i="5"/>
  <c r="AD4" i="5" s="1"/>
  <c r="AT4" i="5" s="1"/>
  <c r="BI4" i="5" s="1"/>
  <c r="GW5" i="9" s="1"/>
  <c r="HM5" i="9" s="1"/>
  <c r="IC5" i="9" s="1"/>
  <c r="IS5" i="9" s="1"/>
  <c r="O4" i="5"/>
  <c r="AE4" i="5" s="1"/>
  <c r="AU4" i="5" s="1"/>
  <c r="EM5" i="9" s="1"/>
  <c r="FC5" i="9" s="1"/>
  <c r="FS5" i="9" s="1"/>
  <c r="GI5" i="9" s="1"/>
  <c r="P4" i="5"/>
  <c r="AF4" i="5" s="1"/>
  <c r="AV4" i="5" s="1"/>
  <c r="EN5" i="9" s="1"/>
  <c r="FD5" i="9" s="1"/>
  <c r="FT5" i="9" s="1"/>
  <c r="GJ5" i="9" s="1"/>
  <c r="Q4" i="5"/>
  <c r="AG4" i="5" s="1"/>
  <c r="AW4" i="5" s="1"/>
  <c r="EO5" i="9" s="1"/>
  <c r="FE5" i="9" s="1"/>
  <c r="FU5" i="9" s="1"/>
  <c r="GK5" i="9" s="1"/>
  <c r="J4" i="5"/>
  <c r="Z4" i="5" s="1"/>
  <c r="AP4" i="5" s="1"/>
  <c r="EH5" i="9" s="1"/>
  <c r="EX5" i="9" s="1"/>
  <c r="FN5" i="9" s="1"/>
  <c r="GD5" i="9" s="1"/>
  <c r="B5" i="5"/>
  <c r="R6" i="9" s="1"/>
  <c r="J3" i="1"/>
  <c r="J4" i="1"/>
  <c r="J5" i="1"/>
  <c r="J6" i="1"/>
  <c r="J7"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7" i="1"/>
  <c r="J2" i="1"/>
  <c r="L24" i="1"/>
  <c r="P24" i="1" s="1" a="1"/>
  <c r="P24" i="1" s="1"/>
  <c r="L25" i="1"/>
  <c r="P25" i="1" s="1" a="1"/>
  <c r="P25" i="1" s="1"/>
  <c r="L26" i="1"/>
  <c r="P26" i="1" s="1" a="1"/>
  <c r="P26" i="1" s="1"/>
  <c r="L27" i="1"/>
  <c r="P27" i="1" s="1" a="1"/>
  <c r="P27" i="1" s="1"/>
  <c r="L28" i="1"/>
  <c r="P28" i="1" s="1" a="1"/>
  <c r="P28" i="1" s="1"/>
  <c r="L29" i="1"/>
  <c r="P29" i="1" s="1" a="1"/>
  <c r="P29" i="1" s="1"/>
  <c r="L30" i="1"/>
  <c r="P30" i="1" s="1" a="1"/>
  <c r="P30" i="1" s="1"/>
  <c r="L31" i="1"/>
  <c r="P31" i="1" s="1" a="1"/>
  <c r="P31" i="1" s="1"/>
  <c r="L32" i="1"/>
  <c r="P32" i="1" s="1" a="1"/>
  <c r="P32" i="1" s="1"/>
  <c r="L33" i="1"/>
  <c r="P33" i="1" s="1" a="1"/>
  <c r="P33" i="1" s="1"/>
  <c r="L34" i="1"/>
  <c r="P34" i="1" s="1" a="1"/>
  <c r="P34" i="1" s="1"/>
  <c r="L35" i="1"/>
  <c r="P35" i="1" s="1" a="1"/>
  <c r="P35" i="1" s="1"/>
  <c r="L36" i="1"/>
  <c r="P36" i="1" s="1" a="1"/>
  <c r="P36" i="1" s="1"/>
  <c r="L37" i="1"/>
  <c r="P37" i="1" s="1" a="1"/>
  <c r="P37" i="1" s="1"/>
  <c r="L38" i="1"/>
  <c r="P38" i="1" s="1" a="1"/>
  <c r="P38" i="1" s="1"/>
  <c r="L39" i="1"/>
  <c r="P39" i="1" s="1" a="1"/>
  <c r="P39" i="1" s="1"/>
  <c r="L40" i="1"/>
  <c r="P40" i="1" s="1" a="1"/>
  <c r="P40" i="1" s="1"/>
  <c r="L41" i="1"/>
  <c r="P41" i="1" s="1" a="1"/>
  <c r="P41" i="1" s="1"/>
  <c r="L42" i="1"/>
  <c r="P42" i="1" s="1" a="1"/>
  <c r="P42" i="1" s="1"/>
  <c r="L43" i="1"/>
  <c r="P43" i="1" s="1" a="1"/>
  <c r="P43" i="1" s="1"/>
  <c r="L44" i="1"/>
  <c r="P44" i="1" s="1" a="1"/>
  <c r="P44" i="1" s="1"/>
  <c r="L45" i="1"/>
  <c r="P45" i="1" s="1" a="1"/>
  <c r="P45" i="1" s="1"/>
  <c r="L46" i="1"/>
  <c r="P46" i="1" s="1" a="1"/>
  <c r="P46" i="1" s="1"/>
  <c r="L47" i="1"/>
  <c r="P47" i="1" s="1" a="1"/>
  <c r="P47" i="1" s="1"/>
  <c r="L3" i="1"/>
  <c r="P3" i="1" s="1" a="1"/>
  <c r="P3" i="1" s="1"/>
  <c r="L4" i="1"/>
  <c r="P4" i="1" s="1" a="1"/>
  <c r="P4" i="1" s="1"/>
  <c r="L5" i="1"/>
  <c r="P5" i="1" s="1" a="1"/>
  <c r="P5" i="1" s="1"/>
  <c r="L6" i="1"/>
  <c r="P6" i="1" s="1" a="1"/>
  <c r="P6" i="1" s="1"/>
  <c r="L7" i="1"/>
  <c r="P7" i="1" s="1" a="1"/>
  <c r="P7" i="1" s="1"/>
  <c r="L9" i="1"/>
  <c r="P9" i="1" s="1" a="1"/>
  <c r="P9" i="1" s="1"/>
  <c r="L10" i="1"/>
  <c r="P10" i="1" s="1" a="1"/>
  <c r="P10" i="1" s="1"/>
  <c r="L11" i="1"/>
  <c r="P11" i="1" s="1" a="1"/>
  <c r="P11" i="1" s="1"/>
  <c r="L12" i="1"/>
  <c r="P12" i="1" s="1" a="1"/>
  <c r="P12" i="1" s="1"/>
  <c r="L13" i="1"/>
  <c r="P13" i="1" s="1" a="1"/>
  <c r="P13" i="1" s="1"/>
  <c r="L14" i="1"/>
  <c r="P14" i="1" s="1" a="1"/>
  <c r="P14" i="1" s="1"/>
  <c r="L15" i="1"/>
  <c r="P15" i="1" s="1" a="1"/>
  <c r="P15" i="1" s="1"/>
  <c r="L16" i="1"/>
  <c r="P16" i="1" s="1" a="1"/>
  <c r="P16" i="1" s="1"/>
  <c r="L17" i="1"/>
  <c r="P17" i="1" s="1" a="1"/>
  <c r="P17" i="1" s="1"/>
  <c r="L18" i="1"/>
  <c r="P18" i="1" s="1" a="1"/>
  <c r="P18" i="1" s="1"/>
  <c r="L19" i="1"/>
  <c r="P19" i="1" s="1" a="1"/>
  <c r="P19" i="1" s="1"/>
  <c r="L20" i="1"/>
  <c r="P20" i="1" s="1" a="1"/>
  <c r="P20" i="1" s="1"/>
  <c r="L21" i="1"/>
  <c r="P21" i="1" s="1" a="1"/>
  <c r="P21" i="1" s="1"/>
  <c r="L22" i="1"/>
  <c r="P22" i="1" s="1" a="1"/>
  <c r="P22" i="1" s="1"/>
  <c r="L23" i="1"/>
  <c r="P23" i="1" s="1" a="1"/>
  <c r="P23" i="1" s="1"/>
  <c r="L2" i="1"/>
  <c r="P2" i="1" s="1" a="1"/>
  <c r="P2" i="1" s="1"/>
  <c r="K24" i="1"/>
  <c r="K25" i="1"/>
  <c r="K26" i="1"/>
  <c r="K27" i="1"/>
  <c r="K28" i="1"/>
  <c r="K29" i="1"/>
  <c r="K30" i="1"/>
  <c r="K31" i="1"/>
  <c r="K32" i="1"/>
  <c r="K33" i="1"/>
  <c r="K34" i="1"/>
  <c r="K35" i="1"/>
  <c r="K36" i="1"/>
  <c r="K37" i="1"/>
  <c r="K38" i="1"/>
  <c r="K39" i="1"/>
  <c r="K40" i="1"/>
  <c r="K41" i="1"/>
  <c r="K42" i="1"/>
  <c r="K43" i="1"/>
  <c r="K44" i="1"/>
  <c r="K45" i="1"/>
  <c r="K46" i="1"/>
  <c r="K47" i="1"/>
  <c r="K3" i="1"/>
  <c r="K4" i="1"/>
  <c r="K5" i="1"/>
  <c r="K6" i="1"/>
  <c r="K7" i="1"/>
  <c r="K9" i="1"/>
  <c r="K10" i="1"/>
  <c r="K11" i="1"/>
  <c r="K12" i="1"/>
  <c r="K13" i="1"/>
  <c r="K14" i="1"/>
  <c r="K15" i="1"/>
  <c r="K16" i="1"/>
  <c r="K17" i="1"/>
  <c r="K18" i="1"/>
  <c r="K19" i="1"/>
  <c r="K20" i="1"/>
  <c r="K21" i="1"/>
  <c r="K22" i="1"/>
  <c r="K23" i="1"/>
  <c r="K2" i="1"/>
  <c r="AX4" i="5" l="1"/>
  <c r="BF4" i="5"/>
  <c r="GT5" i="9" s="1"/>
  <c r="HJ5" i="9" s="1"/>
  <c r="HZ5" i="9" s="1"/>
  <c r="IP5" i="9" s="1"/>
  <c r="Q5" i="9"/>
  <c r="AG5" i="9"/>
  <c r="AV5" i="9"/>
  <c r="BK5" i="9"/>
  <c r="BY5" i="9"/>
  <c r="CO5" i="9" s="1"/>
  <c r="DE5" i="9" s="1"/>
  <c r="DU5" i="9" s="1"/>
  <c r="BP5" i="9"/>
  <c r="CF5" i="9" s="1"/>
  <c r="CV5" i="9" s="1"/>
  <c r="DL5" i="9" s="1"/>
  <c r="EB5" i="9"/>
  <c r="ER5" i="9" s="1"/>
  <c r="FH5" i="9" s="1"/>
  <c r="FX5" i="9" s="1"/>
  <c r="EJ5" i="9"/>
  <c r="EZ5" i="9" s="1"/>
  <c r="FP5" i="9" s="1"/>
  <c r="GF5" i="9" s="1"/>
  <c r="P4" i="13"/>
  <c r="BE4" i="5"/>
  <c r="GS5" i="9" s="1"/>
  <c r="HI5" i="9" s="1"/>
  <c r="HY5" i="9" s="1"/>
  <c r="IO5" i="9" s="1"/>
  <c r="P5" i="9"/>
  <c r="AF5" i="9"/>
  <c r="AU5" i="9"/>
  <c r="BI5" i="9"/>
  <c r="BX5" i="9"/>
  <c r="CN5" i="9" s="1"/>
  <c r="DD5" i="9" s="1"/>
  <c r="DT5" i="9" s="1"/>
  <c r="BO5" i="9"/>
  <c r="CE5" i="9" s="1"/>
  <c r="CU5" i="9" s="1"/>
  <c r="DK5" i="9" s="1"/>
  <c r="BN5" i="9"/>
  <c r="CD5" i="9" s="1"/>
  <c r="CT5" i="9" s="1"/>
  <c r="DJ5" i="9" s="1"/>
  <c r="EA5" i="9"/>
  <c r="EQ5" i="9" s="1"/>
  <c r="FG5" i="9" s="1"/>
  <c r="FW5" i="9" s="1"/>
  <c r="Q4" i="13"/>
  <c r="BD4" i="5"/>
  <c r="GR5" i="9" s="1"/>
  <c r="HH5" i="9" s="1"/>
  <c r="HX5" i="9" s="1"/>
  <c r="IN5" i="9" s="1"/>
  <c r="BL4" i="5"/>
  <c r="GZ5" i="9" s="1"/>
  <c r="HP5" i="9" s="1"/>
  <c r="IF5" i="9" s="1"/>
  <c r="IV5" i="9" s="1"/>
  <c r="O5" i="9"/>
  <c r="AE5" i="9"/>
  <c r="AS5" i="9"/>
  <c r="BH5" i="9"/>
  <c r="BW5" i="9"/>
  <c r="CM5" i="9" s="1"/>
  <c r="DC5" i="9" s="1"/>
  <c r="DS5" i="9" s="1"/>
  <c r="BC4" i="5"/>
  <c r="GQ5" i="9" s="1"/>
  <c r="HG5" i="9" s="1"/>
  <c r="HW5" i="9" s="1"/>
  <c r="IM5" i="9" s="1"/>
  <c r="BK4" i="5"/>
  <c r="GY5" i="9" s="1"/>
  <c r="HO5" i="9" s="1"/>
  <c r="IE5" i="9" s="1"/>
  <c r="IU5" i="9" s="1"/>
  <c r="N5" i="9"/>
  <c r="AC5" i="9"/>
  <c r="AR5" i="9"/>
  <c r="BG5" i="9"/>
  <c r="BV5" i="9"/>
  <c r="CL5" i="9" s="1"/>
  <c r="DB5" i="9" s="1"/>
  <c r="DR5" i="9" s="1"/>
  <c r="J4" i="13"/>
  <c r="BB4" i="5"/>
  <c r="GP5" i="9" s="1"/>
  <c r="HF5" i="9" s="1"/>
  <c r="HV5" i="9" s="1"/>
  <c r="IL5" i="9" s="1"/>
  <c r="BJ4" i="5"/>
  <c r="GX5" i="9" s="1"/>
  <c r="HN5" i="9" s="1"/>
  <c r="ID5" i="9" s="1"/>
  <c r="IT5" i="9" s="1"/>
  <c r="M5" i="9"/>
  <c r="AB5" i="9"/>
  <c r="AQ5" i="9"/>
  <c r="BF5" i="9"/>
  <c r="CC5" i="9"/>
  <c r="CS5" i="9" s="1"/>
  <c r="DI5" i="9" s="1"/>
  <c r="DY5" i="9" s="1"/>
  <c r="BU5" i="9"/>
  <c r="CK5" i="9" s="1"/>
  <c r="DA5" i="9" s="1"/>
  <c r="DQ5" i="9" s="1"/>
  <c r="K4" i="13"/>
  <c r="BA4" i="5"/>
  <c r="GO5" i="9" s="1"/>
  <c r="HE5" i="9" s="1"/>
  <c r="HU5" i="9" s="1"/>
  <c r="IK5" i="9" s="1"/>
  <c r="BH4" i="5"/>
  <c r="GV5" i="9" s="1"/>
  <c r="HL5" i="9" s="1"/>
  <c r="IB5" i="9" s="1"/>
  <c r="IR5" i="9" s="1"/>
  <c r="L5" i="9"/>
  <c r="AA5" i="9"/>
  <c r="CB5" i="9"/>
  <c r="CR5" i="9" s="1"/>
  <c r="DH5" i="9" s="1"/>
  <c r="DX5" i="9" s="1"/>
  <c r="BT5" i="9"/>
  <c r="CJ5" i="9" s="1"/>
  <c r="CZ5" i="9" s="1"/>
  <c r="DP5" i="9" s="1"/>
  <c r="L4" i="13"/>
  <c r="K5" i="9"/>
  <c r="Z5" i="9"/>
  <c r="AP5" i="9"/>
  <c r="BM5" i="9"/>
  <c r="CA5" i="9"/>
  <c r="CQ5" i="9" s="1"/>
  <c r="DG5" i="9" s="1"/>
  <c r="DW5" i="9" s="1"/>
  <c r="BS5" i="9"/>
  <c r="CI5" i="9" s="1"/>
  <c r="CY5" i="9" s="1"/>
  <c r="DO5" i="9" s="1"/>
  <c r="EL5" i="9"/>
  <c r="FB5" i="9" s="1"/>
  <c r="FR5" i="9" s="1"/>
  <c r="GH5" i="9" s="1"/>
  <c r="M4" i="13"/>
  <c r="J5" i="9"/>
  <c r="AW5" i="9"/>
  <c r="BL5" i="9"/>
  <c r="BZ5" i="9"/>
  <c r="CP5" i="9" s="1"/>
  <c r="DF5" i="9" s="1"/>
  <c r="DV5" i="9" s="1"/>
  <c r="BQ5" i="9"/>
  <c r="CG5" i="9" s="1"/>
  <c r="CW5" i="9" s="1"/>
  <c r="DM5" i="9" s="1"/>
  <c r="O4" i="13"/>
  <c r="L3" i="16" a="1"/>
  <c r="L3" i="16" s="1"/>
  <c r="L5" i="16" a="1"/>
  <c r="L5" i="16" s="1"/>
  <c r="L6" i="16" a="1"/>
  <c r="L6" i="16" s="1"/>
  <c r="L7" i="16" a="1"/>
  <c r="L7" i="16" s="1"/>
  <c r="L8" i="16" a="1"/>
  <c r="L8" i="16" s="1"/>
  <c r="L9" i="16" a="1"/>
  <c r="L9" i="16" s="1"/>
  <c r="L2" i="16" a="1"/>
  <c r="L2" i="16" s="1"/>
  <c r="L4" i="16" a="1"/>
  <c r="L4" i="16" s="1"/>
  <c r="L10" i="16" a="1"/>
  <c r="L10" i="16" s="1"/>
  <c r="BR5" i="9"/>
  <c r="CH5" i="9" s="1"/>
  <c r="CX5" i="9" s="1"/>
  <c r="DN5" i="9" s="1"/>
  <c r="AD5" i="9"/>
  <c r="AT5" i="9"/>
  <c r="BJ5" i="9"/>
  <c r="O20" i="1" a="1"/>
  <c r="O20" i="1" s="1"/>
  <c r="Q20" i="1"/>
  <c r="Q40" i="1"/>
  <c r="O40" i="1" a="1"/>
  <c r="O40" i="1" s="1"/>
  <c r="O19" i="1" a="1"/>
  <c r="O19" i="1" s="1"/>
  <c r="Q19" i="1"/>
  <c r="Q11" i="1"/>
  <c r="O11" i="1" a="1"/>
  <c r="O11" i="1" s="1"/>
  <c r="Q47" i="1"/>
  <c r="O47" i="1" a="1"/>
  <c r="O47" i="1" s="1"/>
  <c r="Q39" i="1"/>
  <c r="O39" i="1" a="1"/>
  <c r="O39" i="1" s="1"/>
  <c r="Q31" i="1"/>
  <c r="O31" i="1" a="1"/>
  <c r="O31" i="1" s="1"/>
  <c r="O30" i="1" a="1"/>
  <c r="O30" i="1" s="1"/>
  <c r="Q30" i="1"/>
  <c r="O45" i="1" a="1"/>
  <c r="O45" i="1" s="1"/>
  <c r="Q45" i="1"/>
  <c r="Q28" i="1"/>
  <c r="O28" i="1" a="1"/>
  <c r="O28" i="1" s="1"/>
  <c r="H28" i="1" s="1"/>
  <c r="O46" i="1" a="1"/>
  <c r="O46" i="1" s="1"/>
  <c r="Q46" i="1"/>
  <c r="O29" i="1" a="1"/>
  <c r="O29" i="1" s="1"/>
  <c r="Q29" i="1"/>
  <c r="O16" i="1" a="1"/>
  <c r="O16" i="1" s="1"/>
  <c r="Q16" i="1"/>
  <c r="Q23" i="1"/>
  <c r="O23" i="1" a="1"/>
  <c r="O23" i="1" s="1"/>
  <c r="H23" i="1" s="1"/>
  <c r="Q15" i="1"/>
  <c r="O15" i="1" a="1"/>
  <c r="O15" i="1" s="1"/>
  <c r="Q6" i="1"/>
  <c r="O6" i="1" a="1"/>
  <c r="O6" i="1" s="1"/>
  <c r="Q43" i="1"/>
  <c r="O43" i="1" a="1"/>
  <c r="O43" i="1" s="1"/>
  <c r="O35" i="1" a="1"/>
  <c r="O35" i="1" s="1"/>
  <c r="Q35" i="1"/>
  <c r="Q27" i="1"/>
  <c r="O27" i="1" a="1"/>
  <c r="O27" i="1" s="1"/>
  <c r="Q7" i="1"/>
  <c r="O7" i="1" a="1"/>
  <c r="O7" i="1" s="1"/>
  <c r="H7" i="1" s="1"/>
  <c r="O36" i="1" a="1"/>
  <c r="O36" i="1" s="1"/>
  <c r="Q36" i="1"/>
  <c r="Q22" i="1"/>
  <c r="O22" i="1" a="1"/>
  <c r="O22" i="1" s="1"/>
  <c r="H22" i="1" s="1"/>
  <c r="O14" i="1" a="1"/>
  <c r="O14" i="1" s="1"/>
  <c r="Q14" i="1"/>
  <c r="O5" i="1" a="1"/>
  <c r="O5" i="1" s="1"/>
  <c r="Q5" i="1"/>
  <c r="O42" i="1" a="1"/>
  <c r="O42" i="1" s="1"/>
  <c r="Q42" i="1"/>
  <c r="Q34" i="1"/>
  <c r="O34" i="1" a="1"/>
  <c r="O34" i="1" s="1"/>
  <c r="H34" i="1" s="1"/>
  <c r="O26" i="1" a="1"/>
  <c r="O26" i="1" s="1"/>
  <c r="Q26" i="1"/>
  <c r="Q18" i="1"/>
  <c r="O18" i="1" a="1"/>
  <c r="O18" i="1" s="1"/>
  <c r="H18" i="1" s="1"/>
  <c r="Q17" i="1"/>
  <c r="O17" i="1" a="1"/>
  <c r="O17" i="1" s="1"/>
  <c r="Q9" i="1"/>
  <c r="O9" i="1" a="1"/>
  <c r="O9" i="1" s="1"/>
  <c r="H9" i="1" s="1"/>
  <c r="O37" i="1" a="1"/>
  <c r="O37" i="1" s="1"/>
  <c r="Q37" i="1"/>
  <c r="O2" i="1" a="1"/>
  <c r="O2" i="1" s="1"/>
  <c r="Q2" i="1"/>
  <c r="Q44" i="1"/>
  <c r="O44" i="1" a="1"/>
  <c r="O44" i="1" s="1"/>
  <c r="O21" i="1" a="1"/>
  <c r="O21" i="1" s="1"/>
  <c r="Q21" i="1"/>
  <c r="O13" i="1" a="1"/>
  <c r="O13" i="1" s="1"/>
  <c r="Q13" i="1"/>
  <c r="O4" i="1" a="1"/>
  <c r="O4" i="1" s="1"/>
  <c r="Q4" i="1"/>
  <c r="Q41" i="1"/>
  <c r="O41" i="1" a="1"/>
  <c r="O41" i="1" s="1"/>
  <c r="Q33" i="1"/>
  <c r="O33" i="1" a="1"/>
  <c r="O33" i="1" s="1"/>
  <c r="H33" i="1" s="1"/>
  <c r="Q25" i="1"/>
  <c r="O25" i="1" a="1"/>
  <c r="O25" i="1" s="1"/>
  <c r="O10" i="1" a="1"/>
  <c r="O10" i="1" s="1"/>
  <c r="Q10" i="1"/>
  <c r="Q38" i="1"/>
  <c r="O38" i="1" a="1"/>
  <c r="O38" i="1" s="1"/>
  <c r="Q12" i="1"/>
  <c r="O12" i="1" a="1"/>
  <c r="O12" i="1" s="1"/>
  <c r="H12" i="1" s="1"/>
  <c r="O3" i="1" a="1"/>
  <c r="O3" i="1" s="1"/>
  <c r="Q3" i="1"/>
  <c r="O32" i="1" a="1"/>
  <c r="O32" i="1" s="1"/>
  <c r="Q32" i="1"/>
  <c r="Q24" i="1"/>
  <c r="O24" i="1" a="1"/>
  <c r="O24" i="1" s="1"/>
  <c r="AX6" i="9"/>
  <c r="B6" i="9"/>
  <c r="AH6" i="9"/>
  <c r="R1" i="9"/>
  <c r="AH1" i="9" s="1"/>
  <c r="AX1" i="9" s="1"/>
  <c r="BN1" i="9" s="1"/>
  <c r="CD1" i="9" s="1"/>
  <c r="CT1" i="9" s="1"/>
  <c r="DJ1" i="9" s="1"/>
  <c r="DZ1" i="9" s="1"/>
  <c r="EP1" i="9" s="1"/>
  <c r="FF1" i="9" s="1"/>
  <c r="FV1" i="9" s="1"/>
  <c r="GL1" i="9" s="1"/>
  <c r="HB1" i="9" s="1"/>
  <c r="HR1" i="9" s="1"/>
  <c r="IH1" i="9" s="1"/>
  <c r="AR6" i="5"/>
  <c r="EJ7" i="9" s="1"/>
  <c r="EZ7" i="9" s="1"/>
  <c r="FP7" i="9" s="1"/>
  <c r="GF7" i="9" s="1"/>
  <c r="AQ6" i="5"/>
  <c r="EI7" i="9" s="1"/>
  <c r="EY7" i="9" s="1"/>
  <c r="FO7" i="9" s="1"/>
  <c r="GE7" i="9" s="1"/>
  <c r="AP6" i="5"/>
  <c r="EH7" i="9" s="1"/>
  <c r="EX7" i="9" s="1"/>
  <c r="FN7" i="9" s="1"/>
  <c r="GD7" i="9" s="1"/>
  <c r="R1" i="5"/>
  <c r="AH1" i="5" s="1"/>
  <c r="AX1" i="5" s="1"/>
  <c r="H39" i="1" l="1"/>
  <c r="H6" i="1"/>
  <c r="H40" i="1"/>
  <c r="H11" i="1"/>
  <c r="GL5" i="9"/>
  <c r="HB5" i="9" s="1"/>
  <c r="HR5" i="9" s="1"/>
  <c r="IH5" i="9" s="1"/>
  <c r="BM4" i="5"/>
  <c r="HA5" i="9" s="1"/>
  <c r="HQ5" i="9" s="1"/>
  <c r="IG5" i="9" s="1"/>
  <c r="IW5" i="9" s="1"/>
  <c r="H25" i="1"/>
  <c r="H27" i="1"/>
  <c r="H15" i="1"/>
  <c r="H31" i="1"/>
  <c r="H42" i="1"/>
  <c r="H36" i="1"/>
  <c r="H16" i="1"/>
  <c r="H45" i="1"/>
  <c r="H20" i="1"/>
  <c r="H2" i="1"/>
  <c r="H32" i="1"/>
  <c r="H3" i="1"/>
  <c r="H13" i="1"/>
  <c r="H37" i="1"/>
  <c r="H26" i="1"/>
  <c r="H14" i="1"/>
  <c r="H46" i="1"/>
  <c r="H19" i="1"/>
  <c r="H4" i="1"/>
  <c r="H30" i="1"/>
  <c r="H5" i="1"/>
  <c r="H21" i="1"/>
  <c r="H35" i="1"/>
  <c r="H29" i="1"/>
  <c r="H24" i="1"/>
  <c r="H38" i="1"/>
  <c r="H41" i="1"/>
  <c r="H44" i="1"/>
  <c r="H17" i="1"/>
  <c r="H43" i="1"/>
  <c r="H47" i="1"/>
  <c r="H10" i="1"/>
  <c r="A9" i="6"/>
  <c r="A8" i="6"/>
  <c r="A7" i="6"/>
  <c r="A6" i="6"/>
  <c r="A5" i="6"/>
  <c r="A4" i="6"/>
  <c r="A3" i="6"/>
  <c r="A2" i="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<sst xmlns="http://schemas.openxmlformats.org/spreadsheetml/2006/main" count="787" uniqueCount="345">
  <si>
    <t>ID</t>
  </si>
  <si>
    <t>Name</t>
  </si>
  <si>
    <t>Source</t>
  </si>
  <si>
    <t>Sink</t>
  </si>
  <si>
    <t>Type</t>
  </si>
  <si>
    <t>Tampen Link</t>
  </si>
  <si>
    <t>Vesterled</t>
  </si>
  <si>
    <t>Langeled</t>
  </si>
  <si>
    <t>Zeepipe II A</t>
  </si>
  <si>
    <t>Zeepipe II B</t>
  </si>
  <si>
    <t>Statpipe</t>
  </si>
  <si>
    <t>Franpipe</t>
  </si>
  <si>
    <t>Europipe I</t>
  </si>
  <si>
    <t>Source_ID</t>
  </si>
  <si>
    <t>Sink_ID</t>
  </si>
  <si>
    <t>gas</t>
  </si>
  <si>
    <t>hydrogen</t>
  </si>
  <si>
    <t>Hour</t>
  </si>
  <si>
    <t>Demand</t>
  </si>
  <si>
    <t>Unit</t>
  </si>
  <si>
    <t>Explanation</t>
  </si>
  <si>
    <t>Quantity</t>
  </si>
  <si>
    <t>NOK / MSm3</t>
  </si>
  <si>
    <t>MSm3</t>
  </si>
  <si>
    <t>MSm3/h</t>
  </si>
  <si>
    <t xml:space="preserve">Mega (or million) standard cubic metres per hour. One standard cubic meter means the amount of gas which occupies a Cubic Meter at fifteen (15) Degrees Celsius and a pressure of one hundred one decimal three two five (101.325) kPa. </t>
  </si>
  <si>
    <t>Probability</t>
  </si>
  <si>
    <t>gas or mix</t>
  </si>
  <si>
    <t>pure hydrogen</t>
  </si>
  <si>
    <t>Loss rate</t>
  </si>
  <si>
    <t>Gamma</t>
  </si>
  <si>
    <t>Capacity</t>
  </si>
  <si>
    <t>Node Number</t>
  </si>
  <si>
    <t>Parent Node Number</t>
  </si>
  <si>
    <t>Stage 2 nodes</t>
  </si>
  <si>
    <t>Stage 3 nodes</t>
  </si>
  <si>
    <t>Value</t>
  </si>
  <si>
    <t>Production Capacity Gas</t>
  </si>
  <si>
    <t>Entry Capacity Gas</t>
  </si>
  <si>
    <t>Exit Capacity Gas</t>
  </si>
  <si>
    <t>Production Costs Gas</t>
  </si>
  <si>
    <t>Storage Capacity Gas</t>
  </si>
  <si>
    <t>Entry Storage Costs Gas</t>
  </si>
  <si>
    <t>Entry Costs Gas Stage 1</t>
  </si>
  <si>
    <t>Exit Costs Gas Stage 1</t>
  </si>
  <si>
    <t>Entry Costs Gas Stage 2</t>
  </si>
  <si>
    <t>Exit Costs Gas Stage 2</t>
  </si>
  <si>
    <t>Entry Costs Gas Stage 3</t>
  </si>
  <si>
    <t>Exit Costs Gas Stage 3</t>
  </si>
  <si>
    <t>Production Capacity Hydrogen</t>
  </si>
  <si>
    <t>Entry Capacity Hydrogen</t>
  </si>
  <si>
    <t>Exit Capacity Hydrogen</t>
  </si>
  <si>
    <t>Production Costs Hydrogen</t>
  </si>
  <si>
    <t>Storage Capacity Hydrogen</t>
  </si>
  <si>
    <t>Entry Storage Costs Hydrogen</t>
  </si>
  <si>
    <t>Entry Costs Hydrogen Stage 1</t>
  </si>
  <si>
    <t>Exit Costs Hydrogen Stage 1</t>
  </si>
  <si>
    <t>Entry Costs Hydrogen Stage 2</t>
  </si>
  <si>
    <t>Exit Costs Hydrogen Stage 2</t>
  </si>
  <si>
    <t>Entry Costs Hydrogen Stage 3</t>
  </si>
  <si>
    <t>Exit Costs Hydrogen Stage 3</t>
  </si>
  <si>
    <t>Number hours</t>
  </si>
  <si>
    <t>Number markets</t>
  </si>
  <si>
    <t>Number shippers</t>
  </si>
  <si>
    <t>Flow costs Gas</t>
  </si>
  <si>
    <t>Flow costs Hydrogen</t>
  </si>
  <si>
    <t>X_coordinate</t>
  </si>
  <si>
    <t>Y_coordinate</t>
  </si>
  <si>
    <t>Asgard Transport</t>
  </si>
  <si>
    <t>TSO entry costs Gas</t>
  </si>
  <si>
    <t>TSO exit costs Gas</t>
  </si>
  <si>
    <t>TSO entry costs Hydrogen</t>
  </si>
  <si>
    <t>TSO exit costs Hydrogen</t>
  </si>
  <si>
    <t>Basis</t>
  </si>
  <si>
    <t>AASTA HANSTEEN PLEM</t>
  </si>
  <si>
    <t>NORNE ERB</t>
  </si>
  <si>
    <t>SKARV ERB</t>
  </si>
  <si>
    <t>HEIDRUN</t>
  </si>
  <si>
    <t>NORNE/HEIDRUN T</t>
  </si>
  <si>
    <t>DRAUGEN T</t>
  </si>
  <si>
    <t>DRAUGEN</t>
  </si>
  <si>
    <t>ORMEN LANGE A</t>
  </si>
  <si>
    <t>ORMEN LANGE B</t>
  </si>
  <si>
    <t>TJELDBERGODDEN</t>
  </si>
  <si>
    <t>NYHAMNA</t>
  </si>
  <si>
    <t>STATFJORD B</t>
  </si>
  <si>
    <t>STAT-SSTC</t>
  </si>
  <si>
    <t>MURCHISON</t>
  </si>
  <si>
    <t>FLAGS-T</t>
  </si>
  <si>
    <t>BRAGE</t>
  </si>
  <si>
    <t>TROLL A</t>
  </si>
  <si>
    <t>KOLLSNES</t>
  </si>
  <si>
    <t>BRAGE-T</t>
  </si>
  <si>
    <t>FRIGG TP1-Y</t>
  </si>
  <si>
    <t>OSEBERG D</t>
  </si>
  <si>
    <t>MARTIN LINGE A</t>
  </si>
  <si>
    <t>HEIMDAL HRP</t>
  </si>
  <si>
    <t>HEIMDAL</t>
  </si>
  <si>
    <t>EDVARD GRIEG</t>
  </si>
  <si>
    <t>JOHAN SVERDRUP RP</t>
  </si>
  <si>
    <t>GRANE</t>
  </si>
  <si>
    <t>GUDRUN</t>
  </si>
  <si>
    <t>JOHAN SVERDRUP STATPIPE PLEM</t>
  </si>
  <si>
    <t>SAGE-T</t>
  </si>
  <si>
    <t>SLEIPNER A</t>
  </si>
  <si>
    <t>SLEIPNER R</t>
  </si>
  <si>
    <t>DRAUPNER E</t>
  </si>
  <si>
    <t>DRAUPNER S</t>
  </si>
  <si>
    <t>CATS PLATFORM</t>
  </si>
  <si>
    <t>ST.FERGUS</t>
  </si>
  <si>
    <t>EKOFISK J</t>
  </si>
  <si>
    <t>NORPIPE Y</t>
  </si>
  <si>
    <t>BALTIC ENTRANCE</t>
  </si>
  <si>
    <t>B-11</t>
  </si>
  <si>
    <t>ZEEPIPE-SCP</t>
  </si>
  <si>
    <t>TEESSIDE</t>
  </si>
  <si>
    <t>H-7 BP</t>
  </si>
  <si>
    <t>POLAND</t>
  </si>
  <si>
    <t>EUROPIPE-SCP</t>
  </si>
  <si>
    <t>EASINGTON</t>
  </si>
  <si>
    <t>EMDEN</t>
  </si>
  <si>
    <t>ZEEBRUGGE</t>
  </si>
  <si>
    <t>DUNKERQUE</t>
  </si>
  <si>
    <t>Denmark 1</t>
  </si>
  <si>
    <t>Denmark 2</t>
  </si>
  <si>
    <t>Denmark 3</t>
  </si>
  <si>
    <t>Denmark 4</t>
  </si>
  <si>
    <t>EMDEN 2</t>
  </si>
  <si>
    <t>Note</t>
  </si>
  <si>
    <t>curOperNam</t>
  </si>
  <si>
    <t>curPhase</t>
  </si>
  <si>
    <t>curPhDate</t>
  </si>
  <si>
    <t>geometry</t>
  </si>
  <si>
    <t>OKEA ASA</t>
  </si>
  <si>
    <t>IN SERVICE</t>
  </si>
  <si>
    <t>1993-09-23</t>
  </si>
  <si>
    <t>Gas</t>
  </si>
  <si>
    <t>Draugen Gasseksport</t>
  </si>
  <si>
    <t>2000-10-10</t>
  </si>
  <si>
    <t>Gassco AS</t>
  </si>
  <si>
    <t>2000-10-04</t>
  </si>
  <si>
    <t>1995-10-01</t>
  </si>
  <si>
    <t>1999-10-01</t>
  </si>
  <si>
    <t>LINESTRING (7.32514696267687 53.678990373954015, 7.4018391191549755 53.6736910140084, 7.457720037063928 53.69159219597222, 7.3912040184029255 53.80023307253265, 7.385839745862257 53.804597159626695, 7.376585359132399 53.80937321896535, 7.207379156798347 53.86794435123968, 7.196257682974817 53.873948430963466, 7.189033325096543 53.87948353680844, 7.1828019512158905 53.88638469845168, 7.179239668743901 53.892571865029815, 7.07287915992026 54.238568222291235, 6.954123952986654 54.618748694382255, 6.951744735480611 54.62355083050632, 6.9475274407248255 54.629238976605, 6.91435341083016 54.66494882157537, 6.844013037278041 54.77318271501995, 6.82572387531898 54.79395421902926, 6.822869642321458 54.798776351217526, 6.82105105899166 54.81517188666376, 6.817557502901281 54.82935532914016, 6.8184742056092515 54.83919367254637, 6.822799022993953 54.84828902798043, 6.851084508911495 54.88695264766349, 6.853805318302932 54.89497494962288, 6.853867156811409 54.8999491191781, 6.852907985843898 54.90438225926019, 6.762586539463472 55.14724854526278, 6.732610119020615 55.225489892557896, 6.7192063448907815 55.2675981877146, 6.659437622153171 55.41888172462993, 6.55948781700785 55.68425977905299, 6.376442937430352 56.163945446675825, 6.366990912207593 56.18532809009322, 6.29007689498581 56.37653394351937, 6.2266440960601335 56.5419370636239, 6.153750360678373 56.72334266488432, 6.144533402332305 56.742187229560564, 6.136373445064696 56.76175383205678, 6.124713422188593 56.78046136477, 6.117670442948578 56.801375028289215, 6.112261406836086 56.82496880591513, 6.045868384363048 56.988414877144784, 6.029937475492769 57.0268990706172, 6.027259235876948 57.03122819487978, 6.019634679573686 57.04025043069543, 6.0164003707718985 57.045980598748336, 6.01129617661792 57.073485524093144, 6.006053392813598 57.090137060133635, 5.882265323070877 57.389813406797785, 5.843181573649857 57.48274231021467, 5.787723210177421 57.578864147378475, 5.744195143467337 57.70012603894833, 5.743078892679234 57.70559322438704, 5.7430824558562765 57.71647661920235, 5.74153615304275 57.72293083557926, 5.713664200236187 57.776762469129466, 5.705743181431557 57.8094292930658, 5.702134676544558 57.81916460592942, 5.671704604767221 57.87246119397898, 5.666207992134112 57.88345153086098, 5.663974538366843 57.8928358476163, 5.661309827761735 57.91690221334874, 5.659574547773731 57.92263240230303, 5.634282228764614 57.962359561519165, 5.626826441051245 57.97661599626146, 5.6015447869922745 58.04900234957891, 5.498052523352002 58.276132480791766, 5.44886896626917 58.400045469897265, 5.33373284953689 58.63294373411097, 5.27303743191979 58.76560394442499, 5.255784732723547 58.83989350175517, 5.253779094368541 58.85331797723998, 5.253486657785566 58.86321034148343, 5.256935376568359 58.964048133727054, 5.260937900080833 58.97762868624936, 5.3341410520985 59.13667047515026, 5.336396470526604 59.15135705078712, 5.337335211527728 59.1805031525413, 5.338832006547012 59.18612938060962, 5.341812890901496 59.19071158688051, 5.346003841716669 59.194587780810494, 5.351645846687613 59.19819598159988, 5.359979924926262 59.20192321817846, 5.45263349810432 59.22752925491493, 5.460363677174937 59.228590384492115, 5.49151883392187 59.245650386055004, 5.495891764726569 59.250106603985515, 5.500656462097981 59.260094034013406, 5.511409601642026 59.27158221781404)</t>
  </si>
  <si>
    <t>1998-07-01</t>
  </si>
  <si>
    <t>2004-09-26</t>
  </si>
  <si>
    <t>2007-09-13</t>
  </si>
  <si>
    <t>2006-10-01</t>
  </si>
  <si>
    <t>Norne Gasstransport</t>
  </si>
  <si>
    <t>2001-02-05</t>
  </si>
  <si>
    <t>Norpipe Gassledning</t>
  </si>
  <si>
    <t>1998-08-18</t>
  </si>
  <si>
    <t>1977-09-17</t>
  </si>
  <si>
    <t>Oseberg Gasstransport</t>
  </si>
  <si>
    <t>2001-09-30</t>
  </si>
  <si>
    <t>1985-10-01</t>
  </si>
  <si>
    <t>1985-10-15</t>
  </si>
  <si>
    <t>2007-10-12</t>
  </si>
  <si>
    <t>Zeepipe I</t>
  </si>
  <si>
    <t>1993-10-01</t>
  </si>
  <si>
    <t>1996-10-01</t>
  </si>
  <si>
    <t>1997-10-01</t>
  </si>
  <si>
    <t>2010-10-10</t>
  </si>
  <si>
    <t>Equinor Energy AS</t>
  </si>
  <si>
    <t>2003-09-23</t>
  </si>
  <si>
    <t>2014-04-07</t>
  </si>
  <si>
    <t>Haltenpipe</t>
  </si>
  <si>
    <t>1996-11-11</t>
  </si>
  <si>
    <t>Heidrun Gasstransport</t>
  </si>
  <si>
    <t>2019-10-05</t>
  </si>
  <si>
    <t>2021-06-30</t>
  </si>
  <si>
    <t>Ormen Lange PL-A</t>
  </si>
  <si>
    <t>A/S Norske Shell</t>
  </si>
  <si>
    <t>Ormen Lange PL-B</t>
  </si>
  <si>
    <t>LINESTRING (5.3847792228295965 63.52770813759151, 5.383520330741603 63.51758537986363, 5.387348093561592 63.50889554217794, 5.387797712558682 63.50517232594802, 5.37739909475502 63.48491529500453, 5.376258144235391 63.47608842178124, 5.377950775023709 63.47150976586393, 5.382748078394162 63.467610635205226, 5.389054686735123 63.46495808356089, 5.41768041295159 63.45706796874281, 5.424231913594676 63.453764403513205, 5.433750352602124 63.44674569294226, 5.43997761859121 63.44401512709988, 5.471440160572476 63.43517783768079, 5.4971969511317 63.43164179486705, 5.514804066921007 63.42584704161141, 5.524086938240296 63.42370682655227, 5.573762294067051 63.41809615739274, 5.586684608756496 63.414297578577035, 5.616553542949372 63.408246392206664, 5.637091000267969 63.39996046235687, 5.644771292515153 63.394748742762644, 5.667345394936351 63.37338113518495, 5.689266272695471 63.3607489450605, 5.702421944521433 63.33490495244569, 5.705773038204871 63.33249163461647, 5.733054321310529 63.31855256577464, 5.735089092253947 63.316264427218165, 5.740393789429597 63.30513108850133, 5.742399876525762 63.30282106872522, 5.7639679661479 63.28843535312159, 5.775957874858292 63.28227120655753, 5.791133661040733 63.267051720406656, 5.897358287942377 63.19625393850598, 6.025824167429856 63.11684481208543, 6.15805152437147 63.05508273338211, 6.175643060712751 63.04826204612913, 6.299150219364935 63.00660523429876, 6.4209851427866775 62.97935620230633, 6.451725534368909 62.97337146304886, 6.502845793449991 62.96625893824315, 6.60160364881864 62.957708475345115, 6.624086559365265 62.95438214518012, 6.637893157049222 62.953160138063225, 6.733110048736171 62.95500970129278, 6.742740640654133 62.95439373935135, 6.7521078510726085 62.95260568684483, 6.764173076568039 62.94771258024999, 6.767964517789399 62.94479311652044, 6.770605071296374 62.9414497521393, 6.77245804838413 62.93266866843834, 6.768397527390573 62.92194587689828, 6.768294047879579 62.91841874296439, 6.77091065067415 62.91377073557247, 6.776664473855666 62.909506540486234, 6.784834955289511 62.90630073653367, 6.795055063069698 62.904325266350014, 6.8351561168987525 62.900923128269966, 6.852048724230437 62.90074869889666, 6.874780509657834 62.8987583142743, 6.897643913445266 62.891820180882775, 6.902963241847916 62.88950549941118, 6.923456551218415 62.87781265585187, 6.953575033577553 62.86983622491534, 6.959279822599673 62.86668099388668, 6.960641537553374 62.863655777427326, 6.959054840636531 62.86034279492654, 6.942125378462677 62.849959527465046)</t>
  </si>
  <si>
    <t>Polarled</t>
  </si>
  <si>
    <t>2017-01-01</t>
  </si>
  <si>
    <t>Aker BP ASA</t>
  </si>
  <si>
    <t>2012-11-10</t>
  </si>
  <si>
    <t>LINESTRING (3.733514481908561 60.64376957063067, 3.7373323613382174 60.64317172161721, 3.7696834737354608 60.640288017104105, 3.8120160225276494 60.63473433470958, 4.108999525970256 60.60298282892029, 4.641325172582125 60.4998309848373, 4.666486134153414 60.49561212334185, 4.682102623126969 60.49519229368774, 4.693318922899099 60.49594045632634, 4.710865351154863 60.497943742699974, 4.720888525363506 60.50052596150751, 4.796564491043073 60.52719688903402, 4.834238521222291 60.54968220275004)</t>
  </si>
  <si>
    <t>2011-10-01</t>
  </si>
  <si>
    <t>LINESTRING (4.836975333189276 60.54487298223805, 4.797375375731224 60.5277003450566, 4.759494896831108 60.5153893921985, 4.727153039701023 60.50327306280108, 4.711905887388076 60.49971744626307, 4.702266393295266 60.498530914640114, 4.681759929948239 60.49737095728983, 4.666868793399878 60.49775607926894, 4.642549206191149 60.50107470223864, 4.403311479050303 60.54802111924173, 4.1080396206412875 60.604775901120576, 4.01022298539398 60.61608187763858, 3.985965690577144 60.61806910774137, 3.948945697769558 60.62484762271283, 3.9105580920726273 60.627086455058645, 3.8772823632076183 60.633346198306825, 3.844200168264267 60.636317546848375, 3.8031657194023523 60.64469442979172, 3.7745025224261273 60.64736064551072, 3.733910491609754 60.64554067208917)</t>
  </si>
  <si>
    <t>2015-11-28</t>
  </si>
  <si>
    <t>CATS</t>
  </si>
  <si>
    <t>FLAGS</t>
  </si>
  <si>
    <t>Kvitebjorn Gassror</t>
  </si>
  <si>
    <t>KVITEBJoRN</t>
  </si>
  <si>
    <t>Gjoa Gassror</t>
  </si>
  <si>
    <t>GJoA</t>
  </si>
  <si>
    <t>GJoA-T</t>
  </si>
  <si>
    <t>Grane Gassror</t>
  </si>
  <si>
    <t>Gudrun Gassror</t>
  </si>
  <si>
    <t>Johan Sverdrup Gassror</t>
  </si>
  <si>
    <t>Martin Linge Gassror</t>
  </si>
  <si>
    <t>Skarv Gassror</t>
  </si>
  <si>
    <t>SNoHVIT PLEM-1</t>
  </si>
  <si>
    <t>Troll Gassror P10</t>
  </si>
  <si>
    <t>Troll Gassror P11</t>
  </si>
  <si>
    <t>Troll Gassror P12</t>
  </si>
  <si>
    <t>Utsirahoyden Gassror</t>
  </si>
  <si>
    <t>UKD</t>
  </si>
  <si>
    <t>DEU</t>
  </si>
  <si>
    <t>BEL</t>
  </si>
  <si>
    <t>FRA</t>
  </si>
  <si>
    <t>DK</t>
  </si>
  <si>
    <t>aSGARD T</t>
  </si>
  <si>
    <t>aSGARD ERB</t>
  </si>
  <si>
    <t>KaRSTo</t>
  </si>
  <si>
    <t>Delta</t>
  </si>
  <si>
    <t>Data Ruud</t>
  </si>
  <si>
    <t>ConocoPhillips Skandinavia AS</t>
  </si>
  <si>
    <t>Lundin Energy Norway AS</t>
  </si>
  <si>
    <t>Neptune Energy Norge AS</t>
  </si>
  <si>
    <t>Wintershall DEA Norge AS</t>
  </si>
  <si>
    <t>Var Energi AS</t>
  </si>
  <si>
    <t>Hydrogen</t>
  </si>
  <si>
    <t>Je produceert toch in DK voor vraag in PL?</t>
  </si>
  <si>
    <t>Sum Probabilities</t>
  </si>
  <si>
    <t>Weight</t>
  </si>
  <si>
    <t>Total Hours</t>
  </si>
  <si>
    <t>Dummy pipe 1</t>
  </si>
  <si>
    <t>Dummy pipe 2</t>
  </si>
  <si>
    <t>Unit name</t>
  </si>
  <si>
    <t>million m³/y</t>
  </si>
  <si>
    <t>Aasta Hansteen</t>
  </si>
  <si>
    <t>Alvheim</t>
  </si>
  <si>
    <t>Åsgard</t>
  </si>
  <si>
    <t>Balder</t>
  </si>
  <si>
    <t>Brage</t>
  </si>
  <si>
    <t>Draugen</t>
  </si>
  <si>
    <t>Duva</t>
  </si>
  <si>
    <t>Edvard Grieg</t>
  </si>
  <si>
    <t>Ekofisk</t>
  </si>
  <si>
    <t>Eldfisk</t>
  </si>
  <si>
    <t>Fram</t>
  </si>
  <si>
    <t>Gina Krog</t>
  </si>
  <si>
    <t>Gjøa</t>
  </si>
  <si>
    <t>Gudrun</t>
  </si>
  <si>
    <t>Gullfaks</t>
  </si>
  <si>
    <t>Gullfaks Sør</t>
  </si>
  <si>
    <t>Heidrun</t>
  </si>
  <si>
    <t>Heimdal</t>
  </si>
  <si>
    <t>Hod</t>
  </si>
  <si>
    <t>Ivar Aasen</t>
  </si>
  <si>
    <t>Johan Sverdrup</t>
  </si>
  <si>
    <t>Kristin</t>
  </si>
  <si>
    <t>Kvitebjørn</t>
  </si>
  <si>
    <t>Martin Linge</t>
  </si>
  <si>
    <t>Marulk</t>
  </si>
  <si>
    <t>Morvin</t>
  </si>
  <si>
    <t>Njord</t>
  </si>
  <si>
    <t>Nova</t>
  </si>
  <si>
    <t>Ormen Lange</t>
  </si>
  <si>
    <t>Oseberg</t>
  </si>
  <si>
    <t>Oseberg Øst</t>
  </si>
  <si>
    <t>Oseberg Sør</t>
  </si>
  <si>
    <t>Skarv</t>
  </si>
  <si>
    <t>Sleipner Øst</t>
  </si>
  <si>
    <t>Sleipner West</t>
  </si>
  <si>
    <t>Snøhvit</t>
  </si>
  <si>
    <t>Snorre</t>
  </si>
  <si>
    <t>Solveig</t>
  </si>
  <si>
    <t>Statfjord</t>
  </si>
  <si>
    <t>Tordis</t>
  </si>
  <si>
    <t>Trestakk</t>
  </si>
  <si>
    <t>Troll</t>
  </si>
  <si>
    <t>Tyrihans</t>
  </si>
  <si>
    <t>Ula</t>
  </si>
  <si>
    <t>Valemon</t>
  </si>
  <si>
    <t>Valhall</t>
  </si>
  <si>
    <t>Vega</t>
  </si>
  <si>
    <t>Veslefrikk</t>
  </si>
  <si>
    <t>Vigdis</t>
  </si>
  <si>
    <t>Visund</t>
  </si>
  <si>
    <t>Field</t>
  </si>
  <si>
    <t>Production Capacity</t>
  </si>
  <si>
    <t>Old Production Capacity Gas</t>
  </si>
  <si>
    <t>https://www.norskpetroleum.no/en/facts/field/gudrun/</t>
  </si>
  <si>
    <t>https://www.norskpetroleum.no/en/facts/field/alvheim/</t>
  </si>
  <si>
    <t>https://www.norskpetroleum.no/en/facts/field/balder/</t>
  </si>
  <si>
    <t>https://www.norskpetroleum.no/en/facts/field/duva/</t>
  </si>
  <si>
    <t>https://www.norskpetroleum.no/en/facts/field/eldfisk/</t>
  </si>
  <si>
    <t>https://www.norskpetroleum.no/en/facts/field/fram/</t>
  </si>
  <si>
    <t>https://www.norskpetroleum.no/en/facts/field/gina-krog/</t>
  </si>
  <si>
    <t>https://www.norskpetroleum.no/en/facts/field/gullfaks/</t>
  </si>
  <si>
    <t>https://www.norskpetroleum.no/en/facts/field/gullfaks-sor/</t>
  </si>
  <si>
    <t>https://www.norskpetroleum.no/en/facts/field/hod/</t>
  </si>
  <si>
    <t>https://www.norskpetroleum.no/en/facts/field/ivar-aasen/</t>
  </si>
  <si>
    <t>https://www.norskpetroleum.no/en/facts/field/kristin/</t>
  </si>
  <si>
    <t>https://www.norskpetroleum.no/en/facts/field/marulk/</t>
  </si>
  <si>
    <t>https://www.norskpetroleum.no/en/facts/field/morvin/</t>
  </si>
  <si>
    <t>https://www.norskpetroleum.no/en/facts/field/snorre/</t>
  </si>
  <si>
    <t>https://www.norskpetroleum.no/en/facts/field/tordis/</t>
  </si>
  <si>
    <t>https://www.norskpetroleum.no/en/facts/field/tyrihans/</t>
  </si>
  <si>
    <t>https://www.norskpetroleum.no/en/facts/field/valemon/</t>
  </si>
  <si>
    <t>https://www.norskpetroleum.no/en/facts/field/valhall/</t>
  </si>
  <si>
    <t>https://www.norskpetroleum.no/en/facts/field/vega/</t>
  </si>
  <si>
    <t>https://www.norskpetroleum.no/en/facts/field/veslefrikk/</t>
  </si>
  <si>
    <t>https://www.norskpetroleum.no/en/facts/field/visund/</t>
  </si>
  <si>
    <t>Trader</t>
  </si>
  <si>
    <t>Backup EUROPIPE 2</t>
  </si>
  <si>
    <t>Europipe II-a</t>
  </si>
  <si>
    <t>Europipe II-b</t>
  </si>
  <si>
    <t>Baltic Pipe 1</t>
  </si>
  <si>
    <t>Baltic Pipe 2</t>
  </si>
  <si>
    <t>Baltic Pipe 3</t>
  </si>
  <si>
    <t>Maximum Production</t>
  </si>
  <si>
    <t>Minimum Volume</t>
  </si>
  <si>
    <t>Total</t>
  </si>
  <si>
    <t>Allowed percentage Stage 1</t>
  </si>
  <si>
    <t>Allowed percentage Stage 2</t>
  </si>
  <si>
    <t>Allowed percentage Stage 3</t>
  </si>
  <si>
    <t>Som</t>
  </si>
  <si>
    <t>Ruud</t>
  </si>
  <si>
    <t>Gassco</t>
  </si>
  <si>
    <t>Berend</t>
  </si>
  <si>
    <t>Dummy pipe 3</t>
  </si>
  <si>
    <t>Dummy pipe 4</t>
  </si>
  <si>
    <t>Dummy pipe 5</t>
  </si>
  <si>
    <t>Dummy pipe 6</t>
  </si>
  <si>
    <t>Dummy pipe 7</t>
  </si>
  <si>
    <t>Source en sink omgegraaid.</t>
  </si>
  <si>
    <t>Los</t>
  </si>
  <si>
    <t>Productie binnen het netwerk</t>
  </si>
  <si>
    <t>Dummy pipe 8</t>
  </si>
  <si>
    <t>Dummy pipe 9</t>
  </si>
  <si>
    <t>Dummy pipe 10</t>
  </si>
  <si>
    <t>Dummy pipe 11</t>
  </si>
  <si>
    <t>Dummy pipe 12</t>
  </si>
  <si>
    <t>Dummy pipe 13</t>
  </si>
  <si>
    <t>Dummy pipe 14</t>
  </si>
  <si>
    <t>Coordinate Source</t>
  </si>
  <si>
    <t>Coordinate Sink</t>
  </si>
  <si>
    <t>Coordinate Middle</t>
  </si>
  <si>
    <t>DORNUM</t>
  </si>
  <si>
    <t>Market</t>
  </si>
  <si>
    <t>Gemiddelde</t>
  </si>
  <si>
    <t>Aangepast</t>
  </si>
  <si>
    <t>GJOA-T &gt; GJOA</t>
  </si>
  <si>
    <t>NORNE/HEIDRUN T &gt; NORNE ERB</t>
  </si>
  <si>
    <t>BRAGE-T &gt; BRAGE</t>
  </si>
  <si>
    <t>Dummy pipe gjoa</t>
  </si>
  <si>
    <t>Number scenarios hydrogen</t>
  </si>
  <si>
    <t>Increase storage costs stage 2</t>
  </si>
  <si>
    <t>Increase storage costs stage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</si>
</sst>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2"/>
      <color theme="1"/>
      <name val="Calibri"/>
      <family val="2"/>
      <scheme val="minor"/>
    </font>
    <font>
      <sz val="8"/>
      <name val="Calibri"/>
      <family val="2"/>
      <scheme val="minor"/>
    </font>
    <font>
      <sz val="12"/>
      <color rgb="FF006100"/>
      <name val="Calibri"/>
      <family val="2"/>
      <scheme val="minor"/>
    </font>
    <font>
      <sz val="12"/>
      <color rgb="FF9C0006"/>
      <name val="Calibri"/>
      <family val="2"/>
      <scheme val="minor"/>
    </font>
    <font>
      <b/>
      <sz val="12"/>
      <color theme="1"/>
      <name val="Calibri"/>
      <family val="2"/>
      <scheme val="minor"/>
    </font>
    <font>
      <b/>
      <sz val="12"/>
      <color rgb="FF9C0006"/>
      <name val="Calibri"/>
      <family val="2"/>
      <scheme val="minor"/>
    </font>
    <font>
      <b/>
      <sz val="12"/>
      <color rgb="FF006100"/>
      <name val="Calibri"/>
      <family val="2"/>
      <scheme val="minor"/>
    </font>
    <font>
      <sz val="12"/>
      <color rgb="FF202122"/>
      <name val="Calibri"/>
      <family val="2"/>
      <scheme val="minor"/>
    </font>
    <font>
      <b/>
      <sz val="12"/>
      <color rgb="FF000000"/>
      <name val="Calibri"/>
      <family val="2"/>
      <scheme val="minor"/>
    </font>
    <font>
      <sz val="12"/>
      <color rgb="FF000000"/>
      <name val="Calibri"/>
      <family val="2"/>
      <scheme val="minor"/>
    </font>
    <font>
      <sz val="12"/>
      <color rgb="FF9C5700"/>
      <name val="Calibri"/>
      <family val="2"/>
      <scheme val="minor"/>
    </font>
    <font>
      <sz val="12"/>
      <name val="Calibri"/>
      <family val="2"/>
      <scheme val="minor"/>
    </font>
    <font>
      <sz val="11"/>
      <name val="Calibri"/>
      <family val="2"/>
      <scheme val="minor"/>
    </font>
    <font>
      <b/>
      <sz val="12"/>
      <color theme="1"/>
      <name val="Calibri (Hoofdtekst)"/>
    </font>
    <font>
      <b/>
      <sz val="12"/>
      <name val="Calibri (Hoofdtekst)"/>
    </font>
    <font>
      <b/>
      <sz val="12"/>
      <color rgb="FF9C5700"/>
      <name val="Calibri"/>
      <family val="2"/>
      <scheme val="minor"/>
    </font>
    <font>
      <sz val="11"/>
      <color theme="1"/>
      <name val="Calibri"/>
      <family val="2"/>
      <scheme val="minor"/>
    </font>
    <font>
      <b/>
      <sz val="11"/>
      <color theme="1"/>
      <name val="Calibri"/>
      <family val="2"/>
      <scheme val="minor"/>
    </font>
    <font>
      <u/>
      <sz val="12"/>
      <color theme="10"/>
      <name val="Calibri"/>
      <family val="2"/>
      <scheme val="minor"/>
    </font>
    <font>
      <sz val="11"/>
      <color rgb="FF000000"/>
      <name val="Calibri"/>
      <family val="2"/>
      <scheme val="minor"/>
    </font>
  </fonts>
  <fills count="12">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0000"/>
        <bgColor indexed="64"/>
      </patternFill>
    </fill>
    <fill>
      <patternFill patternType="solid">
        <fgColor rgb="FFFFC000"/>
        <bgColor indexed="64"/>
      </patternFill>
    </fill>
    <fill>
      <patternFill patternType="solid">
        <fgColor theme="4" tint="0.79998168889431442"/>
        <bgColor theme="4" tint="0.79998168889431442"/>
      </patternFill>
    </fill>
    <fill>
      <patternFill patternType="solid">
        <fgColor theme="5"/>
        <bgColor indexed="64"/>
      </patternFill>
    </fill>
    <fill>
      <patternFill patternType="solid">
        <fgColor theme="8"/>
        <bgColor indexed="64"/>
      </patternFill>
    </fill>
    <fill>
      <patternFill patternType="solid">
        <fgColor rgb="FFC00000"/>
        <bgColor indexed="64"/>
      </patternFill>
    </fill>
    <fill>
      <patternFill patternType="solid">
        <fgColor theme="7"/>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style="thin">
        <color rgb="FF000000"/>
      </right>
      <top style="thin">
        <color indexed="64"/>
      </top>
      <bottom style="thin">
        <color indexed="64"/>
      </bottom>
      <diagonal/>
    </border>
    <border>
      <left style="thin">
        <color rgb="FF000000"/>
      </left>
      <right/>
      <top style="thin">
        <color indexed="64"/>
      </top>
      <bottom style="thin">
        <color indexed="64"/>
      </bottom>
      <diagonal/>
    </border>
    <border>
      <left style="thin">
        <color indexed="64"/>
      </left>
      <right style="thin">
        <color indexed="64"/>
      </right>
      <top/>
      <bottom/>
      <diagonal/>
    </border>
    <border>
      <left/>
      <right/>
      <top/>
      <bottom style="thin">
        <color theme="4" tint="0.39997558519241921"/>
      </bottom>
      <diagonal/>
    </border>
    <border>
      <left/>
      <right/>
      <top/>
      <bottom style="double">
        <color indexed="64"/>
      </bottom>
      <diagonal/>
    </border>
    <border>
      <left style="thin">
        <color indexed="64"/>
      </left>
      <right/>
      <top/>
      <bottom/>
      <diagonal/>
    </border>
    <border>
      <left/>
      <right style="thin">
        <color indexed="64"/>
      </right>
      <top/>
      <bottom/>
      <diagonal/>
    </border>
  </borders>
  <cellStyleXfs count="5">
    <xf numFmtId="0" fontId="0" fillId="0" borderId="0"/>
    <xf numFmtId="0" fontId="2" fillId="2" borderId="0" applyNumberFormat="0" applyBorder="0" applyAlignment="0" applyProtection="0"/>
    <xf numFmtId="0" fontId="3" fillId="3" borderId="0" applyNumberFormat="0" applyBorder="0" applyAlignment="0" applyProtection="0"/>
    <xf numFmtId="0" fontId="10" fillId="4" borderId="0" applyNumberFormat="0" applyBorder="0" applyAlignment="0" applyProtection="0"/>
    <xf numFmtId="0" fontId="18" fillId="0" borderId="0" applyNumberFormat="0" applyFill="0" applyBorder="0" applyAlignment="0" applyProtection="0"/>
  </cellStyleXfs>
  <cellXfs count="68">
    <xf numFmtId="0" fontId="0" fillId="0" borderId="0" xfId="0"/>
    <xf numFmtId="0" fontId="0" fillId="0" borderId="1" xfId="0" applyBorder="1"/>
    <xf numFmtId="0" fontId="3" fillId="3" borderId="1" xfId="2" applyBorder="1"/>
    <xf numFmtId="0" fontId="2" fillId="2" borderId="1" xfId="1" applyBorder="1"/>
    <xf numFmtId="0" fontId="4" fillId="0" borderId="1" xfId="0" applyFont="1" applyBorder="1"/>
    <xf numFmtId="0" fontId="5" fillId="3" borderId="1" xfId="2" applyFont="1" applyBorder="1"/>
    <xf numFmtId="0" fontId="6" fillId="2" borderId="1" xfId="1" applyFont="1" applyBorder="1"/>
    <xf numFmtId="0" fontId="4" fillId="0" borderId="2" xfId="0" applyFont="1" applyBorder="1"/>
    <xf numFmtId="0" fontId="4" fillId="0" borderId="0" xfId="0" applyFont="1"/>
    <xf numFmtId="0" fontId="7" fillId="0" borderId="1" xfId="0" applyFont="1" applyBorder="1"/>
    <xf numFmtId="0" fontId="7" fillId="0" borderId="1" xfId="0" applyFont="1" applyBorder="1" applyAlignment="1">
      <alignment wrapText="1"/>
    </xf>
    <xf numFmtId="2" fontId="3" fillId="3" borderId="1" xfId="2" applyNumberFormat="1" applyBorder="1"/>
    <xf numFmtId="0" fontId="8" fillId="0" borderId="0" xfId="0" applyFont="1"/>
    <xf numFmtId="0" fontId="9" fillId="0" borderId="0" xfId="0" applyFont="1"/>
    <xf numFmtId="0" fontId="0" fillId="0" borderId="0" xfId="0" applyAlignment="1">
      <alignment horizontal="right"/>
    </xf>
    <xf numFmtId="0" fontId="4" fillId="0" borderId="1" xfId="0" applyFont="1" applyBorder="1" applyAlignment="1">
      <alignment horizontal="left"/>
    </xf>
    <xf numFmtId="2" fontId="0" fillId="0" borderId="1" xfId="0" applyNumberFormat="1" applyBorder="1" applyAlignment="1">
      <alignment horizontal="right"/>
    </xf>
    <xf numFmtId="0" fontId="13" fillId="0" borderId="1" xfId="0" applyFont="1" applyBorder="1"/>
    <xf numFmtId="0" fontId="14" fillId="0" borderId="1" xfId="0" applyFont="1" applyBorder="1" applyAlignment="1">
      <alignment horizontal="center" wrapText="1"/>
    </xf>
    <xf numFmtId="0" fontId="11" fillId="0" borderId="1" xfId="0" applyFont="1" applyBorder="1"/>
    <xf numFmtId="0" fontId="12" fillId="0" borderId="1" xfId="0" applyFont="1" applyBorder="1"/>
    <xf numFmtId="0" fontId="0" fillId="6" borderId="1" xfId="0" applyFill="1" applyBorder="1"/>
    <xf numFmtId="2" fontId="11" fillId="0" borderId="1" xfId="0" applyNumberFormat="1" applyFont="1" applyBorder="1" applyAlignment="1">
      <alignment horizontal="right"/>
    </xf>
    <xf numFmtId="2" fontId="12" fillId="0" borderId="1" xfId="0" applyNumberFormat="1" applyFont="1" applyBorder="1" applyAlignment="1">
      <alignment horizontal="right"/>
    </xf>
    <xf numFmtId="0" fontId="3" fillId="0" borderId="0" xfId="2" applyFill="1" applyBorder="1"/>
    <xf numFmtId="0" fontId="0" fillId="0" borderId="0" xfId="0" applyAlignment="1">
      <alignment horizontal="center"/>
    </xf>
    <xf numFmtId="0" fontId="0" fillId="0" borderId="0" xfId="0" applyAlignment="1">
      <alignment horizontal="left"/>
    </xf>
    <xf numFmtId="0" fontId="15" fillId="4" borderId="0" xfId="3" applyFont="1" applyBorder="1"/>
    <xf numFmtId="0" fontId="14" fillId="0" borderId="1" xfId="0" applyFont="1" applyBorder="1" applyAlignment="1">
      <alignment horizontal="left" wrapText="1"/>
    </xf>
    <xf numFmtId="0" fontId="3" fillId="5" borderId="1" xfId="2" applyFill="1" applyBorder="1"/>
    <xf numFmtId="0" fontId="0" fillId="0" borderId="8" xfId="0" applyBorder="1"/>
    <xf numFmtId="0" fontId="11" fillId="0" borderId="8" xfId="0" applyFont="1" applyBorder="1"/>
    <xf numFmtId="0" fontId="12" fillId="0" borderId="8" xfId="0" applyFont="1" applyBorder="1"/>
    <xf numFmtId="0" fontId="0" fillId="6" borderId="8" xfId="0" applyFill="1" applyBorder="1"/>
    <xf numFmtId="0" fontId="17" fillId="7" borderId="9" xfId="0" applyFont="1" applyFill="1" applyBorder="1"/>
    <xf numFmtId="2" fontId="0" fillId="0" borderId="0" xfId="0" applyNumberFormat="1"/>
    <xf numFmtId="0" fontId="17" fillId="7" borderId="0" xfId="0" applyFont="1" applyFill="1"/>
    <xf numFmtId="0" fontId="9" fillId="0" borderId="1" xfId="0" applyFont="1" applyBorder="1"/>
    <xf numFmtId="0" fontId="18" fillId="0" borderId="0" xfId="4"/>
    <xf numFmtId="0" fontId="16" fillId="0" borderId="1" xfId="0" applyFont="1" applyBorder="1"/>
    <xf numFmtId="0" fontId="0" fillId="0" borderId="10" xfId="0" applyBorder="1"/>
    <xf numFmtId="0" fontId="3" fillId="3" borderId="0" xfId="2"/>
    <xf numFmtId="0" fontId="0" fillId="8" borderId="1" xfId="0" applyFill="1" applyBorder="1"/>
    <xf numFmtId="0" fontId="0" fillId="9" borderId="1" xfId="0" applyFill="1" applyBorder="1"/>
    <xf numFmtId="2" fontId="4" fillId="0" borderId="0" xfId="0" applyNumberFormat="1" applyFont="1"/>
    <xf numFmtId="0" fontId="0" fillId="11" borderId="0" xfId="0" applyFill="1"/>
    <xf numFmtId="0" fontId="0" fillId="9" borderId="0" xfId="0" applyFill="1"/>
    <xf numFmtId="0" fontId="0" fillId="8" borderId="0" xfId="0" applyFill="1"/>
    <xf numFmtId="0" fontId="0" fillId="10" borderId="0" xfId="0" applyFill="1"/>
    <xf numFmtId="2" fontId="0" fillId="0" borderId="0" xfId="0" applyNumberFormat="1" applyAlignment="1">
      <alignment horizontal="right"/>
    </xf>
    <xf numFmtId="0" fontId="11" fillId="5" borderId="1" xfId="0" applyFont="1" applyFill="1" applyBorder="1"/>
    <xf numFmtId="0" fontId="0" fillId="5" borderId="0" xfId="0" applyFill="1" applyAlignment="1">
      <alignment horizontal="left"/>
    </xf>
    <xf numFmtId="0" fontId="12" fillId="0" borderId="11" xfId="0" applyFont="1" applyBorder="1"/>
    <xf numFmtId="0" fontId="12" fillId="0" borderId="12" xfId="0" applyFont="1" applyBorder="1"/>
    <xf numFmtId="0" fontId="4" fillId="0" borderId="11" xfId="0" applyFont="1" applyBorder="1"/>
    <xf numFmtId="0" fontId="19" fillId="0" borderId="0" xfId="0" applyFont="1"/>
    <xf numFmtId="0" fontId="5" fillId="3" borderId="5" xfId="2" applyFont="1" applyBorder="1" applyAlignment="1">
      <alignment horizontal="center"/>
    </xf>
    <xf numFmtId="0" fontId="6" fillId="2" borderId="5" xfId="1" applyFont="1" applyBorder="1" applyAlignment="1">
      <alignment horizontal="center"/>
    </xf>
    <xf numFmtId="0" fontId="0" fillId="0" borderId="1" xfId="0" applyBorder="1" applyAlignment="1">
      <alignment horizontal="center"/>
    </xf>
    <xf numFmtId="0" fontId="5" fillId="3" borderId="1" xfId="2" applyFont="1" applyBorder="1" applyAlignment="1">
      <alignment horizontal="center"/>
    </xf>
    <xf numFmtId="0" fontId="6" fillId="2" borderId="1" xfId="1" applyFont="1"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9" fillId="0" borderId="2" xfId="0" applyFont="1" applyBorder="1" applyAlignment="1">
      <alignment horizontal="center"/>
    </xf>
    <xf numFmtId="0" fontId="9" fillId="0" borderId="3" xfId="0" applyFont="1" applyBorder="1" applyAlignment="1">
      <alignment horizontal="center"/>
    </xf>
    <xf numFmtId="0" fontId="9" fillId="0" borderId="6" xfId="0" applyFont="1" applyBorder="1" applyAlignment="1">
      <alignment horizontal="center"/>
    </xf>
    <xf numFmtId="0" fontId="9" fillId="0" borderId="7" xfId="0" applyFont="1" applyBorder="1" applyAlignment="1">
      <alignment horizontal="center"/>
    </xf>
  </cellXfs>
  <cellStyles count="5">
    <cellStyle name="Goed" xfId="1" builtinId="26"/>
    <cellStyle name="Hyperlink" xfId="4" builtinId="8"/>
    <cellStyle name="Neutraal" xfId="3" builtinId="28"/>
    <cellStyle name="Ongeldig" xfId="2" builtinId="27"/>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15</xdr:col>
      <xdr:colOff>482600</xdr:colOff>
      <xdr:row>43</xdr:row>
      <xdr:rowOff>41796</xdr:rowOff>
    </xdr:to>
    <xdr:pic>
      <xdr:nvPicPr>
        <xdr:cNvPr id="2" name="Afbeelding 1">
          <a:extLst>
            <a:ext uri="{FF2B5EF4-FFF2-40B4-BE49-F238E27FC236}">
              <a16:creationId xmlns:a16="http://schemas.microsoft.com/office/drawing/2014/main" id="{C7A31461-9373-886D-0EDC-D298F3EB7536}"/>
            </a:ext>
          </a:extLst>
        </xdr:cNvPr>
        <xdr:cNvPicPr>
          <a:picLocks noChangeAspect="1"/>
        </xdr:cNvPicPr>
      </xdr:nvPicPr>
      <xdr:blipFill>
        <a:blip xmlns:r="http://schemas.openxmlformats.org/officeDocument/2006/relationships" r:embed="rId1"/>
        <a:stretch>
          <a:fillRect/>
        </a:stretch>
      </xdr:blipFill>
      <xdr:spPr>
        <a:xfrm>
          <a:off x="0" y="0"/>
          <a:ext cx="12865100" cy="877939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38100</xdr:colOff>
      <xdr:row>3</xdr:row>
      <xdr:rowOff>114300</xdr:rowOff>
    </xdr:from>
    <xdr:to>
      <xdr:col>7</xdr:col>
      <xdr:colOff>596900</xdr:colOff>
      <xdr:row>9</xdr:row>
      <xdr:rowOff>50800</xdr:rowOff>
    </xdr:to>
    <xdr:sp macro="" textlink="">
      <xdr:nvSpPr>
        <xdr:cNvPr id="2" name="Tekstvak 1">
          <a:extLst>
            <a:ext uri="{FF2B5EF4-FFF2-40B4-BE49-F238E27FC236}">
              <a16:creationId xmlns:a16="http://schemas.microsoft.com/office/drawing/2014/main" id="{36E8FDCF-3183-B6A1-39F7-433D67DC9B04}"/>
            </a:ext>
          </a:extLst>
        </xdr:cNvPr>
        <xdr:cNvSpPr txBox="1"/>
      </xdr:nvSpPr>
      <xdr:spPr>
        <a:xfrm>
          <a:off x="4152900" y="723900"/>
          <a:ext cx="3035300" cy="1155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nl-NL" sz="1100" b="0" i="0" u="none" strike="noStrike">
              <a:solidFill>
                <a:schemeClr val="dk1"/>
              </a:solidFill>
              <a:effectLst/>
              <a:latin typeface="+mn-lt"/>
              <a:ea typeface="+mn-ea"/>
              <a:cs typeface="+mn-cs"/>
            </a:rPr>
            <a:t>STATFJORD B</a:t>
          </a:r>
          <a:r>
            <a:rPr lang="nl-NL"/>
            <a:t> Ligt dichtbij Gullfaks (Hywind Tampen)</a:t>
          </a:r>
        </a:p>
        <a:p>
          <a:r>
            <a:rPr lang="nl-NL" sz="1100" b="0" i="0" u="none" strike="noStrike">
              <a:solidFill>
                <a:schemeClr val="dk1"/>
              </a:solidFill>
              <a:effectLst/>
              <a:latin typeface="+mn-lt"/>
              <a:ea typeface="+mn-ea"/>
              <a:cs typeface="+mn-cs"/>
            </a:rPr>
            <a:t>JOHAN SVERDRUP RP ligt dicthbij Utsira Nord</a:t>
          </a:r>
          <a:r>
            <a:rPr lang="nl-NL"/>
            <a:t> </a:t>
          </a:r>
        </a:p>
        <a:p>
          <a:r>
            <a:rPr lang="nl-NL" sz="1100" b="0" i="0" u="none" strike="noStrike">
              <a:solidFill>
                <a:schemeClr val="dk1"/>
              </a:solidFill>
              <a:effectLst/>
              <a:latin typeface="+mn-lt"/>
              <a:ea typeface="+mn-ea"/>
              <a:cs typeface="+mn-cs"/>
            </a:rPr>
            <a:t>EKOFISK J (ligt dicthbij Sorlige Norsdjo II)</a:t>
          </a:r>
          <a:r>
            <a:rPr lang="nl-NL"/>
            <a:t> </a:t>
          </a:r>
          <a:endParaRPr lang="nl-NL" sz="1100"/>
        </a:p>
      </xdr:txBody>
    </xdr:sp>
    <xdr:clientData/>
  </xdr:twoCellAnchor>
</xdr:wsDr>
</file>

<file path=xl/theme/theme1.xml><?xml version="1.0" encoding="utf-8"?>
<a:theme xmlns:a="http://schemas.openxmlformats.org/drawingml/2006/main" name="Kantoorthema">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6.xml.rels><?xml version="1.0" encoding="UTF-8" standalone="yes"?>
<Relationships xmlns="http://schemas.openxmlformats.org/package/2006/relationships"><Relationship Id="rId3" Type="http://schemas.openxmlformats.org/officeDocument/2006/relationships/hyperlink" Target="https://www.norskpetroleum.no/en/facts/field/gullfaks-sor/" TargetMode="External"/><Relationship Id="rId2" Type="http://schemas.openxmlformats.org/officeDocument/2006/relationships/hyperlink" Target="https://www.norskpetroleum.no/en/facts/field/alvheim/" TargetMode="External"/><Relationship Id="rId1" Type="http://schemas.openxmlformats.org/officeDocument/2006/relationships/hyperlink" Target="https://www.norskpetroleum.no/en/facts/field/duv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A08315-FBE0-CA4C-9EFE-0A9542346138}">
  <dimension ref="A1"/>
  <sheetViews>
    <sheetView workbookViewId="0">
      <selection activeCell="S30" sqref="S30"/>
    </sheetView>
  </sheetViews>
  <sheetFormatPr baseColWidth="10" defaultRowHeight="16" x14ac:dyDescent="0.2"/>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CC4DE0-7BAC-1F4D-92A3-44AE62829735}">
  <dimension ref="A1:C10"/>
  <sheetViews>
    <sheetView zoomScale="200" zoomScaleNormal="200" workbookViewId="0">
      <selection activeCell="H27" sqref="H27"/>
    </sheetView>
  </sheetViews>
  <sheetFormatPr baseColWidth="10" defaultRowHeight="16" x14ac:dyDescent="0.2"/>
  <cols>
    <col min="1" max="1" width="17.33203125" bestFit="1" customWidth="1"/>
    <col min="2" max="2" width="12" bestFit="1" customWidth="1"/>
    <col min="3" max="3" width="60.5" customWidth="1"/>
  </cols>
  <sheetData>
    <row r="1" spans="1:3" x14ac:dyDescent="0.2">
      <c r="A1" s="4" t="s">
        <v>21</v>
      </c>
      <c r="B1" s="4" t="s">
        <v>19</v>
      </c>
      <c r="C1" s="4" t="s">
        <v>20</v>
      </c>
    </row>
    <row r="2" spans="1:3" ht="68" x14ac:dyDescent="0.2">
      <c r="A2" s="1" t="str">
        <f>Nodes!J2</f>
        <v>Old Production Capacity Gas</v>
      </c>
      <c r="B2" s="9" t="s">
        <v>24</v>
      </c>
      <c r="C2" s="10" t="s">
        <v>25</v>
      </c>
    </row>
    <row r="3" spans="1:3" x14ac:dyDescent="0.2">
      <c r="A3" s="1" t="str">
        <f>Nodes!M2</f>
        <v>Production Costs Gas</v>
      </c>
      <c r="B3" s="1" t="s">
        <v>22</v>
      </c>
      <c r="C3" s="1"/>
    </row>
    <row r="4" spans="1:3" ht="19" x14ac:dyDescent="0.2">
      <c r="A4" s="1" t="str">
        <f>Nodes!N2</f>
        <v>Storage Capacity Gas</v>
      </c>
      <c r="B4" s="9" t="s">
        <v>23</v>
      </c>
      <c r="C4" s="9"/>
    </row>
    <row r="5" spans="1:3" x14ac:dyDescent="0.2">
      <c r="A5" s="1" t="str">
        <f>Nodes!O2</f>
        <v>Entry Storage Costs Gas</v>
      </c>
      <c r="B5" s="1" t="s">
        <v>22</v>
      </c>
      <c r="C5" s="1"/>
    </row>
    <row r="6" spans="1:3" x14ac:dyDescent="0.2">
      <c r="A6" s="1" t="str">
        <f>Nodes!P2</f>
        <v>Entry Costs Gas Stage 1</v>
      </c>
      <c r="B6" s="1" t="s">
        <v>22</v>
      </c>
      <c r="C6" s="1"/>
    </row>
    <row r="7" spans="1:3" x14ac:dyDescent="0.2">
      <c r="A7" s="1" t="str">
        <f>Nodes!Q2</f>
        <v>Exit Costs Gas Stage 1</v>
      </c>
      <c r="B7" s="1" t="s">
        <v>22</v>
      </c>
      <c r="C7" s="1"/>
    </row>
    <row r="8" spans="1:3" x14ac:dyDescent="0.2">
      <c r="A8" s="1" t="str">
        <f>Arcs!M1</f>
        <v>Flow costs Gas</v>
      </c>
      <c r="B8" s="1" t="s">
        <v>22</v>
      </c>
      <c r="C8" s="1"/>
    </row>
    <row r="9" spans="1:3" ht="19" x14ac:dyDescent="0.2">
      <c r="A9" s="1" t="e">
        <f>Arcs!#REF!</f>
        <v>#REF!</v>
      </c>
      <c r="B9" s="9" t="s">
        <v>24</v>
      </c>
      <c r="C9" s="9"/>
    </row>
    <row r="10" spans="1:3" ht="19" x14ac:dyDescent="0.2">
      <c r="A10" s="1" t="s">
        <v>18</v>
      </c>
      <c r="B10" s="9" t="s">
        <v>24</v>
      </c>
      <c r="C10"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F5746-A1B1-6F4F-9762-CACD4A91B5F2}">
  <dimension ref="A1:AI64"/>
  <sheetViews>
    <sheetView topLeftCell="A42" zoomScale="108" zoomScaleNormal="108" workbookViewId="0">
      <selection activeCell="C56" sqref="C56"/>
    </sheetView>
  </sheetViews>
  <sheetFormatPr baseColWidth="10" defaultRowHeight="16" x14ac:dyDescent="0.2"/>
  <cols>
    <col min="1" max="1" width="3.1640625" bestFit="1" customWidth="1"/>
    <col min="2" max="2" width="30" bestFit="1" customWidth="1"/>
    <col min="3" max="3" width="5.1640625" bestFit="1" customWidth="1"/>
    <col min="4" max="4" width="12.5" style="14" bestFit="1" customWidth="1"/>
    <col min="5" max="5" width="12.1640625" style="14" bestFit="1" customWidth="1"/>
    <col min="6" max="6" width="5.1640625" bestFit="1" customWidth="1"/>
    <col min="7" max="7" width="17.83203125" bestFit="1" customWidth="1"/>
    <col min="8" max="8" width="16.6640625" bestFit="1" customWidth="1"/>
    <col min="9" max="9" width="21.83203125" bestFit="1" customWidth="1"/>
    <col min="10" max="10" width="36.5" bestFit="1" customWidth="1"/>
    <col min="11" max="11" width="16.83203125" bestFit="1" customWidth="1"/>
    <col min="12" max="12" width="15.5" bestFit="1" customWidth="1"/>
    <col min="13" max="13" width="19.1640625" bestFit="1" customWidth="1"/>
    <col min="14" max="14" width="18.83203125" bestFit="1" customWidth="1"/>
    <col min="15" max="15" width="21.1640625" bestFit="1" customWidth="1"/>
    <col min="16" max="16" width="20.83203125" bestFit="1" customWidth="1"/>
    <col min="17" max="17" width="19.6640625" bestFit="1" customWidth="1"/>
    <col min="18" max="18" width="20.83203125" bestFit="1" customWidth="1"/>
    <col min="19" max="19" width="19.6640625" bestFit="1" customWidth="1"/>
    <col min="20" max="20" width="20.83203125" bestFit="1" customWidth="1"/>
    <col min="21" max="21" width="19.6640625" bestFit="1" customWidth="1"/>
    <col min="22" max="22" width="23" bestFit="1" customWidth="1"/>
    <col min="23" max="23" width="21.6640625" bestFit="1" customWidth="1"/>
    <col min="24" max="24" width="27" bestFit="1" customWidth="1"/>
    <col min="25" max="25" width="22" bestFit="1" customWidth="1"/>
    <col min="26" max="26" width="20.5" bestFit="1" customWidth="1"/>
    <col min="27" max="27" width="24.33203125" bestFit="1" customWidth="1"/>
    <col min="28" max="28" width="24" bestFit="1" customWidth="1"/>
    <col min="29" max="29" width="26.33203125" bestFit="1" customWidth="1"/>
    <col min="30" max="30" width="26" bestFit="1" customWidth="1"/>
    <col min="31" max="31" width="24.6640625" bestFit="1" customWidth="1"/>
    <col min="32" max="32" width="26" bestFit="1" customWidth="1"/>
    <col min="33" max="33" width="24.6640625" bestFit="1" customWidth="1"/>
    <col min="34" max="34" width="26" bestFit="1" customWidth="1"/>
    <col min="35" max="35" width="24.6640625" bestFit="1" customWidth="1"/>
  </cols>
  <sheetData>
    <row r="1" spans="1:35" x14ac:dyDescent="0.2">
      <c r="G1" s="56" t="s">
        <v>136</v>
      </c>
      <c r="H1" s="56"/>
      <c r="I1" s="56"/>
      <c r="J1" s="56"/>
      <c r="K1" s="56"/>
      <c r="L1" s="56"/>
      <c r="M1" s="56"/>
      <c r="N1" s="56"/>
      <c r="O1" s="56"/>
      <c r="P1" s="56"/>
      <c r="Q1" s="56"/>
      <c r="R1" s="56"/>
      <c r="S1" s="56"/>
      <c r="T1" s="56"/>
      <c r="U1" s="56"/>
      <c r="V1" s="57" t="s">
        <v>215</v>
      </c>
      <c r="W1" s="57"/>
      <c r="X1" s="57"/>
      <c r="Y1" s="57"/>
      <c r="Z1" s="57"/>
      <c r="AA1" s="57"/>
      <c r="AB1" s="57"/>
      <c r="AC1" s="57"/>
      <c r="AD1" s="57"/>
      <c r="AE1" s="57"/>
      <c r="AF1" s="57"/>
      <c r="AG1" s="57"/>
      <c r="AH1" s="57"/>
      <c r="AI1" s="57"/>
    </row>
    <row r="2" spans="1:35" x14ac:dyDescent="0.2">
      <c r="A2" s="4" t="s">
        <v>0</v>
      </c>
      <c r="B2" s="4" t="s">
        <v>1</v>
      </c>
      <c r="C2" s="4" t="s">
        <v>4</v>
      </c>
      <c r="D2" s="15" t="s">
        <v>66</v>
      </c>
      <c r="E2" s="15" t="s">
        <v>67</v>
      </c>
      <c r="F2" s="4" t="s">
        <v>128</v>
      </c>
      <c r="G2" s="5" t="s">
        <v>69</v>
      </c>
      <c r="H2" s="5" t="s">
        <v>70</v>
      </c>
      <c r="I2" s="5" t="s">
        <v>37</v>
      </c>
      <c r="J2" s="5" t="s">
        <v>276</v>
      </c>
      <c r="K2" s="5" t="s">
        <v>38</v>
      </c>
      <c r="L2" s="5" t="s">
        <v>39</v>
      </c>
      <c r="M2" s="5" t="s">
        <v>40</v>
      </c>
      <c r="N2" s="5" t="s">
        <v>41</v>
      </c>
      <c r="O2" s="5" t="s">
        <v>42</v>
      </c>
      <c r="P2" s="5" t="s">
        <v>43</v>
      </c>
      <c r="Q2" s="5" t="s">
        <v>44</v>
      </c>
      <c r="R2" s="5" t="s">
        <v>45</v>
      </c>
      <c r="S2" s="5" t="s">
        <v>46</v>
      </c>
      <c r="T2" s="5" t="s">
        <v>47</v>
      </c>
      <c r="U2" s="5" t="s">
        <v>48</v>
      </c>
      <c r="V2" s="6" t="s">
        <v>71</v>
      </c>
      <c r="W2" s="6" t="s">
        <v>72</v>
      </c>
      <c r="X2" s="6" t="s">
        <v>49</v>
      </c>
      <c r="Y2" s="6" t="s">
        <v>50</v>
      </c>
      <c r="Z2" s="6" t="s">
        <v>51</v>
      </c>
      <c r="AA2" s="6" t="s">
        <v>52</v>
      </c>
      <c r="AB2" s="6" t="s">
        <v>53</v>
      </c>
      <c r="AC2" s="6" t="s">
        <v>54</v>
      </c>
      <c r="AD2" s="6" t="s">
        <v>55</v>
      </c>
      <c r="AE2" s="6" t="s">
        <v>56</v>
      </c>
      <c r="AF2" s="6" t="s">
        <v>57</v>
      </c>
      <c r="AG2" s="6" t="s">
        <v>58</v>
      </c>
      <c r="AH2" s="6" t="s">
        <v>59</v>
      </c>
      <c r="AI2" s="6" t="s">
        <v>60</v>
      </c>
    </row>
    <row r="3" spans="1:35" x14ac:dyDescent="0.2">
      <c r="A3" s="1">
        <v>1</v>
      </c>
      <c r="B3" s="1" t="s">
        <v>74</v>
      </c>
      <c r="C3" s="1"/>
      <c r="D3" s="16">
        <v>7.1072270000000231</v>
      </c>
      <c r="E3" s="16">
        <v>67.055610000000058</v>
      </c>
      <c r="F3" s="1"/>
      <c r="G3" s="2">
        <v>5</v>
      </c>
      <c r="H3" s="2">
        <v>5</v>
      </c>
      <c r="I3" s="2">
        <f>SUMIFS(ProductionCapacities!$F$2:$F$51,ProductionCapacities!$E$2:$E$51,Nodes!B3)</f>
        <v>23.970863013698629</v>
      </c>
      <c r="J3" s="2">
        <v>8889.5949999999993</v>
      </c>
      <c r="K3" s="11">
        <v>500</v>
      </c>
      <c r="L3" s="11">
        <v>500</v>
      </c>
      <c r="M3" s="2">
        <v>10</v>
      </c>
      <c r="N3" s="2">
        <v>100</v>
      </c>
      <c r="O3" s="2">
        <f>IF(C3="Market",1.999,2)</f>
        <v>2</v>
      </c>
      <c r="P3" s="2">
        <v>5</v>
      </c>
      <c r="Q3" s="2">
        <v>5</v>
      </c>
      <c r="R3" s="2">
        <v>5.2</v>
      </c>
      <c r="S3" s="2">
        <v>5.2</v>
      </c>
      <c r="T3" s="2">
        <v>5.4</v>
      </c>
      <c r="U3" s="2">
        <v>5.4</v>
      </c>
      <c r="V3" s="3">
        <v>5</v>
      </c>
      <c r="W3" s="3">
        <v>5</v>
      </c>
      <c r="X3" s="3">
        <v>100</v>
      </c>
      <c r="Y3" s="3">
        <v>0</v>
      </c>
      <c r="Z3" s="3">
        <v>0</v>
      </c>
      <c r="AA3" s="3">
        <f>M3</f>
        <v>10</v>
      </c>
      <c r="AB3" s="3">
        <v>0</v>
      </c>
      <c r="AC3" s="3">
        <f>O3</f>
        <v>2</v>
      </c>
      <c r="AD3" s="3">
        <f t="shared" ref="AD3:AI3" si="0">P3</f>
        <v>5</v>
      </c>
      <c r="AE3" s="3">
        <f t="shared" si="0"/>
        <v>5</v>
      </c>
      <c r="AF3" s="3">
        <f t="shared" si="0"/>
        <v>5.2</v>
      </c>
      <c r="AG3" s="3">
        <f t="shared" si="0"/>
        <v>5.2</v>
      </c>
      <c r="AH3" s="3">
        <f t="shared" si="0"/>
        <v>5.4</v>
      </c>
      <c r="AI3" s="3">
        <f t="shared" si="0"/>
        <v>5.4</v>
      </c>
    </row>
    <row r="4" spans="1:35" x14ac:dyDescent="0.2">
      <c r="A4" s="1">
        <v>2</v>
      </c>
      <c r="B4" s="1" t="s">
        <v>206</v>
      </c>
      <c r="C4" s="1"/>
      <c r="D4" s="16">
        <v>4.6885411271899056</v>
      </c>
      <c r="E4" s="16">
        <v>62.302728638549418</v>
      </c>
      <c r="F4" s="1"/>
      <c r="G4" s="2">
        <v>5</v>
      </c>
      <c r="H4" s="2">
        <v>5</v>
      </c>
      <c r="I4" s="2">
        <f>SUMIFS(ProductionCapacities!$F$2:$F$51,ProductionCapacities!$E$2:$E$51,Nodes!B4)</f>
        <v>0</v>
      </c>
      <c r="J4" s="2">
        <v>0</v>
      </c>
      <c r="K4" s="11">
        <v>500</v>
      </c>
      <c r="L4" s="11">
        <v>500</v>
      </c>
      <c r="M4" s="2">
        <v>10</v>
      </c>
      <c r="N4" s="2">
        <v>100</v>
      </c>
      <c r="O4" s="2">
        <f t="shared" ref="O4:O61" si="1">IF(C4="Market",1.999,2)</f>
        <v>2</v>
      </c>
      <c r="P4" s="2">
        <v>5</v>
      </c>
      <c r="Q4" s="2">
        <v>5</v>
      </c>
      <c r="R4" s="2">
        <v>5.2</v>
      </c>
      <c r="S4" s="2">
        <v>5.2</v>
      </c>
      <c r="T4" s="2">
        <v>5.4</v>
      </c>
      <c r="U4" s="2">
        <v>5.4</v>
      </c>
      <c r="V4" s="3">
        <v>5</v>
      </c>
      <c r="W4" s="3">
        <v>5</v>
      </c>
      <c r="X4" s="3">
        <v>100</v>
      </c>
      <c r="Y4" s="3">
        <v>0</v>
      </c>
      <c r="Z4" s="3">
        <v>0</v>
      </c>
      <c r="AA4" s="3">
        <f t="shared" ref="AA4:AA61" si="2">M4</f>
        <v>10</v>
      </c>
      <c r="AB4" s="3">
        <v>0</v>
      </c>
      <c r="AC4" s="3">
        <f t="shared" ref="AC4:AC61" si="3">O4</f>
        <v>2</v>
      </c>
      <c r="AD4" s="3">
        <f t="shared" ref="AD4:AD61" si="4">P4</f>
        <v>5</v>
      </c>
      <c r="AE4" s="3">
        <f t="shared" ref="AE4:AE61" si="5">Q4</f>
        <v>5</v>
      </c>
      <c r="AF4" s="3">
        <f t="shared" ref="AF4:AF61" si="6">R4</f>
        <v>5.2</v>
      </c>
      <c r="AG4" s="3">
        <f t="shared" ref="AG4:AG61" si="7">S4</f>
        <v>5.2</v>
      </c>
      <c r="AH4" s="3">
        <f t="shared" ref="AH4:AH61" si="8">T4</f>
        <v>5.4</v>
      </c>
      <c r="AI4" s="3">
        <f t="shared" ref="AI4:AI61" si="9">U4</f>
        <v>5.4</v>
      </c>
    </row>
    <row r="5" spans="1:35" x14ac:dyDescent="0.2">
      <c r="A5" s="1">
        <v>3</v>
      </c>
      <c r="B5" s="1" t="s">
        <v>205</v>
      </c>
      <c r="C5" s="1"/>
      <c r="D5" s="16">
        <v>6.8036598360000653</v>
      </c>
      <c r="E5" s="16">
        <v>65.094471500000054</v>
      </c>
      <c r="F5" s="1" t="s">
        <v>322</v>
      </c>
      <c r="G5" s="2">
        <v>5</v>
      </c>
      <c r="H5" s="2">
        <v>5</v>
      </c>
      <c r="I5" s="2">
        <f>SUMIFS(ProductionCapacities!$F$2:$F$51,ProductionCapacities!$E$2:$E$51,Nodes!B5)</f>
        <v>28.969463013698629</v>
      </c>
      <c r="J5" s="2">
        <v>0</v>
      </c>
      <c r="K5" s="11">
        <v>500</v>
      </c>
      <c r="L5" s="11">
        <v>500</v>
      </c>
      <c r="M5" s="2">
        <v>10</v>
      </c>
      <c r="N5" s="2">
        <v>100</v>
      </c>
      <c r="O5" s="2">
        <f t="shared" si="1"/>
        <v>2</v>
      </c>
      <c r="P5" s="2">
        <v>5</v>
      </c>
      <c r="Q5" s="2">
        <v>5</v>
      </c>
      <c r="R5" s="2">
        <v>5.2</v>
      </c>
      <c r="S5" s="2">
        <v>5.2</v>
      </c>
      <c r="T5" s="2">
        <v>5.4</v>
      </c>
      <c r="U5" s="2">
        <v>5.4</v>
      </c>
      <c r="V5" s="3">
        <v>5</v>
      </c>
      <c r="W5" s="3">
        <v>5</v>
      </c>
      <c r="X5" s="3">
        <v>100</v>
      </c>
      <c r="Y5" s="3">
        <v>0</v>
      </c>
      <c r="Z5" s="3">
        <v>0</v>
      </c>
      <c r="AA5" s="3">
        <f t="shared" si="2"/>
        <v>10</v>
      </c>
      <c r="AB5" s="3">
        <v>0</v>
      </c>
      <c r="AC5" s="3">
        <f t="shared" si="3"/>
        <v>2</v>
      </c>
      <c r="AD5" s="3">
        <f t="shared" si="4"/>
        <v>5</v>
      </c>
      <c r="AE5" s="3">
        <f t="shared" si="5"/>
        <v>5</v>
      </c>
      <c r="AF5" s="3">
        <f t="shared" si="6"/>
        <v>5.2</v>
      </c>
      <c r="AG5" s="3">
        <f t="shared" si="7"/>
        <v>5.2</v>
      </c>
      <c r="AH5" s="3">
        <f t="shared" si="8"/>
        <v>5.4</v>
      </c>
      <c r="AI5" s="3">
        <f t="shared" si="9"/>
        <v>5.4</v>
      </c>
    </row>
    <row r="6" spans="1:35" x14ac:dyDescent="0.2">
      <c r="A6" s="1">
        <v>4</v>
      </c>
      <c r="B6" s="1" t="s">
        <v>113</v>
      </c>
      <c r="C6" s="1"/>
      <c r="D6" s="22">
        <v>4.5569471181611378</v>
      </c>
      <c r="E6" s="22">
        <v>55.458982371638299</v>
      </c>
      <c r="F6" s="1"/>
      <c r="G6" s="2">
        <v>5</v>
      </c>
      <c r="H6" s="2">
        <v>5</v>
      </c>
      <c r="I6" s="2">
        <f>SUMIFS(ProductionCapacities!$F$2:$F$51,ProductionCapacities!$E$2:$E$51,Nodes!B6)</f>
        <v>0</v>
      </c>
      <c r="J6" s="2">
        <v>0</v>
      </c>
      <c r="K6" s="11">
        <v>500</v>
      </c>
      <c r="L6" s="11">
        <v>500</v>
      </c>
      <c r="M6" s="2">
        <v>10</v>
      </c>
      <c r="N6" s="2">
        <v>100</v>
      </c>
      <c r="O6" s="2">
        <f t="shared" si="1"/>
        <v>2</v>
      </c>
      <c r="P6" s="2">
        <v>5</v>
      </c>
      <c r="Q6" s="2">
        <v>5</v>
      </c>
      <c r="R6" s="2">
        <v>5.2</v>
      </c>
      <c r="S6" s="2">
        <v>5.2</v>
      </c>
      <c r="T6" s="2">
        <v>5.4</v>
      </c>
      <c r="U6" s="2">
        <v>5.4</v>
      </c>
      <c r="V6" s="3">
        <v>5</v>
      </c>
      <c r="W6" s="3">
        <v>5</v>
      </c>
      <c r="X6" s="3">
        <v>100</v>
      </c>
      <c r="Y6" s="3">
        <v>0</v>
      </c>
      <c r="Z6" s="3">
        <v>0</v>
      </c>
      <c r="AA6" s="3">
        <f t="shared" si="2"/>
        <v>10</v>
      </c>
      <c r="AB6" s="3">
        <v>0</v>
      </c>
      <c r="AC6" s="3">
        <f t="shared" si="3"/>
        <v>2</v>
      </c>
      <c r="AD6" s="3">
        <f t="shared" si="4"/>
        <v>5</v>
      </c>
      <c r="AE6" s="3">
        <f t="shared" si="5"/>
        <v>5</v>
      </c>
      <c r="AF6" s="3">
        <f t="shared" si="6"/>
        <v>5.2</v>
      </c>
      <c r="AG6" s="3">
        <f t="shared" si="7"/>
        <v>5.2</v>
      </c>
      <c r="AH6" s="3">
        <f t="shared" si="8"/>
        <v>5.4</v>
      </c>
      <c r="AI6" s="3">
        <f t="shared" si="9"/>
        <v>5.4</v>
      </c>
    </row>
    <row r="7" spans="1:35" x14ac:dyDescent="0.2">
      <c r="A7" s="1">
        <v>5</v>
      </c>
      <c r="B7" s="1" t="s">
        <v>112</v>
      </c>
      <c r="C7" s="1"/>
      <c r="D7" s="22">
        <v>6.5038</v>
      </c>
      <c r="E7" s="22">
        <v>55.71</v>
      </c>
      <c r="F7" s="1"/>
      <c r="G7" s="2">
        <v>5</v>
      </c>
      <c r="H7" s="2">
        <v>5</v>
      </c>
      <c r="I7" s="2">
        <f>SUMIFS(ProductionCapacities!$F$2:$F$51,ProductionCapacities!$E$2:$E$51,Nodes!B7)</f>
        <v>0</v>
      </c>
      <c r="J7" s="29">
        <v>0</v>
      </c>
      <c r="K7" s="11">
        <v>500</v>
      </c>
      <c r="L7" s="11">
        <v>500</v>
      </c>
      <c r="M7" s="2">
        <v>10</v>
      </c>
      <c r="N7" s="2">
        <v>100</v>
      </c>
      <c r="O7" s="2">
        <f t="shared" si="1"/>
        <v>2</v>
      </c>
      <c r="P7" s="2">
        <v>5</v>
      </c>
      <c r="Q7" s="2">
        <v>5</v>
      </c>
      <c r="R7" s="2">
        <v>5.2</v>
      </c>
      <c r="S7" s="2">
        <v>5.2</v>
      </c>
      <c r="T7" s="2">
        <v>5.4</v>
      </c>
      <c r="U7" s="2">
        <v>5.4</v>
      </c>
      <c r="V7" s="3">
        <v>5</v>
      </c>
      <c r="W7" s="3">
        <v>5</v>
      </c>
      <c r="X7" s="3">
        <v>100</v>
      </c>
      <c r="Y7" s="3">
        <v>0</v>
      </c>
      <c r="Z7" s="3">
        <v>0</v>
      </c>
      <c r="AA7" s="3">
        <f t="shared" si="2"/>
        <v>10</v>
      </c>
      <c r="AB7" s="3">
        <v>0</v>
      </c>
      <c r="AC7" s="3">
        <f t="shared" si="3"/>
        <v>2</v>
      </c>
      <c r="AD7" s="3">
        <f t="shared" si="4"/>
        <v>5</v>
      </c>
      <c r="AE7" s="3">
        <f t="shared" si="5"/>
        <v>5</v>
      </c>
      <c r="AF7" s="3">
        <f t="shared" si="6"/>
        <v>5.2</v>
      </c>
      <c r="AG7" s="3">
        <f t="shared" si="7"/>
        <v>5.2</v>
      </c>
      <c r="AH7" s="3">
        <f t="shared" si="8"/>
        <v>5.4</v>
      </c>
      <c r="AI7" s="3">
        <f t="shared" si="9"/>
        <v>5.4</v>
      </c>
    </row>
    <row r="8" spans="1:35" x14ac:dyDescent="0.2">
      <c r="A8" s="1">
        <v>6</v>
      </c>
      <c r="B8" s="1" t="s">
        <v>89</v>
      </c>
      <c r="C8" s="1"/>
      <c r="D8" s="16">
        <v>2.8980550000000558</v>
      </c>
      <c r="E8" s="16">
        <v>60.560633000000053</v>
      </c>
      <c r="F8" s="1" t="s">
        <v>322</v>
      </c>
      <c r="G8" s="2">
        <v>5</v>
      </c>
      <c r="H8" s="2">
        <v>5</v>
      </c>
      <c r="I8" s="2">
        <f>SUMIFS(ProductionCapacities!$F$2:$F$51,ProductionCapacities!$E$2:$E$51,Nodes!B8)</f>
        <v>0.35852054794520549</v>
      </c>
      <c r="J8" s="2">
        <v>0</v>
      </c>
      <c r="K8" s="11">
        <v>500</v>
      </c>
      <c r="L8" s="11">
        <v>500</v>
      </c>
      <c r="M8" s="2">
        <v>10</v>
      </c>
      <c r="N8" s="2">
        <v>100</v>
      </c>
      <c r="O8" s="2">
        <f t="shared" si="1"/>
        <v>2</v>
      </c>
      <c r="P8" s="2">
        <v>5</v>
      </c>
      <c r="Q8" s="2">
        <v>5</v>
      </c>
      <c r="R8" s="2">
        <v>5.2</v>
      </c>
      <c r="S8" s="2">
        <v>5.2</v>
      </c>
      <c r="T8" s="2">
        <v>5.4</v>
      </c>
      <c r="U8" s="2">
        <v>5.4</v>
      </c>
      <c r="V8" s="3">
        <v>5</v>
      </c>
      <c r="W8" s="3">
        <v>5</v>
      </c>
      <c r="X8" s="3">
        <v>100</v>
      </c>
      <c r="Y8" s="3">
        <v>0</v>
      </c>
      <c r="Z8" s="3">
        <v>0</v>
      </c>
      <c r="AA8" s="3">
        <f t="shared" si="2"/>
        <v>10</v>
      </c>
      <c r="AB8" s="3">
        <v>0</v>
      </c>
      <c r="AC8" s="3">
        <f t="shared" si="3"/>
        <v>2</v>
      </c>
      <c r="AD8" s="3">
        <f t="shared" si="4"/>
        <v>5</v>
      </c>
      <c r="AE8" s="3">
        <f t="shared" si="5"/>
        <v>5</v>
      </c>
      <c r="AF8" s="3">
        <f t="shared" si="6"/>
        <v>5.2</v>
      </c>
      <c r="AG8" s="3">
        <f t="shared" si="7"/>
        <v>5.2</v>
      </c>
      <c r="AH8" s="3">
        <f t="shared" si="8"/>
        <v>5.4</v>
      </c>
      <c r="AI8" s="3">
        <f t="shared" si="9"/>
        <v>5.4</v>
      </c>
    </row>
    <row r="9" spans="1:35" x14ac:dyDescent="0.2">
      <c r="A9" s="1">
        <v>7</v>
      </c>
      <c r="B9" s="1" t="s">
        <v>92</v>
      </c>
      <c r="C9" s="1"/>
      <c r="D9" s="16">
        <v>3.037825494927695</v>
      </c>
      <c r="E9" s="16">
        <v>60.543328997897447</v>
      </c>
      <c r="F9" s="1" t="s">
        <v>322</v>
      </c>
      <c r="G9" s="2">
        <v>5</v>
      </c>
      <c r="H9" s="2">
        <v>5</v>
      </c>
      <c r="I9" s="2">
        <f>SUMIFS(ProductionCapacities!$F$2:$F$51,ProductionCapacities!$E$2:$E$51,Nodes!B9)</f>
        <v>0</v>
      </c>
      <c r="J9" s="2">
        <v>48.064999999999998</v>
      </c>
      <c r="K9" s="11">
        <v>500</v>
      </c>
      <c r="L9" s="11">
        <v>500</v>
      </c>
      <c r="M9" s="2">
        <v>10</v>
      </c>
      <c r="N9" s="2">
        <v>100</v>
      </c>
      <c r="O9" s="2">
        <f t="shared" si="1"/>
        <v>2</v>
      </c>
      <c r="P9" s="2">
        <v>5</v>
      </c>
      <c r="Q9" s="2">
        <v>5</v>
      </c>
      <c r="R9" s="2">
        <v>5.2</v>
      </c>
      <c r="S9" s="2">
        <v>5.2</v>
      </c>
      <c r="T9" s="2">
        <v>5.4</v>
      </c>
      <c r="U9" s="2">
        <v>5.4</v>
      </c>
      <c r="V9" s="3">
        <v>5</v>
      </c>
      <c r="W9" s="3">
        <v>5</v>
      </c>
      <c r="X9" s="3">
        <v>100</v>
      </c>
      <c r="Y9" s="3">
        <v>0</v>
      </c>
      <c r="Z9" s="3">
        <v>0</v>
      </c>
      <c r="AA9" s="3">
        <f t="shared" si="2"/>
        <v>10</v>
      </c>
      <c r="AB9" s="3">
        <v>0</v>
      </c>
      <c r="AC9" s="3">
        <f t="shared" si="3"/>
        <v>2</v>
      </c>
      <c r="AD9" s="3">
        <f t="shared" si="4"/>
        <v>5</v>
      </c>
      <c r="AE9" s="3">
        <f t="shared" si="5"/>
        <v>5</v>
      </c>
      <c r="AF9" s="3">
        <f t="shared" si="6"/>
        <v>5.2</v>
      </c>
      <c r="AG9" s="3">
        <f t="shared" si="7"/>
        <v>5.2</v>
      </c>
      <c r="AH9" s="3">
        <f t="shared" si="8"/>
        <v>5.4</v>
      </c>
      <c r="AI9" s="3">
        <f t="shared" si="9"/>
        <v>5.4</v>
      </c>
    </row>
    <row r="10" spans="1:35" x14ac:dyDescent="0.2">
      <c r="A10" s="1">
        <v>8</v>
      </c>
      <c r="B10" s="1" t="s">
        <v>108</v>
      </c>
      <c r="C10" s="1"/>
      <c r="D10" s="22">
        <v>1.803328</v>
      </c>
      <c r="E10" s="22">
        <v>57.758068999999999</v>
      </c>
      <c r="F10" s="1"/>
      <c r="G10" s="2">
        <v>5</v>
      </c>
      <c r="H10" s="2">
        <v>5</v>
      </c>
      <c r="I10" s="29">
        <v>48</v>
      </c>
      <c r="J10" s="2">
        <v>1282.3420000000001</v>
      </c>
      <c r="K10" s="11">
        <v>500</v>
      </c>
      <c r="L10" s="11">
        <v>500</v>
      </c>
      <c r="M10" s="2">
        <v>10</v>
      </c>
      <c r="N10" s="2">
        <v>100</v>
      </c>
      <c r="O10" s="2">
        <f t="shared" si="1"/>
        <v>2</v>
      </c>
      <c r="P10" s="2">
        <v>5</v>
      </c>
      <c r="Q10" s="2">
        <v>5</v>
      </c>
      <c r="R10" s="2">
        <v>5.2</v>
      </c>
      <c r="S10" s="2">
        <v>5.2</v>
      </c>
      <c r="T10" s="2">
        <v>5.4</v>
      </c>
      <c r="U10" s="2">
        <v>5.4</v>
      </c>
      <c r="V10" s="3">
        <v>5</v>
      </c>
      <c r="W10" s="3">
        <v>5</v>
      </c>
      <c r="X10" s="3">
        <v>100</v>
      </c>
      <c r="Y10" s="3">
        <v>0</v>
      </c>
      <c r="Z10" s="3">
        <v>0</v>
      </c>
      <c r="AA10" s="3">
        <f t="shared" si="2"/>
        <v>10</v>
      </c>
      <c r="AB10" s="3">
        <v>0</v>
      </c>
      <c r="AC10" s="3">
        <f t="shared" si="3"/>
        <v>2</v>
      </c>
      <c r="AD10" s="3">
        <f t="shared" si="4"/>
        <v>5</v>
      </c>
      <c r="AE10" s="3">
        <f t="shared" si="5"/>
        <v>5</v>
      </c>
      <c r="AF10" s="3">
        <f t="shared" si="6"/>
        <v>5.2</v>
      </c>
      <c r="AG10" s="3">
        <f t="shared" si="7"/>
        <v>5.2</v>
      </c>
      <c r="AH10" s="3">
        <f t="shared" si="8"/>
        <v>5.4</v>
      </c>
      <c r="AI10" s="3">
        <f t="shared" si="9"/>
        <v>5.4</v>
      </c>
    </row>
    <row r="11" spans="1:35" x14ac:dyDescent="0.2">
      <c r="A11" s="1">
        <v>9</v>
      </c>
      <c r="B11" s="1" t="s">
        <v>123</v>
      </c>
      <c r="C11" s="1"/>
      <c r="D11" s="22">
        <v>8.4072999999999993</v>
      </c>
      <c r="E11" s="22">
        <v>55.744999999999997</v>
      </c>
      <c r="F11" s="1"/>
      <c r="G11" s="2">
        <v>5</v>
      </c>
      <c r="H11" s="2">
        <v>5</v>
      </c>
      <c r="I11" s="2">
        <f>SUMIFS(ProductionCapacities!$F$2:$F$51,ProductionCapacities!$E$2:$E$51,Nodes!B11)</f>
        <v>0</v>
      </c>
      <c r="J11" s="2">
        <v>0</v>
      </c>
      <c r="K11" s="11">
        <v>500</v>
      </c>
      <c r="L11" s="11">
        <v>500</v>
      </c>
      <c r="M11" s="2">
        <v>10</v>
      </c>
      <c r="N11" s="2">
        <v>100</v>
      </c>
      <c r="O11" s="2">
        <f t="shared" si="1"/>
        <v>2</v>
      </c>
      <c r="P11" s="2">
        <v>5</v>
      </c>
      <c r="Q11" s="2">
        <v>5</v>
      </c>
      <c r="R11" s="2">
        <v>5.2</v>
      </c>
      <c r="S11" s="2">
        <v>5.2</v>
      </c>
      <c r="T11" s="2">
        <v>5.4</v>
      </c>
      <c r="U11" s="2">
        <v>5.4</v>
      </c>
      <c r="V11" s="3">
        <v>5</v>
      </c>
      <c r="W11" s="3">
        <v>5</v>
      </c>
      <c r="X11" s="3">
        <v>100</v>
      </c>
      <c r="Y11" s="3">
        <v>0</v>
      </c>
      <c r="Z11" s="3">
        <v>0</v>
      </c>
      <c r="AA11" s="3">
        <f t="shared" si="2"/>
        <v>10</v>
      </c>
      <c r="AB11" s="3">
        <v>0</v>
      </c>
      <c r="AC11" s="3">
        <f t="shared" si="3"/>
        <v>2</v>
      </c>
      <c r="AD11" s="3">
        <f t="shared" si="4"/>
        <v>5</v>
      </c>
      <c r="AE11" s="3">
        <f t="shared" si="5"/>
        <v>5</v>
      </c>
      <c r="AF11" s="3">
        <f t="shared" si="6"/>
        <v>5.2</v>
      </c>
      <c r="AG11" s="3">
        <f t="shared" si="7"/>
        <v>5.2</v>
      </c>
      <c r="AH11" s="3">
        <f t="shared" si="8"/>
        <v>5.4</v>
      </c>
      <c r="AI11" s="3">
        <f t="shared" si="9"/>
        <v>5.4</v>
      </c>
    </row>
    <row r="12" spans="1:35" x14ac:dyDescent="0.2">
      <c r="A12" s="1">
        <v>10</v>
      </c>
      <c r="B12" s="1" t="s">
        <v>124</v>
      </c>
      <c r="C12" s="1"/>
      <c r="D12" s="22">
        <v>9.3108000000000004</v>
      </c>
      <c r="E12" s="22">
        <v>55.616999999999997</v>
      </c>
      <c r="F12" s="1"/>
      <c r="G12" s="2">
        <v>5</v>
      </c>
      <c r="H12" s="2">
        <v>5</v>
      </c>
      <c r="I12" s="2">
        <f>SUMIFS(ProductionCapacities!$F$2:$F$51,ProductionCapacities!$E$2:$E$51,Nodes!B12)</f>
        <v>0</v>
      </c>
      <c r="J12" s="2">
        <v>0</v>
      </c>
      <c r="K12" s="11">
        <v>500</v>
      </c>
      <c r="L12" s="11">
        <v>500</v>
      </c>
      <c r="M12" s="2">
        <v>10</v>
      </c>
      <c r="N12" s="2">
        <v>100</v>
      </c>
      <c r="O12" s="2">
        <f t="shared" si="1"/>
        <v>2</v>
      </c>
      <c r="P12" s="2">
        <v>5</v>
      </c>
      <c r="Q12" s="2">
        <v>5</v>
      </c>
      <c r="R12" s="2">
        <v>5.2</v>
      </c>
      <c r="S12" s="2">
        <v>5.2</v>
      </c>
      <c r="T12" s="2">
        <v>5.4</v>
      </c>
      <c r="U12" s="2">
        <v>5.4</v>
      </c>
      <c r="V12" s="3">
        <v>5</v>
      </c>
      <c r="W12" s="3">
        <v>5</v>
      </c>
      <c r="X12" s="3">
        <v>100</v>
      </c>
      <c r="Y12" s="3">
        <v>0</v>
      </c>
      <c r="Z12" s="3">
        <v>0</v>
      </c>
      <c r="AA12" s="3">
        <f t="shared" si="2"/>
        <v>10</v>
      </c>
      <c r="AB12" s="3">
        <v>0</v>
      </c>
      <c r="AC12" s="3">
        <f t="shared" si="3"/>
        <v>2</v>
      </c>
      <c r="AD12" s="3">
        <f t="shared" si="4"/>
        <v>5</v>
      </c>
      <c r="AE12" s="3">
        <f t="shared" si="5"/>
        <v>5</v>
      </c>
      <c r="AF12" s="3">
        <f t="shared" si="6"/>
        <v>5.2</v>
      </c>
      <c r="AG12" s="3">
        <f t="shared" si="7"/>
        <v>5.2</v>
      </c>
      <c r="AH12" s="3">
        <f t="shared" si="8"/>
        <v>5.4</v>
      </c>
      <c r="AI12" s="3">
        <f t="shared" si="9"/>
        <v>5.4</v>
      </c>
    </row>
    <row r="13" spans="1:35" x14ac:dyDescent="0.2">
      <c r="A13" s="1">
        <v>11</v>
      </c>
      <c r="B13" s="1" t="s">
        <v>125</v>
      </c>
      <c r="C13" s="1"/>
      <c r="D13" s="22">
        <v>10.7951</v>
      </c>
      <c r="E13" s="22">
        <v>55.286999999999999</v>
      </c>
      <c r="F13" s="1"/>
      <c r="G13" s="2">
        <v>5</v>
      </c>
      <c r="H13" s="2">
        <v>5</v>
      </c>
      <c r="I13" s="2">
        <f>SUMIFS(ProductionCapacities!$F$2:$F$51,ProductionCapacities!$E$2:$E$51,Nodes!B13)</f>
        <v>0</v>
      </c>
      <c r="J13" s="2">
        <v>0</v>
      </c>
      <c r="K13" s="11">
        <v>500</v>
      </c>
      <c r="L13" s="11">
        <v>500</v>
      </c>
      <c r="M13" s="2">
        <v>10</v>
      </c>
      <c r="N13" s="2">
        <v>100</v>
      </c>
      <c r="O13" s="2">
        <f t="shared" si="1"/>
        <v>2</v>
      </c>
      <c r="P13" s="2">
        <v>5</v>
      </c>
      <c r="Q13" s="2">
        <v>5</v>
      </c>
      <c r="R13" s="2">
        <v>5.2</v>
      </c>
      <c r="S13" s="2">
        <v>5.2</v>
      </c>
      <c r="T13" s="2">
        <v>5.4</v>
      </c>
      <c r="U13" s="2">
        <v>5.4</v>
      </c>
      <c r="V13" s="3">
        <v>5</v>
      </c>
      <c r="W13" s="3">
        <v>5</v>
      </c>
      <c r="X13" s="3">
        <v>100</v>
      </c>
      <c r="Y13" s="3">
        <v>0</v>
      </c>
      <c r="Z13" s="3">
        <v>0</v>
      </c>
      <c r="AA13" s="3">
        <f t="shared" si="2"/>
        <v>10</v>
      </c>
      <c r="AB13" s="3">
        <v>0</v>
      </c>
      <c r="AC13" s="3">
        <f t="shared" si="3"/>
        <v>2</v>
      </c>
      <c r="AD13" s="3">
        <f t="shared" si="4"/>
        <v>5</v>
      </c>
      <c r="AE13" s="3">
        <f t="shared" si="5"/>
        <v>5</v>
      </c>
      <c r="AF13" s="3">
        <f t="shared" si="6"/>
        <v>5.2</v>
      </c>
      <c r="AG13" s="3">
        <f t="shared" si="7"/>
        <v>5.2</v>
      </c>
      <c r="AH13" s="3">
        <f t="shared" si="8"/>
        <v>5.4</v>
      </c>
      <c r="AI13" s="3">
        <f t="shared" si="9"/>
        <v>5.4</v>
      </c>
    </row>
    <row r="14" spans="1:35" x14ac:dyDescent="0.2">
      <c r="A14" s="1">
        <v>12</v>
      </c>
      <c r="B14" s="1" t="s">
        <v>126</v>
      </c>
      <c r="C14" s="1"/>
      <c r="D14" s="22">
        <v>11.2102</v>
      </c>
      <c r="E14" s="22">
        <v>55.389000000000003</v>
      </c>
      <c r="F14" s="1"/>
      <c r="G14" s="2">
        <v>5</v>
      </c>
      <c r="H14" s="2">
        <v>5</v>
      </c>
      <c r="I14" s="2">
        <f>SUMIFS(ProductionCapacities!$F$2:$F$51,ProductionCapacities!$E$2:$E$51,Nodes!B14)</f>
        <v>0</v>
      </c>
      <c r="J14" s="2">
        <v>0</v>
      </c>
      <c r="K14" s="11">
        <v>500</v>
      </c>
      <c r="L14" s="11">
        <v>500</v>
      </c>
      <c r="M14" s="2">
        <v>10</v>
      </c>
      <c r="N14" s="2">
        <v>100</v>
      </c>
      <c r="O14" s="2">
        <f t="shared" si="1"/>
        <v>2</v>
      </c>
      <c r="P14" s="2">
        <v>5</v>
      </c>
      <c r="Q14" s="2">
        <v>5</v>
      </c>
      <c r="R14" s="2">
        <v>5.2</v>
      </c>
      <c r="S14" s="2">
        <v>5.2</v>
      </c>
      <c r="T14" s="2">
        <v>5.4</v>
      </c>
      <c r="U14" s="2">
        <v>5.4</v>
      </c>
      <c r="V14" s="3">
        <v>5</v>
      </c>
      <c r="W14" s="3">
        <v>5</v>
      </c>
      <c r="X14" s="3">
        <v>100</v>
      </c>
      <c r="Y14" s="3">
        <v>0</v>
      </c>
      <c r="Z14" s="3">
        <v>0</v>
      </c>
      <c r="AA14" s="3">
        <f t="shared" si="2"/>
        <v>10</v>
      </c>
      <c r="AB14" s="3">
        <v>0</v>
      </c>
      <c r="AC14" s="3">
        <f t="shared" si="3"/>
        <v>2</v>
      </c>
      <c r="AD14" s="3">
        <f t="shared" si="4"/>
        <v>5</v>
      </c>
      <c r="AE14" s="3">
        <f t="shared" si="5"/>
        <v>5</v>
      </c>
      <c r="AF14" s="3">
        <f t="shared" si="6"/>
        <v>5.2</v>
      </c>
      <c r="AG14" s="3">
        <f t="shared" si="7"/>
        <v>5.2</v>
      </c>
      <c r="AH14" s="3">
        <f t="shared" si="8"/>
        <v>5.4</v>
      </c>
      <c r="AI14" s="3">
        <f t="shared" si="9"/>
        <v>5.4</v>
      </c>
    </row>
    <row r="15" spans="1:35" x14ac:dyDescent="0.2">
      <c r="A15" s="1">
        <v>13</v>
      </c>
      <c r="B15" s="1" t="s">
        <v>80</v>
      </c>
      <c r="C15" s="1"/>
      <c r="D15" s="16">
        <v>6.4412580000000617</v>
      </c>
      <c r="E15" s="16">
        <v>64.233255000000042</v>
      </c>
      <c r="F15" s="1" t="s">
        <v>322</v>
      </c>
      <c r="G15" s="2">
        <v>5</v>
      </c>
      <c r="H15" s="2">
        <v>5</v>
      </c>
      <c r="I15" s="2">
        <f>SUMIFS(ProductionCapacities!$F$2:$F$51,ProductionCapacities!$E$2:$E$51,Nodes!B15)</f>
        <v>1.0191780821917809E-2</v>
      </c>
      <c r="J15" s="2">
        <v>48.064999999999998</v>
      </c>
      <c r="K15" s="11">
        <v>500</v>
      </c>
      <c r="L15" s="11">
        <v>500</v>
      </c>
      <c r="M15" s="2">
        <v>10</v>
      </c>
      <c r="N15" s="2">
        <v>100</v>
      </c>
      <c r="O15" s="2">
        <f t="shared" si="1"/>
        <v>2</v>
      </c>
      <c r="P15" s="2">
        <v>5</v>
      </c>
      <c r="Q15" s="2">
        <v>5</v>
      </c>
      <c r="R15" s="2">
        <v>5.2</v>
      </c>
      <c r="S15" s="2">
        <v>5.2</v>
      </c>
      <c r="T15" s="2">
        <v>5.4</v>
      </c>
      <c r="U15" s="2">
        <v>5.4</v>
      </c>
      <c r="V15" s="3">
        <v>5</v>
      </c>
      <c r="W15" s="3">
        <v>5</v>
      </c>
      <c r="X15" s="3">
        <v>100</v>
      </c>
      <c r="Y15" s="3">
        <v>0</v>
      </c>
      <c r="Z15" s="3">
        <v>0</v>
      </c>
      <c r="AA15" s="3">
        <f t="shared" si="2"/>
        <v>10</v>
      </c>
      <c r="AB15" s="3">
        <v>0</v>
      </c>
      <c r="AC15" s="3">
        <f t="shared" si="3"/>
        <v>2</v>
      </c>
      <c r="AD15" s="3">
        <f t="shared" si="4"/>
        <v>5</v>
      </c>
      <c r="AE15" s="3">
        <f t="shared" si="5"/>
        <v>5</v>
      </c>
      <c r="AF15" s="3">
        <f t="shared" si="6"/>
        <v>5.2</v>
      </c>
      <c r="AG15" s="3">
        <f t="shared" si="7"/>
        <v>5.2</v>
      </c>
      <c r="AH15" s="3">
        <f t="shared" si="8"/>
        <v>5.4</v>
      </c>
      <c r="AI15" s="3">
        <f t="shared" si="9"/>
        <v>5.4</v>
      </c>
    </row>
    <row r="16" spans="1:35" x14ac:dyDescent="0.2">
      <c r="A16" s="1">
        <v>14</v>
      </c>
      <c r="B16" s="1" t="s">
        <v>79</v>
      </c>
      <c r="C16" s="1"/>
      <c r="D16" s="16">
        <v>7.7910261052919596</v>
      </c>
      <c r="E16" s="16">
        <v>64.350567591210293</v>
      </c>
      <c r="F16" s="1"/>
      <c r="G16" s="2">
        <v>5</v>
      </c>
      <c r="H16" s="2">
        <v>5</v>
      </c>
      <c r="I16" s="2">
        <f>SUMIFS(ProductionCapacities!$F$2:$F$51,ProductionCapacities!$E$2:$E$51,Nodes!B16)</f>
        <v>0</v>
      </c>
      <c r="J16" s="2">
        <v>48.064999999999998</v>
      </c>
      <c r="K16" s="11">
        <v>500</v>
      </c>
      <c r="L16" s="11">
        <v>500</v>
      </c>
      <c r="M16" s="2">
        <v>10</v>
      </c>
      <c r="N16" s="2">
        <v>100</v>
      </c>
      <c r="O16" s="2">
        <f t="shared" si="1"/>
        <v>2</v>
      </c>
      <c r="P16" s="2">
        <v>5</v>
      </c>
      <c r="Q16" s="2">
        <v>5</v>
      </c>
      <c r="R16" s="2">
        <v>5.2</v>
      </c>
      <c r="S16" s="2">
        <v>5.2</v>
      </c>
      <c r="T16" s="2">
        <v>5.4</v>
      </c>
      <c r="U16" s="2">
        <v>5.4</v>
      </c>
      <c r="V16" s="3">
        <v>5</v>
      </c>
      <c r="W16" s="3">
        <v>5</v>
      </c>
      <c r="X16" s="3">
        <v>100</v>
      </c>
      <c r="Y16" s="3">
        <v>0</v>
      </c>
      <c r="Z16" s="3">
        <v>0</v>
      </c>
      <c r="AA16" s="3">
        <f t="shared" si="2"/>
        <v>10</v>
      </c>
      <c r="AB16" s="3">
        <v>0</v>
      </c>
      <c r="AC16" s="3">
        <f t="shared" si="3"/>
        <v>2</v>
      </c>
      <c r="AD16" s="3">
        <f t="shared" si="4"/>
        <v>5</v>
      </c>
      <c r="AE16" s="3">
        <f t="shared" si="5"/>
        <v>5</v>
      </c>
      <c r="AF16" s="3">
        <f t="shared" si="6"/>
        <v>5.2</v>
      </c>
      <c r="AG16" s="3">
        <f t="shared" si="7"/>
        <v>5.2</v>
      </c>
      <c r="AH16" s="3">
        <f t="shared" si="8"/>
        <v>5.4</v>
      </c>
      <c r="AI16" s="3">
        <f t="shared" si="9"/>
        <v>5.4</v>
      </c>
    </row>
    <row r="17" spans="1:35" x14ac:dyDescent="0.2">
      <c r="A17" s="1">
        <v>15</v>
      </c>
      <c r="B17" s="1" t="s">
        <v>106</v>
      </c>
      <c r="C17" s="1"/>
      <c r="D17" s="22">
        <v>2.4644041660536331</v>
      </c>
      <c r="E17" s="22">
        <v>58.188149017412513</v>
      </c>
      <c r="F17" s="1"/>
      <c r="G17" s="2">
        <v>5</v>
      </c>
      <c r="H17" s="2">
        <v>5</v>
      </c>
      <c r="I17" s="2">
        <f>SUMIFS(ProductionCapacities!$F$2:$F$51,ProductionCapacities!$E$2:$E$51,Nodes!B17)</f>
        <v>0</v>
      </c>
      <c r="J17" s="2">
        <v>0</v>
      </c>
      <c r="K17" s="11">
        <v>500</v>
      </c>
      <c r="L17" s="11">
        <v>500</v>
      </c>
      <c r="M17" s="2">
        <v>10</v>
      </c>
      <c r="N17" s="2">
        <v>100</v>
      </c>
      <c r="O17" s="2">
        <f t="shared" si="1"/>
        <v>2</v>
      </c>
      <c r="P17" s="2">
        <v>5</v>
      </c>
      <c r="Q17" s="2">
        <v>5</v>
      </c>
      <c r="R17" s="2">
        <v>5.2</v>
      </c>
      <c r="S17" s="2">
        <v>5.2</v>
      </c>
      <c r="T17" s="2">
        <v>5.4</v>
      </c>
      <c r="U17" s="2">
        <v>5.4</v>
      </c>
      <c r="V17" s="3">
        <v>5</v>
      </c>
      <c r="W17" s="3">
        <v>5</v>
      </c>
      <c r="X17" s="3">
        <v>100</v>
      </c>
      <c r="Y17" s="3">
        <v>0</v>
      </c>
      <c r="Z17" s="3">
        <v>0</v>
      </c>
      <c r="AA17" s="3">
        <f t="shared" si="2"/>
        <v>10</v>
      </c>
      <c r="AB17" s="3">
        <v>0</v>
      </c>
      <c r="AC17" s="3">
        <f t="shared" si="3"/>
        <v>2</v>
      </c>
      <c r="AD17" s="3">
        <f t="shared" si="4"/>
        <v>5</v>
      </c>
      <c r="AE17" s="3">
        <f t="shared" si="5"/>
        <v>5</v>
      </c>
      <c r="AF17" s="3">
        <f t="shared" si="6"/>
        <v>5.2</v>
      </c>
      <c r="AG17" s="3">
        <f t="shared" si="7"/>
        <v>5.2</v>
      </c>
      <c r="AH17" s="3">
        <f t="shared" si="8"/>
        <v>5.4</v>
      </c>
      <c r="AI17" s="3">
        <f t="shared" si="9"/>
        <v>5.4</v>
      </c>
    </row>
    <row r="18" spans="1:35" x14ac:dyDescent="0.2">
      <c r="A18" s="1">
        <v>16</v>
      </c>
      <c r="B18" s="1" t="s">
        <v>107</v>
      </c>
      <c r="C18" s="1"/>
      <c r="D18" s="22">
        <v>2.4737329746028802</v>
      </c>
      <c r="E18" s="22">
        <v>58.184409229014761</v>
      </c>
      <c r="F18" s="1"/>
      <c r="G18" s="2">
        <v>5</v>
      </c>
      <c r="H18" s="2">
        <v>5</v>
      </c>
      <c r="I18" s="2">
        <f>SUMIFS(ProductionCapacities!$F$2:$F$51,ProductionCapacities!$E$2:$E$51,Nodes!B18)</f>
        <v>0</v>
      </c>
      <c r="J18" s="2">
        <v>0</v>
      </c>
      <c r="K18" s="11">
        <v>500</v>
      </c>
      <c r="L18" s="11">
        <v>500</v>
      </c>
      <c r="M18" s="2">
        <v>10</v>
      </c>
      <c r="N18" s="2">
        <v>100</v>
      </c>
      <c r="O18" s="2">
        <f t="shared" si="1"/>
        <v>2</v>
      </c>
      <c r="P18" s="2">
        <v>5</v>
      </c>
      <c r="Q18" s="2">
        <v>5</v>
      </c>
      <c r="R18" s="2">
        <v>5.2</v>
      </c>
      <c r="S18" s="2">
        <v>5.2</v>
      </c>
      <c r="T18" s="2">
        <v>5.4</v>
      </c>
      <c r="U18" s="2">
        <v>5.4</v>
      </c>
      <c r="V18" s="3">
        <v>5</v>
      </c>
      <c r="W18" s="3">
        <v>5</v>
      </c>
      <c r="X18" s="3">
        <v>100</v>
      </c>
      <c r="Y18" s="3">
        <v>0</v>
      </c>
      <c r="Z18" s="3">
        <v>0</v>
      </c>
      <c r="AA18" s="3">
        <f t="shared" si="2"/>
        <v>10</v>
      </c>
      <c r="AB18" s="3">
        <v>0</v>
      </c>
      <c r="AC18" s="3">
        <f t="shared" si="3"/>
        <v>2</v>
      </c>
      <c r="AD18" s="3">
        <f t="shared" si="4"/>
        <v>5</v>
      </c>
      <c r="AE18" s="3">
        <f t="shared" si="5"/>
        <v>5</v>
      </c>
      <c r="AF18" s="3">
        <f t="shared" si="6"/>
        <v>5.2</v>
      </c>
      <c r="AG18" s="3">
        <f t="shared" si="7"/>
        <v>5.2</v>
      </c>
      <c r="AH18" s="3">
        <f t="shared" si="8"/>
        <v>5.4</v>
      </c>
      <c r="AI18" s="3">
        <f t="shared" si="9"/>
        <v>5.4</v>
      </c>
    </row>
    <row r="19" spans="1:35" x14ac:dyDescent="0.2">
      <c r="A19" s="1">
        <v>17</v>
      </c>
      <c r="B19" s="1" t="s">
        <v>122</v>
      </c>
      <c r="C19" s="1" t="s">
        <v>335</v>
      </c>
      <c r="D19" s="22">
        <v>2.252709000000038</v>
      </c>
      <c r="E19" s="22">
        <v>51.046406000000047</v>
      </c>
      <c r="F19" s="1"/>
      <c r="G19" s="2">
        <v>5</v>
      </c>
      <c r="H19" s="2">
        <v>5</v>
      </c>
      <c r="I19" s="2">
        <f>SUMIFS(ProductionCapacities!$F$2:$F$51,ProductionCapacities!$E$2:$E$51,Nodes!B19)</f>
        <v>0</v>
      </c>
      <c r="J19" s="29">
        <v>1214.5999999999999</v>
      </c>
      <c r="K19" s="11">
        <v>500</v>
      </c>
      <c r="L19" s="11">
        <v>500</v>
      </c>
      <c r="M19" s="2">
        <v>10</v>
      </c>
      <c r="N19" s="2">
        <v>100</v>
      </c>
      <c r="O19" s="2">
        <f t="shared" si="1"/>
        <v>1.9990000000000001</v>
      </c>
      <c r="P19" s="2">
        <v>5</v>
      </c>
      <c r="Q19" s="2">
        <v>5</v>
      </c>
      <c r="R19" s="2">
        <v>5.2</v>
      </c>
      <c r="S19" s="2">
        <v>5.2</v>
      </c>
      <c r="T19" s="2">
        <v>5.4</v>
      </c>
      <c r="U19" s="2">
        <v>5.4</v>
      </c>
      <c r="V19" s="3">
        <v>5</v>
      </c>
      <c r="W19" s="3">
        <v>5</v>
      </c>
      <c r="X19" s="3">
        <v>100</v>
      </c>
      <c r="Y19" s="3">
        <v>0</v>
      </c>
      <c r="Z19" s="3">
        <v>0</v>
      </c>
      <c r="AA19" s="3">
        <f t="shared" si="2"/>
        <v>10</v>
      </c>
      <c r="AB19" s="3">
        <v>0</v>
      </c>
      <c r="AC19" s="3">
        <f t="shared" si="3"/>
        <v>1.9990000000000001</v>
      </c>
      <c r="AD19" s="3">
        <f t="shared" si="4"/>
        <v>5</v>
      </c>
      <c r="AE19" s="3">
        <f t="shared" si="5"/>
        <v>5</v>
      </c>
      <c r="AF19" s="3">
        <f t="shared" si="6"/>
        <v>5.2</v>
      </c>
      <c r="AG19" s="3">
        <f t="shared" si="7"/>
        <v>5.2</v>
      </c>
      <c r="AH19" s="3">
        <f t="shared" si="8"/>
        <v>5.4</v>
      </c>
      <c r="AI19" s="3">
        <f t="shared" si="9"/>
        <v>5.4</v>
      </c>
    </row>
    <row r="20" spans="1:35" x14ac:dyDescent="0.2">
      <c r="A20" s="1">
        <v>18</v>
      </c>
      <c r="B20" s="1" t="s">
        <v>119</v>
      </c>
      <c r="C20" s="1" t="s">
        <v>335</v>
      </c>
      <c r="D20" s="22">
        <v>0.1160310000000209</v>
      </c>
      <c r="E20" s="22">
        <v>53.659231000000027</v>
      </c>
      <c r="F20" s="1"/>
      <c r="G20" s="2">
        <v>5</v>
      </c>
      <c r="H20" s="2">
        <v>5</v>
      </c>
      <c r="I20" s="2">
        <f>SUMIFS(ProductionCapacities!$F$2:$F$51,ProductionCapacities!$E$2:$E$51,Nodes!B20)</f>
        <v>0</v>
      </c>
      <c r="J20" s="2">
        <v>0</v>
      </c>
      <c r="K20" s="11">
        <v>500</v>
      </c>
      <c r="L20" s="11">
        <v>500</v>
      </c>
      <c r="M20" s="2">
        <v>10</v>
      </c>
      <c r="N20" s="2">
        <v>100</v>
      </c>
      <c r="O20" s="2">
        <f t="shared" si="1"/>
        <v>1.9990000000000001</v>
      </c>
      <c r="P20" s="2">
        <v>5</v>
      </c>
      <c r="Q20" s="2">
        <v>5</v>
      </c>
      <c r="R20" s="2">
        <v>5.2</v>
      </c>
      <c r="S20" s="2">
        <v>5.2</v>
      </c>
      <c r="T20" s="2">
        <v>5.4</v>
      </c>
      <c r="U20" s="2">
        <v>5.4</v>
      </c>
      <c r="V20" s="3">
        <v>5</v>
      </c>
      <c r="W20" s="3">
        <v>5</v>
      </c>
      <c r="X20" s="3">
        <v>100</v>
      </c>
      <c r="Y20" s="3">
        <v>0</v>
      </c>
      <c r="Z20" s="3">
        <v>0</v>
      </c>
      <c r="AA20" s="3">
        <f t="shared" si="2"/>
        <v>10</v>
      </c>
      <c r="AB20" s="3">
        <v>0</v>
      </c>
      <c r="AC20" s="3">
        <f t="shared" si="3"/>
        <v>1.9990000000000001</v>
      </c>
      <c r="AD20" s="3">
        <f t="shared" si="4"/>
        <v>5</v>
      </c>
      <c r="AE20" s="3">
        <f t="shared" si="5"/>
        <v>5</v>
      </c>
      <c r="AF20" s="3">
        <f t="shared" si="6"/>
        <v>5.2</v>
      </c>
      <c r="AG20" s="3">
        <f t="shared" si="7"/>
        <v>5.2</v>
      </c>
      <c r="AH20" s="3">
        <f t="shared" si="8"/>
        <v>5.4</v>
      </c>
      <c r="AI20" s="3">
        <f t="shared" si="9"/>
        <v>5.4</v>
      </c>
    </row>
    <row r="21" spans="1:35" x14ac:dyDescent="0.2">
      <c r="A21" s="1">
        <v>19</v>
      </c>
      <c r="B21" s="1" t="s">
        <v>98</v>
      </c>
      <c r="C21" s="1"/>
      <c r="D21" s="16">
        <v>1.3911370790000319</v>
      </c>
      <c r="E21" s="16">
        <v>59.47797846900005</v>
      </c>
      <c r="F21" s="1" t="s">
        <v>322</v>
      </c>
      <c r="G21" s="2">
        <v>5</v>
      </c>
      <c r="H21" s="2">
        <v>5</v>
      </c>
      <c r="I21" s="2">
        <f>SUMIFS(ProductionCapacities!$F$2:$F$51,ProductionCapacities!$E$2:$E$51,Nodes!B21)</f>
        <v>4.0645178082191773</v>
      </c>
      <c r="J21" s="2">
        <v>48.064999999999998</v>
      </c>
      <c r="K21" s="11">
        <v>500</v>
      </c>
      <c r="L21" s="11">
        <v>500</v>
      </c>
      <c r="M21" s="2">
        <v>10</v>
      </c>
      <c r="N21" s="2">
        <v>100</v>
      </c>
      <c r="O21" s="2">
        <f t="shared" si="1"/>
        <v>2</v>
      </c>
      <c r="P21" s="2">
        <v>5</v>
      </c>
      <c r="Q21" s="2">
        <v>5</v>
      </c>
      <c r="R21" s="2">
        <v>5.2</v>
      </c>
      <c r="S21" s="2">
        <v>5.2</v>
      </c>
      <c r="T21" s="2">
        <v>5.4</v>
      </c>
      <c r="U21" s="2">
        <v>5.4</v>
      </c>
      <c r="V21" s="3">
        <v>5</v>
      </c>
      <c r="W21" s="3">
        <v>5</v>
      </c>
      <c r="X21" s="3">
        <v>100</v>
      </c>
      <c r="Y21" s="3">
        <v>0</v>
      </c>
      <c r="Z21" s="3">
        <v>0</v>
      </c>
      <c r="AA21" s="3">
        <f t="shared" si="2"/>
        <v>10</v>
      </c>
      <c r="AB21" s="3">
        <v>0</v>
      </c>
      <c r="AC21" s="3">
        <f t="shared" si="3"/>
        <v>2</v>
      </c>
      <c r="AD21" s="3">
        <f t="shared" si="4"/>
        <v>5</v>
      </c>
      <c r="AE21" s="3">
        <f t="shared" si="5"/>
        <v>5</v>
      </c>
      <c r="AF21" s="3">
        <f t="shared" si="6"/>
        <v>5.2</v>
      </c>
      <c r="AG21" s="3">
        <f t="shared" si="7"/>
        <v>5.2</v>
      </c>
      <c r="AH21" s="3">
        <f t="shared" si="8"/>
        <v>5.4</v>
      </c>
      <c r="AI21" s="3">
        <f t="shared" si="9"/>
        <v>5.4</v>
      </c>
    </row>
    <row r="22" spans="1:35" x14ac:dyDescent="0.2">
      <c r="A22" s="1">
        <v>20</v>
      </c>
      <c r="B22" s="1" t="s">
        <v>110</v>
      </c>
      <c r="C22" s="1"/>
      <c r="D22" s="39">
        <v>3.23</v>
      </c>
      <c r="E22" s="39">
        <v>56.55</v>
      </c>
      <c r="F22" s="1"/>
      <c r="G22" s="2">
        <v>5</v>
      </c>
      <c r="H22" s="2">
        <v>5</v>
      </c>
      <c r="I22" s="2">
        <f>SUMIFS(ProductionCapacities!$F$2:$F$51,ProductionCapacities!$E$2:$E$51,Nodes!B22)</f>
        <v>3.8482712328767121</v>
      </c>
      <c r="J22" s="2">
        <v>578.78499999999997</v>
      </c>
      <c r="K22" s="11">
        <v>500</v>
      </c>
      <c r="L22" s="11">
        <v>500</v>
      </c>
      <c r="M22" s="2">
        <v>10</v>
      </c>
      <c r="N22" s="2">
        <v>100</v>
      </c>
      <c r="O22" s="2">
        <f t="shared" si="1"/>
        <v>2</v>
      </c>
      <c r="P22" s="2">
        <v>5</v>
      </c>
      <c r="Q22" s="2">
        <v>5</v>
      </c>
      <c r="R22" s="2">
        <v>5.2</v>
      </c>
      <c r="S22" s="2">
        <v>5.2</v>
      </c>
      <c r="T22" s="2">
        <v>5.4</v>
      </c>
      <c r="U22" s="2">
        <v>5.4</v>
      </c>
      <c r="V22" s="3">
        <v>5</v>
      </c>
      <c r="W22" s="3">
        <v>5</v>
      </c>
      <c r="X22" s="3">
        <v>100</v>
      </c>
      <c r="Y22" s="3">
        <v>0</v>
      </c>
      <c r="Z22" s="3">
        <v>0</v>
      </c>
      <c r="AA22" s="3">
        <f t="shared" si="2"/>
        <v>10</v>
      </c>
      <c r="AB22" s="3">
        <v>0</v>
      </c>
      <c r="AC22" s="3">
        <f t="shared" si="3"/>
        <v>2</v>
      </c>
      <c r="AD22" s="3">
        <f t="shared" si="4"/>
        <v>5</v>
      </c>
      <c r="AE22" s="3">
        <f t="shared" si="5"/>
        <v>5</v>
      </c>
      <c r="AF22" s="3">
        <f t="shared" si="6"/>
        <v>5.2</v>
      </c>
      <c r="AG22" s="3">
        <f t="shared" si="7"/>
        <v>5.2</v>
      </c>
      <c r="AH22" s="3">
        <f t="shared" si="8"/>
        <v>5.4</v>
      </c>
      <c r="AI22" s="3">
        <f t="shared" si="9"/>
        <v>5.4</v>
      </c>
    </row>
    <row r="23" spans="1:35" x14ac:dyDescent="0.2">
      <c r="A23" s="1">
        <v>21</v>
      </c>
      <c r="B23" s="1" t="s">
        <v>334</v>
      </c>
      <c r="C23" s="1" t="s">
        <v>335</v>
      </c>
      <c r="D23" s="22">
        <v>7.3264200000000406</v>
      </c>
      <c r="E23" s="22">
        <v>53.679700000000082</v>
      </c>
      <c r="F23" s="1"/>
      <c r="G23" s="2">
        <v>5</v>
      </c>
      <c r="H23" s="2">
        <v>5</v>
      </c>
      <c r="I23" s="2">
        <f>SUMIFS(ProductionCapacities!$F$2:$F$51,ProductionCapacities!$E$2:$E$51,Nodes!B23)</f>
        <v>0</v>
      </c>
      <c r="J23" s="2">
        <v>0</v>
      </c>
      <c r="K23" s="11">
        <v>500</v>
      </c>
      <c r="L23" s="11">
        <v>500</v>
      </c>
      <c r="M23" s="2">
        <v>10</v>
      </c>
      <c r="N23" s="2">
        <v>100</v>
      </c>
      <c r="O23" s="2">
        <f t="shared" si="1"/>
        <v>1.9990000000000001</v>
      </c>
      <c r="P23" s="2">
        <v>5</v>
      </c>
      <c r="Q23" s="2">
        <v>5</v>
      </c>
      <c r="R23" s="2">
        <v>5.2</v>
      </c>
      <c r="S23" s="2">
        <v>5.2</v>
      </c>
      <c r="T23" s="2">
        <v>5.4</v>
      </c>
      <c r="U23" s="2">
        <v>5.4</v>
      </c>
      <c r="V23" s="3">
        <v>5</v>
      </c>
      <c r="W23" s="3">
        <v>5</v>
      </c>
      <c r="X23" s="3">
        <v>100</v>
      </c>
      <c r="Y23" s="3">
        <v>0</v>
      </c>
      <c r="Z23" s="3">
        <v>0</v>
      </c>
      <c r="AA23" s="3">
        <f t="shared" si="2"/>
        <v>10</v>
      </c>
      <c r="AB23" s="3">
        <v>0</v>
      </c>
      <c r="AC23" s="3">
        <f t="shared" si="3"/>
        <v>1.9990000000000001</v>
      </c>
      <c r="AD23" s="3">
        <f t="shared" si="4"/>
        <v>5</v>
      </c>
      <c r="AE23" s="3">
        <f t="shared" si="5"/>
        <v>5</v>
      </c>
      <c r="AF23" s="3">
        <f t="shared" si="6"/>
        <v>5.2</v>
      </c>
      <c r="AG23" s="3">
        <f t="shared" si="7"/>
        <v>5.2</v>
      </c>
      <c r="AH23" s="3">
        <f t="shared" si="8"/>
        <v>5.4</v>
      </c>
      <c r="AI23" s="3">
        <f t="shared" si="9"/>
        <v>5.4</v>
      </c>
    </row>
    <row r="24" spans="1:35" x14ac:dyDescent="0.2">
      <c r="A24" s="1">
        <v>22</v>
      </c>
      <c r="B24" s="1" t="s">
        <v>120</v>
      </c>
      <c r="C24" s="1" t="s">
        <v>335</v>
      </c>
      <c r="D24" s="16">
        <v>7.1892900000000282</v>
      </c>
      <c r="E24" s="16">
        <v>53.346200000000067</v>
      </c>
      <c r="F24" s="1"/>
      <c r="G24" s="2">
        <v>5</v>
      </c>
      <c r="H24" s="2">
        <v>5</v>
      </c>
      <c r="I24" s="2">
        <f>SUMIFS(ProductionCapacities!$F$2:$F$51,ProductionCapacities!$E$2:$E$51,Nodes!B24)</f>
        <v>0</v>
      </c>
      <c r="J24" s="2">
        <v>0</v>
      </c>
      <c r="K24" s="11">
        <v>500</v>
      </c>
      <c r="L24" s="11">
        <v>500</v>
      </c>
      <c r="M24" s="2">
        <v>10</v>
      </c>
      <c r="N24" s="2">
        <v>100</v>
      </c>
      <c r="O24" s="2">
        <f t="shared" si="1"/>
        <v>1.9990000000000001</v>
      </c>
      <c r="P24" s="2">
        <v>5</v>
      </c>
      <c r="Q24" s="2">
        <v>5</v>
      </c>
      <c r="R24" s="2">
        <v>5.2</v>
      </c>
      <c r="S24" s="2">
        <v>5.2</v>
      </c>
      <c r="T24" s="2">
        <v>5.4</v>
      </c>
      <c r="U24" s="2">
        <v>5.4</v>
      </c>
      <c r="V24" s="3">
        <v>5</v>
      </c>
      <c r="W24" s="3">
        <v>5</v>
      </c>
      <c r="X24" s="3">
        <v>100</v>
      </c>
      <c r="Y24" s="3">
        <v>0</v>
      </c>
      <c r="Z24" s="3">
        <v>0</v>
      </c>
      <c r="AA24" s="3">
        <f t="shared" si="2"/>
        <v>10</v>
      </c>
      <c r="AB24" s="3">
        <v>0</v>
      </c>
      <c r="AC24" s="3">
        <f t="shared" si="3"/>
        <v>1.9990000000000001</v>
      </c>
      <c r="AD24" s="3">
        <f t="shared" si="4"/>
        <v>5</v>
      </c>
      <c r="AE24" s="3">
        <f t="shared" si="5"/>
        <v>5</v>
      </c>
      <c r="AF24" s="3">
        <f t="shared" si="6"/>
        <v>5.2</v>
      </c>
      <c r="AG24" s="3">
        <f t="shared" si="7"/>
        <v>5.2</v>
      </c>
      <c r="AH24" s="3">
        <f t="shared" si="8"/>
        <v>5.4</v>
      </c>
      <c r="AI24" s="3">
        <f t="shared" si="9"/>
        <v>5.4</v>
      </c>
    </row>
    <row r="25" spans="1:35" x14ac:dyDescent="0.2">
      <c r="A25" s="1">
        <v>23</v>
      </c>
      <c r="B25" s="1" t="s">
        <v>118</v>
      </c>
      <c r="C25" s="1"/>
      <c r="D25" s="23">
        <v>4.2226220000000581</v>
      </c>
      <c r="E25" s="23">
        <v>55.706969000000072</v>
      </c>
      <c r="F25" s="1"/>
      <c r="G25" s="2">
        <v>5</v>
      </c>
      <c r="H25" s="2">
        <v>5</v>
      </c>
      <c r="I25" s="2">
        <f>SUMIFS(ProductionCapacities!$F$2:$F$51,ProductionCapacities!$E$2:$E$51,Nodes!B25)</f>
        <v>0</v>
      </c>
      <c r="J25" s="2">
        <v>0</v>
      </c>
      <c r="K25" s="11">
        <v>500</v>
      </c>
      <c r="L25" s="11">
        <v>500</v>
      </c>
      <c r="M25" s="2">
        <v>10</v>
      </c>
      <c r="N25" s="2">
        <v>100</v>
      </c>
      <c r="O25" s="2">
        <f t="shared" si="1"/>
        <v>2</v>
      </c>
      <c r="P25" s="2">
        <v>5</v>
      </c>
      <c r="Q25" s="2">
        <v>5</v>
      </c>
      <c r="R25" s="2">
        <v>5.2</v>
      </c>
      <c r="S25" s="2">
        <v>5.2</v>
      </c>
      <c r="T25" s="2">
        <v>5.4</v>
      </c>
      <c r="U25" s="2">
        <v>5.4</v>
      </c>
      <c r="V25" s="3">
        <v>5</v>
      </c>
      <c r="W25" s="3">
        <v>5</v>
      </c>
      <c r="X25" s="3">
        <v>100</v>
      </c>
      <c r="Y25" s="3">
        <v>0</v>
      </c>
      <c r="Z25" s="3">
        <v>0</v>
      </c>
      <c r="AA25" s="3">
        <f t="shared" si="2"/>
        <v>10</v>
      </c>
      <c r="AB25" s="3">
        <v>0</v>
      </c>
      <c r="AC25" s="3">
        <f t="shared" si="3"/>
        <v>2</v>
      </c>
      <c r="AD25" s="3">
        <f t="shared" si="4"/>
        <v>5</v>
      </c>
      <c r="AE25" s="3">
        <f t="shared" si="5"/>
        <v>5</v>
      </c>
      <c r="AF25" s="3">
        <f t="shared" si="6"/>
        <v>5.2</v>
      </c>
      <c r="AG25" s="3">
        <f t="shared" si="7"/>
        <v>5.2</v>
      </c>
      <c r="AH25" s="3">
        <f t="shared" si="8"/>
        <v>5.4</v>
      </c>
      <c r="AI25" s="3">
        <f t="shared" si="9"/>
        <v>5.4</v>
      </c>
    </row>
    <row r="26" spans="1:35" x14ac:dyDescent="0.2">
      <c r="A26" s="1">
        <v>24</v>
      </c>
      <c r="B26" s="1" t="s">
        <v>88</v>
      </c>
      <c r="C26" s="1"/>
      <c r="D26" s="16">
        <v>1.700189114000068</v>
      </c>
      <c r="E26" s="16">
        <v>61.022018433000028</v>
      </c>
      <c r="F26" s="1"/>
      <c r="G26" s="2">
        <v>5</v>
      </c>
      <c r="H26" s="2">
        <v>5</v>
      </c>
      <c r="I26" s="2">
        <f>SUMIFS(ProductionCapacities!$F$2:$F$51,ProductionCapacities!$E$2:$E$51,Nodes!B26)</f>
        <v>0</v>
      </c>
      <c r="J26" s="2">
        <v>0</v>
      </c>
      <c r="K26" s="11">
        <v>500</v>
      </c>
      <c r="L26" s="11">
        <v>500</v>
      </c>
      <c r="M26" s="2">
        <v>10</v>
      </c>
      <c r="N26" s="2">
        <v>100</v>
      </c>
      <c r="O26" s="2">
        <f t="shared" si="1"/>
        <v>2</v>
      </c>
      <c r="P26" s="2">
        <v>5</v>
      </c>
      <c r="Q26" s="2">
        <v>5</v>
      </c>
      <c r="R26" s="2">
        <v>5.2</v>
      </c>
      <c r="S26" s="2">
        <v>5.2</v>
      </c>
      <c r="T26" s="2">
        <v>5.4</v>
      </c>
      <c r="U26" s="2">
        <v>5.4</v>
      </c>
      <c r="V26" s="3">
        <v>5</v>
      </c>
      <c r="W26" s="3">
        <v>5</v>
      </c>
      <c r="X26" s="3">
        <v>100</v>
      </c>
      <c r="Y26" s="3">
        <v>0</v>
      </c>
      <c r="Z26" s="3">
        <v>0</v>
      </c>
      <c r="AA26" s="3">
        <f t="shared" si="2"/>
        <v>10</v>
      </c>
      <c r="AB26" s="3">
        <v>0</v>
      </c>
      <c r="AC26" s="3">
        <f t="shared" si="3"/>
        <v>2</v>
      </c>
      <c r="AD26" s="3">
        <f t="shared" si="4"/>
        <v>5</v>
      </c>
      <c r="AE26" s="3">
        <f t="shared" si="5"/>
        <v>5</v>
      </c>
      <c r="AF26" s="3">
        <f t="shared" si="6"/>
        <v>5.2</v>
      </c>
      <c r="AG26" s="3">
        <f t="shared" si="7"/>
        <v>5.2</v>
      </c>
      <c r="AH26" s="3">
        <f t="shared" si="8"/>
        <v>5.4</v>
      </c>
      <c r="AI26" s="3">
        <f t="shared" si="9"/>
        <v>5.4</v>
      </c>
    </row>
    <row r="27" spans="1:35" x14ac:dyDescent="0.2">
      <c r="A27" s="1">
        <v>25</v>
      </c>
      <c r="B27" s="1" t="s">
        <v>93</v>
      </c>
      <c r="C27" s="1"/>
      <c r="D27" s="16">
        <v>2.011387666028313</v>
      </c>
      <c r="E27" s="16">
        <v>60.502035307044537</v>
      </c>
      <c r="F27" s="1" t="s">
        <v>322</v>
      </c>
      <c r="G27" s="2">
        <v>5</v>
      </c>
      <c r="H27" s="2">
        <v>5</v>
      </c>
      <c r="I27" s="2">
        <f>SUMIFS(ProductionCapacities!$F$2:$F$51,ProductionCapacities!$E$2:$E$51,Nodes!B27)</f>
        <v>0</v>
      </c>
      <c r="J27" s="2">
        <v>0</v>
      </c>
      <c r="K27" s="11">
        <v>500</v>
      </c>
      <c r="L27" s="11">
        <v>500</v>
      </c>
      <c r="M27" s="2">
        <v>10</v>
      </c>
      <c r="N27" s="2">
        <v>100</v>
      </c>
      <c r="O27" s="2">
        <f t="shared" si="1"/>
        <v>2</v>
      </c>
      <c r="P27" s="2">
        <v>5</v>
      </c>
      <c r="Q27" s="2">
        <v>5</v>
      </c>
      <c r="R27" s="2">
        <v>5.2</v>
      </c>
      <c r="S27" s="2">
        <v>5.2</v>
      </c>
      <c r="T27" s="2">
        <v>5.4</v>
      </c>
      <c r="U27" s="2">
        <v>5.4</v>
      </c>
      <c r="V27" s="3">
        <v>5</v>
      </c>
      <c r="W27" s="3">
        <v>5</v>
      </c>
      <c r="X27" s="3">
        <v>100</v>
      </c>
      <c r="Y27" s="3">
        <v>0</v>
      </c>
      <c r="Z27" s="3">
        <v>0</v>
      </c>
      <c r="AA27" s="3">
        <f t="shared" si="2"/>
        <v>10</v>
      </c>
      <c r="AB27" s="3">
        <v>0</v>
      </c>
      <c r="AC27" s="3">
        <f t="shared" si="3"/>
        <v>2</v>
      </c>
      <c r="AD27" s="3">
        <f t="shared" si="4"/>
        <v>5</v>
      </c>
      <c r="AE27" s="3">
        <f t="shared" si="5"/>
        <v>5</v>
      </c>
      <c r="AF27" s="3">
        <f t="shared" si="6"/>
        <v>5.2</v>
      </c>
      <c r="AG27" s="3">
        <f t="shared" si="7"/>
        <v>5.2</v>
      </c>
      <c r="AH27" s="3">
        <f t="shared" si="8"/>
        <v>5.4</v>
      </c>
      <c r="AI27" s="3">
        <f t="shared" si="9"/>
        <v>5.4</v>
      </c>
    </row>
    <row r="28" spans="1:35" x14ac:dyDescent="0.2">
      <c r="A28" s="1">
        <v>26</v>
      </c>
      <c r="B28" s="1" t="s">
        <v>188</v>
      </c>
      <c r="C28" s="1"/>
      <c r="D28" s="16">
        <v>1.6999852660000561</v>
      </c>
      <c r="E28" s="16">
        <v>61.020797730000027</v>
      </c>
      <c r="F28" s="1" t="s">
        <v>322</v>
      </c>
      <c r="G28" s="2">
        <v>5</v>
      </c>
      <c r="H28" s="2">
        <v>5</v>
      </c>
      <c r="I28" s="2">
        <f>SUMIFS(ProductionCapacities!$F$2:$F$51,ProductionCapacities!$E$2:$E$51,Nodes!B28)</f>
        <v>10.738131506849314</v>
      </c>
      <c r="J28" s="2">
        <v>2588.0810000000001</v>
      </c>
      <c r="K28" s="11">
        <v>500</v>
      </c>
      <c r="L28" s="11">
        <v>500</v>
      </c>
      <c r="M28" s="2">
        <v>10</v>
      </c>
      <c r="N28" s="2">
        <v>100</v>
      </c>
      <c r="O28" s="2">
        <f t="shared" si="1"/>
        <v>2</v>
      </c>
      <c r="P28" s="2">
        <v>5</v>
      </c>
      <c r="Q28" s="2">
        <v>5</v>
      </c>
      <c r="R28" s="2">
        <v>5.2</v>
      </c>
      <c r="S28" s="2">
        <v>5.2</v>
      </c>
      <c r="T28" s="2">
        <v>5.4</v>
      </c>
      <c r="U28" s="2">
        <v>5.4</v>
      </c>
      <c r="V28" s="3">
        <v>5</v>
      </c>
      <c r="W28" s="3">
        <v>5</v>
      </c>
      <c r="X28" s="3">
        <v>100</v>
      </c>
      <c r="Y28" s="3">
        <v>0</v>
      </c>
      <c r="Z28" s="3">
        <v>0</v>
      </c>
      <c r="AA28" s="3">
        <f t="shared" si="2"/>
        <v>10</v>
      </c>
      <c r="AB28" s="3">
        <v>0</v>
      </c>
      <c r="AC28" s="3">
        <f t="shared" si="3"/>
        <v>2</v>
      </c>
      <c r="AD28" s="3">
        <f t="shared" si="4"/>
        <v>5</v>
      </c>
      <c r="AE28" s="3">
        <f t="shared" si="5"/>
        <v>5</v>
      </c>
      <c r="AF28" s="3">
        <f t="shared" si="6"/>
        <v>5.2</v>
      </c>
      <c r="AG28" s="3">
        <f t="shared" si="7"/>
        <v>5.2</v>
      </c>
      <c r="AH28" s="3">
        <f t="shared" si="8"/>
        <v>5.4</v>
      </c>
      <c r="AI28" s="3">
        <f t="shared" si="9"/>
        <v>5.4</v>
      </c>
    </row>
    <row r="29" spans="1:35" x14ac:dyDescent="0.2">
      <c r="A29" s="1">
        <v>27</v>
      </c>
      <c r="B29" s="1" t="s">
        <v>189</v>
      </c>
      <c r="C29" s="1"/>
      <c r="D29" s="16">
        <v>3.9049897926673558</v>
      </c>
      <c r="E29" s="16">
        <v>61.330193776287437</v>
      </c>
      <c r="F29" s="1" t="s">
        <v>322</v>
      </c>
      <c r="G29" s="2">
        <v>5</v>
      </c>
      <c r="H29" s="2">
        <v>5</v>
      </c>
      <c r="I29" s="2">
        <f>SUMIFS(ProductionCapacities!$F$2:$F$51,ProductionCapacities!$E$2:$E$51,Nodes!B29)</f>
        <v>0</v>
      </c>
      <c r="J29" s="2">
        <v>2588.0810000000001</v>
      </c>
      <c r="K29" s="11">
        <v>500</v>
      </c>
      <c r="L29" s="11">
        <v>500</v>
      </c>
      <c r="M29" s="2">
        <v>10</v>
      </c>
      <c r="N29" s="2">
        <v>100</v>
      </c>
      <c r="O29" s="2">
        <f t="shared" si="1"/>
        <v>2</v>
      </c>
      <c r="P29" s="2">
        <v>5</v>
      </c>
      <c r="Q29" s="2">
        <v>5</v>
      </c>
      <c r="R29" s="2">
        <v>5.2</v>
      </c>
      <c r="S29" s="2">
        <v>5.2</v>
      </c>
      <c r="T29" s="2">
        <v>5.4</v>
      </c>
      <c r="U29" s="2">
        <v>5.4</v>
      </c>
      <c r="V29" s="3">
        <v>5</v>
      </c>
      <c r="W29" s="3">
        <v>5</v>
      </c>
      <c r="X29" s="3">
        <v>100</v>
      </c>
      <c r="Y29" s="3">
        <v>0</v>
      </c>
      <c r="Z29" s="3">
        <v>0</v>
      </c>
      <c r="AA29" s="3">
        <f t="shared" si="2"/>
        <v>10</v>
      </c>
      <c r="AB29" s="3">
        <v>0</v>
      </c>
      <c r="AC29" s="3">
        <f t="shared" si="3"/>
        <v>2</v>
      </c>
      <c r="AD29" s="3">
        <f t="shared" si="4"/>
        <v>5</v>
      </c>
      <c r="AE29" s="3">
        <f t="shared" si="5"/>
        <v>5</v>
      </c>
      <c r="AF29" s="3">
        <f t="shared" si="6"/>
        <v>5.2</v>
      </c>
      <c r="AG29" s="3">
        <f t="shared" si="7"/>
        <v>5.2</v>
      </c>
      <c r="AH29" s="3">
        <f t="shared" si="8"/>
        <v>5.4</v>
      </c>
      <c r="AI29" s="3">
        <f t="shared" si="9"/>
        <v>5.4</v>
      </c>
    </row>
    <row r="30" spans="1:35" x14ac:dyDescent="0.2">
      <c r="A30" s="1">
        <v>28</v>
      </c>
      <c r="B30" s="1" t="s">
        <v>100</v>
      </c>
      <c r="C30" s="1"/>
      <c r="D30" s="16">
        <v>2.487335300560932</v>
      </c>
      <c r="E30" s="16">
        <v>59.169726343631233</v>
      </c>
      <c r="F30" s="1"/>
      <c r="G30" s="2">
        <v>5</v>
      </c>
      <c r="H30" s="2">
        <v>5</v>
      </c>
      <c r="I30" s="2">
        <f>SUMIFS(ProductionCapacities!$F$2:$F$51,ProductionCapacities!$E$2:$E$51,Nodes!B30)</f>
        <v>0</v>
      </c>
      <c r="J30" s="2">
        <v>48.064999999999998</v>
      </c>
      <c r="K30" s="11">
        <v>500</v>
      </c>
      <c r="L30" s="11">
        <v>500</v>
      </c>
      <c r="M30" s="2">
        <v>10</v>
      </c>
      <c r="N30" s="2">
        <v>100</v>
      </c>
      <c r="O30" s="2">
        <f t="shared" si="1"/>
        <v>2</v>
      </c>
      <c r="P30" s="2">
        <v>5</v>
      </c>
      <c r="Q30" s="2">
        <v>5</v>
      </c>
      <c r="R30" s="2">
        <v>5.2</v>
      </c>
      <c r="S30" s="2">
        <v>5.2</v>
      </c>
      <c r="T30" s="2">
        <v>5.4</v>
      </c>
      <c r="U30" s="2">
        <v>5.4</v>
      </c>
      <c r="V30" s="3">
        <v>5</v>
      </c>
      <c r="W30" s="3">
        <v>5</v>
      </c>
      <c r="X30" s="3">
        <v>100</v>
      </c>
      <c r="Y30" s="3">
        <v>0</v>
      </c>
      <c r="Z30" s="3">
        <v>0</v>
      </c>
      <c r="AA30" s="3">
        <f t="shared" si="2"/>
        <v>10</v>
      </c>
      <c r="AB30" s="3">
        <v>0</v>
      </c>
      <c r="AC30" s="3">
        <f t="shared" si="3"/>
        <v>2</v>
      </c>
      <c r="AD30" s="3">
        <f t="shared" si="4"/>
        <v>5</v>
      </c>
      <c r="AE30" s="3">
        <f t="shared" si="5"/>
        <v>5</v>
      </c>
      <c r="AF30" s="3">
        <f t="shared" si="6"/>
        <v>5.2</v>
      </c>
      <c r="AG30" s="3">
        <f t="shared" si="7"/>
        <v>5.2</v>
      </c>
      <c r="AH30" s="3">
        <f t="shared" si="8"/>
        <v>5.4</v>
      </c>
      <c r="AI30" s="3">
        <f t="shared" si="9"/>
        <v>5.4</v>
      </c>
    </row>
    <row r="31" spans="1:35" x14ac:dyDescent="0.2">
      <c r="A31" s="1">
        <v>29</v>
      </c>
      <c r="B31" s="1" t="s">
        <v>101</v>
      </c>
      <c r="C31" s="1"/>
      <c r="D31" s="16">
        <v>1.750470074427396</v>
      </c>
      <c r="E31" s="16">
        <v>58.84241056287069</v>
      </c>
      <c r="F31" s="1"/>
      <c r="G31" s="2">
        <v>5</v>
      </c>
      <c r="H31" s="2">
        <v>5</v>
      </c>
      <c r="I31" s="2">
        <f>SUMIFS(ProductionCapacities!$F$2:$F$51,ProductionCapacities!$E$2:$E$51,Nodes!B31)</f>
        <v>0</v>
      </c>
      <c r="J31" s="2">
        <v>667.00199999999995</v>
      </c>
      <c r="K31" s="11">
        <v>500</v>
      </c>
      <c r="L31" s="11">
        <v>500</v>
      </c>
      <c r="M31" s="2">
        <v>10</v>
      </c>
      <c r="N31" s="2">
        <v>100</v>
      </c>
      <c r="O31" s="2">
        <f t="shared" si="1"/>
        <v>2</v>
      </c>
      <c r="P31" s="2">
        <v>5</v>
      </c>
      <c r="Q31" s="2">
        <v>5</v>
      </c>
      <c r="R31" s="2">
        <v>5.2</v>
      </c>
      <c r="S31" s="2">
        <v>5.2</v>
      </c>
      <c r="T31" s="2">
        <v>5.4</v>
      </c>
      <c r="U31" s="2">
        <v>5.4</v>
      </c>
      <c r="V31" s="3">
        <v>5</v>
      </c>
      <c r="W31" s="3">
        <v>5</v>
      </c>
      <c r="X31" s="3">
        <v>100</v>
      </c>
      <c r="Y31" s="3">
        <v>0</v>
      </c>
      <c r="Z31" s="3">
        <v>0</v>
      </c>
      <c r="AA31" s="3">
        <f t="shared" si="2"/>
        <v>10</v>
      </c>
      <c r="AB31" s="3">
        <v>0</v>
      </c>
      <c r="AC31" s="3">
        <f t="shared" si="3"/>
        <v>2</v>
      </c>
      <c r="AD31" s="3">
        <f t="shared" si="4"/>
        <v>5</v>
      </c>
      <c r="AE31" s="3">
        <f t="shared" si="5"/>
        <v>5</v>
      </c>
      <c r="AF31" s="3">
        <f t="shared" si="6"/>
        <v>5.2</v>
      </c>
      <c r="AG31" s="3">
        <f t="shared" si="7"/>
        <v>5.2</v>
      </c>
      <c r="AH31" s="3">
        <f t="shared" si="8"/>
        <v>5.4</v>
      </c>
      <c r="AI31" s="3">
        <f t="shared" si="9"/>
        <v>5.4</v>
      </c>
    </row>
    <row r="32" spans="1:35" x14ac:dyDescent="0.2">
      <c r="A32" s="1">
        <v>30</v>
      </c>
      <c r="B32" s="1" t="s">
        <v>116</v>
      </c>
      <c r="C32" s="1"/>
      <c r="D32" s="22">
        <v>6.0406335538870612</v>
      </c>
      <c r="E32" s="22">
        <v>54.505801334185612</v>
      </c>
      <c r="F32" s="1"/>
      <c r="G32" s="2">
        <v>5</v>
      </c>
      <c r="H32" s="2">
        <v>5</v>
      </c>
      <c r="I32" s="2">
        <f>SUMIFS(ProductionCapacities!$F$2:$F$51,ProductionCapacities!$E$2:$E$51,Nodes!B32)</f>
        <v>0</v>
      </c>
      <c r="J32" s="2">
        <v>0</v>
      </c>
      <c r="K32" s="11">
        <v>500</v>
      </c>
      <c r="L32" s="11">
        <v>500</v>
      </c>
      <c r="M32" s="2">
        <v>10</v>
      </c>
      <c r="N32" s="2">
        <v>100</v>
      </c>
      <c r="O32" s="2">
        <f t="shared" si="1"/>
        <v>2</v>
      </c>
      <c r="P32" s="2">
        <v>5</v>
      </c>
      <c r="Q32" s="2">
        <v>5</v>
      </c>
      <c r="R32" s="2">
        <v>5.2</v>
      </c>
      <c r="S32" s="2">
        <v>5.2</v>
      </c>
      <c r="T32" s="2">
        <v>5.4</v>
      </c>
      <c r="U32" s="2">
        <v>5.4</v>
      </c>
      <c r="V32" s="3">
        <v>5</v>
      </c>
      <c r="W32" s="3">
        <v>5</v>
      </c>
      <c r="X32" s="3">
        <v>100</v>
      </c>
      <c r="Y32" s="3">
        <v>0</v>
      </c>
      <c r="Z32" s="3">
        <v>0</v>
      </c>
      <c r="AA32" s="3">
        <f t="shared" si="2"/>
        <v>10</v>
      </c>
      <c r="AB32" s="3">
        <v>0</v>
      </c>
      <c r="AC32" s="3">
        <f t="shared" si="3"/>
        <v>2</v>
      </c>
      <c r="AD32" s="3">
        <f t="shared" si="4"/>
        <v>5</v>
      </c>
      <c r="AE32" s="3">
        <f t="shared" si="5"/>
        <v>5</v>
      </c>
      <c r="AF32" s="3">
        <f t="shared" si="6"/>
        <v>5.2</v>
      </c>
      <c r="AG32" s="3">
        <f t="shared" si="7"/>
        <v>5.2</v>
      </c>
      <c r="AH32" s="3">
        <f t="shared" si="8"/>
        <v>5.4</v>
      </c>
      <c r="AI32" s="3">
        <f t="shared" si="9"/>
        <v>5.4</v>
      </c>
    </row>
    <row r="33" spans="1:35" x14ac:dyDescent="0.2">
      <c r="A33" s="1">
        <v>31</v>
      </c>
      <c r="B33" s="1" t="s">
        <v>77</v>
      </c>
      <c r="C33" s="1"/>
      <c r="D33" s="16">
        <v>7.3202454238671333</v>
      </c>
      <c r="E33" s="16">
        <v>65.321499578632455</v>
      </c>
      <c r="F33" s="1" t="s">
        <v>322</v>
      </c>
      <c r="G33" s="2">
        <v>5</v>
      </c>
      <c r="H33" s="2">
        <v>5</v>
      </c>
      <c r="I33" s="2">
        <f>SUMIFS(ProductionCapacities!$F$2:$F$51,ProductionCapacities!$E$2:$E$51,Nodes!B33)</f>
        <v>4.2217397260273968</v>
      </c>
      <c r="J33" s="2">
        <v>1214.5999999999999</v>
      </c>
      <c r="K33" s="11">
        <v>500</v>
      </c>
      <c r="L33" s="11">
        <v>500</v>
      </c>
      <c r="M33" s="2">
        <v>10</v>
      </c>
      <c r="N33" s="2">
        <v>100</v>
      </c>
      <c r="O33" s="2">
        <f t="shared" si="1"/>
        <v>2</v>
      </c>
      <c r="P33" s="2">
        <v>5</v>
      </c>
      <c r="Q33" s="2">
        <v>5</v>
      </c>
      <c r="R33" s="2">
        <v>5.2</v>
      </c>
      <c r="S33" s="2">
        <v>5.2</v>
      </c>
      <c r="T33" s="2">
        <v>5.4</v>
      </c>
      <c r="U33" s="2">
        <v>5.4</v>
      </c>
      <c r="V33" s="3">
        <v>5</v>
      </c>
      <c r="W33" s="3">
        <v>5</v>
      </c>
      <c r="X33" s="3">
        <v>100</v>
      </c>
      <c r="Y33" s="3">
        <v>0</v>
      </c>
      <c r="Z33" s="3">
        <v>0</v>
      </c>
      <c r="AA33" s="3">
        <f t="shared" si="2"/>
        <v>10</v>
      </c>
      <c r="AB33" s="3">
        <v>0</v>
      </c>
      <c r="AC33" s="3">
        <f t="shared" si="3"/>
        <v>2</v>
      </c>
      <c r="AD33" s="3">
        <f t="shared" si="4"/>
        <v>5</v>
      </c>
      <c r="AE33" s="3">
        <f t="shared" si="5"/>
        <v>5</v>
      </c>
      <c r="AF33" s="3">
        <f t="shared" si="6"/>
        <v>5.2</v>
      </c>
      <c r="AG33" s="3">
        <f t="shared" si="7"/>
        <v>5.2</v>
      </c>
      <c r="AH33" s="3">
        <f t="shared" si="8"/>
        <v>5.4</v>
      </c>
      <c r="AI33" s="3">
        <f t="shared" si="9"/>
        <v>5.4</v>
      </c>
    </row>
    <row r="34" spans="1:35" x14ac:dyDescent="0.2">
      <c r="A34" s="1">
        <v>32</v>
      </c>
      <c r="B34" s="1" t="s">
        <v>97</v>
      </c>
      <c r="C34" s="1"/>
      <c r="D34" s="16">
        <v>2.2345225779689399</v>
      </c>
      <c r="E34" s="16">
        <v>59.570737872744949</v>
      </c>
      <c r="F34" s="1"/>
      <c r="G34" s="2">
        <v>5</v>
      </c>
      <c r="H34" s="2">
        <v>5</v>
      </c>
      <c r="I34" s="2">
        <f>SUMIFS(ProductionCapacities!$F$2:$F$51,ProductionCapacities!$E$2:$E$51,Nodes!B34)</f>
        <v>7.2424657534246567E-2</v>
      </c>
      <c r="J34" s="2">
        <v>1329.308</v>
      </c>
      <c r="K34" s="11">
        <v>500</v>
      </c>
      <c r="L34" s="11">
        <v>500</v>
      </c>
      <c r="M34" s="2">
        <v>10</v>
      </c>
      <c r="N34" s="2">
        <v>100</v>
      </c>
      <c r="O34" s="2">
        <f t="shared" si="1"/>
        <v>2</v>
      </c>
      <c r="P34" s="2">
        <v>5</v>
      </c>
      <c r="Q34" s="2">
        <v>5</v>
      </c>
      <c r="R34" s="2">
        <v>5.2</v>
      </c>
      <c r="S34" s="2">
        <v>5.2</v>
      </c>
      <c r="T34" s="2">
        <v>5.4</v>
      </c>
      <c r="U34" s="2">
        <v>5.4</v>
      </c>
      <c r="V34" s="3">
        <v>5</v>
      </c>
      <c r="W34" s="3">
        <v>5</v>
      </c>
      <c r="X34" s="3">
        <v>100</v>
      </c>
      <c r="Y34" s="3">
        <v>0</v>
      </c>
      <c r="Z34" s="3">
        <v>0</v>
      </c>
      <c r="AA34" s="3">
        <f t="shared" si="2"/>
        <v>10</v>
      </c>
      <c r="AB34" s="3">
        <v>0</v>
      </c>
      <c r="AC34" s="3">
        <f t="shared" si="3"/>
        <v>2</v>
      </c>
      <c r="AD34" s="3">
        <f t="shared" si="4"/>
        <v>5</v>
      </c>
      <c r="AE34" s="3">
        <f t="shared" si="5"/>
        <v>5</v>
      </c>
      <c r="AF34" s="3">
        <f t="shared" si="6"/>
        <v>5.2</v>
      </c>
      <c r="AG34" s="3">
        <f t="shared" si="7"/>
        <v>5.2</v>
      </c>
      <c r="AH34" s="3">
        <f t="shared" si="8"/>
        <v>5.4</v>
      </c>
      <c r="AI34" s="3">
        <f t="shared" si="9"/>
        <v>5.4</v>
      </c>
    </row>
    <row r="35" spans="1:35" x14ac:dyDescent="0.2">
      <c r="A35" s="1">
        <v>33</v>
      </c>
      <c r="B35" s="1" t="s">
        <v>96</v>
      </c>
      <c r="C35" s="1"/>
      <c r="D35" s="16">
        <v>2.2352254874930928</v>
      </c>
      <c r="E35" s="16">
        <v>59.571075351213203</v>
      </c>
      <c r="F35" s="1"/>
      <c r="G35" s="2">
        <v>5</v>
      </c>
      <c r="H35" s="2">
        <v>5</v>
      </c>
      <c r="I35" s="2">
        <f>SUMIFS(ProductionCapacities!$F$2:$F$51,ProductionCapacities!$E$2:$E$51,Nodes!B35)</f>
        <v>0</v>
      </c>
      <c r="J35" s="2">
        <v>1329.308</v>
      </c>
      <c r="K35" s="11">
        <v>500</v>
      </c>
      <c r="L35" s="11">
        <v>500</v>
      </c>
      <c r="M35" s="2">
        <v>10</v>
      </c>
      <c r="N35" s="2">
        <v>100</v>
      </c>
      <c r="O35" s="2">
        <f t="shared" si="1"/>
        <v>2</v>
      </c>
      <c r="P35" s="2">
        <v>5</v>
      </c>
      <c r="Q35" s="2">
        <v>5</v>
      </c>
      <c r="R35" s="2">
        <v>5.2</v>
      </c>
      <c r="S35" s="2">
        <v>5.2</v>
      </c>
      <c r="T35" s="2">
        <v>5.4</v>
      </c>
      <c r="U35" s="2">
        <v>5.4</v>
      </c>
      <c r="V35" s="3">
        <v>5</v>
      </c>
      <c r="W35" s="3">
        <v>5</v>
      </c>
      <c r="X35" s="3">
        <v>100</v>
      </c>
      <c r="Y35" s="3">
        <v>0</v>
      </c>
      <c r="Z35" s="3">
        <v>0</v>
      </c>
      <c r="AA35" s="3">
        <f t="shared" si="2"/>
        <v>10</v>
      </c>
      <c r="AB35" s="3">
        <v>0</v>
      </c>
      <c r="AC35" s="3">
        <f t="shared" si="3"/>
        <v>2</v>
      </c>
      <c r="AD35" s="3">
        <f t="shared" si="4"/>
        <v>5</v>
      </c>
      <c r="AE35" s="3">
        <f t="shared" si="5"/>
        <v>5</v>
      </c>
      <c r="AF35" s="3">
        <f t="shared" si="6"/>
        <v>5.2</v>
      </c>
      <c r="AG35" s="3">
        <f t="shared" si="7"/>
        <v>5.2</v>
      </c>
      <c r="AH35" s="3">
        <f t="shared" si="8"/>
        <v>5.4</v>
      </c>
      <c r="AI35" s="3">
        <f t="shared" si="9"/>
        <v>5.4</v>
      </c>
    </row>
    <row r="36" spans="1:35" x14ac:dyDescent="0.2">
      <c r="A36" s="1">
        <v>34</v>
      </c>
      <c r="B36" s="1" t="s">
        <v>99</v>
      </c>
      <c r="C36" s="1"/>
      <c r="D36" s="16">
        <v>5.0541760000000409</v>
      </c>
      <c r="E36" s="16">
        <v>59.326808000000028</v>
      </c>
      <c r="F36" s="1" t="s">
        <v>322</v>
      </c>
      <c r="G36" s="2">
        <v>5</v>
      </c>
      <c r="H36" s="2">
        <v>5</v>
      </c>
      <c r="I36" s="2">
        <f>SUMIFS(ProductionCapacities!$F$2:$F$51,ProductionCapacities!$E$2:$E$51,Nodes!B36)</f>
        <v>2.3047890410958907</v>
      </c>
      <c r="J36" s="2">
        <v>8889.5949999999993</v>
      </c>
      <c r="K36" s="11">
        <v>500</v>
      </c>
      <c r="L36" s="11">
        <v>500</v>
      </c>
      <c r="M36" s="2">
        <v>10</v>
      </c>
      <c r="N36" s="2">
        <v>100</v>
      </c>
      <c r="O36" s="2">
        <f t="shared" si="1"/>
        <v>2</v>
      </c>
      <c r="P36" s="2">
        <v>5</v>
      </c>
      <c r="Q36" s="2">
        <v>5</v>
      </c>
      <c r="R36" s="2">
        <v>5.2</v>
      </c>
      <c r="S36" s="2">
        <v>5.2</v>
      </c>
      <c r="T36" s="2">
        <v>5.4</v>
      </c>
      <c r="U36" s="2">
        <v>5.4</v>
      </c>
      <c r="V36" s="3">
        <v>5</v>
      </c>
      <c r="W36" s="3">
        <v>5</v>
      </c>
      <c r="X36" s="3">
        <v>100</v>
      </c>
      <c r="Y36" s="3">
        <v>0</v>
      </c>
      <c r="Z36" s="3">
        <v>0</v>
      </c>
      <c r="AA36" s="3">
        <f t="shared" si="2"/>
        <v>10</v>
      </c>
      <c r="AB36" s="3">
        <v>0</v>
      </c>
      <c r="AC36" s="3">
        <f t="shared" si="3"/>
        <v>2</v>
      </c>
      <c r="AD36" s="3">
        <f t="shared" si="4"/>
        <v>5</v>
      </c>
      <c r="AE36" s="3">
        <f t="shared" si="5"/>
        <v>5</v>
      </c>
      <c r="AF36" s="3">
        <f t="shared" si="6"/>
        <v>5.2</v>
      </c>
      <c r="AG36" s="3">
        <f t="shared" si="7"/>
        <v>5.2</v>
      </c>
      <c r="AH36" s="3">
        <f t="shared" si="8"/>
        <v>5.4</v>
      </c>
      <c r="AI36" s="3">
        <f t="shared" si="9"/>
        <v>5.4</v>
      </c>
    </row>
    <row r="37" spans="1:35" x14ac:dyDescent="0.2">
      <c r="A37" s="1">
        <v>35</v>
      </c>
      <c r="B37" s="1" t="s">
        <v>102</v>
      </c>
      <c r="C37" s="1"/>
      <c r="D37" s="16">
        <v>2.5577715130093028</v>
      </c>
      <c r="E37" s="16">
        <v>58.841931072335058</v>
      </c>
      <c r="F37" s="1" t="s">
        <v>322</v>
      </c>
      <c r="G37" s="2">
        <v>5</v>
      </c>
      <c r="H37" s="2">
        <v>5</v>
      </c>
      <c r="I37" s="2">
        <f>SUMIFS(ProductionCapacities!$F$2:$F$51,ProductionCapacities!$E$2:$E$51,Nodes!B37)</f>
        <v>0</v>
      </c>
      <c r="J37" s="2">
        <v>8889.5949999999993</v>
      </c>
      <c r="K37" s="11">
        <v>500</v>
      </c>
      <c r="L37" s="11">
        <v>500</v>
      </c>
      <c r="M37" s="2">
        <v>10</v>
      </c>
      <c r="N37" s="2">
        <v>100</v>
      </c>
      <c r="O37" s="2">
        <f t="shared" si="1"/>
        <v>2</v>
      </c>
      <c r="P37" s="2">
        <v>5</v>
      </c>
      <c r="Q37" s="2">
        <v>5</v>
      </c>
      <c r="R37" s="2">
        <v>5.2</v>
      </c>
      <c r="S37" s="2">
        <v>5.2</v>
      </c>
      <c r="T37" s="2">
        <v>5.4</v>
      </c>
      <c r="U37" s="2">
        <v>5.4</v>
      </c>
      <c r="V37" s="3">
        <v>5</v>
      </c>
      <c r="W37" s="3">
        <v>5</v>
      </c>
      <c r="X37" s="3">
        <v>100</v>
      </c>
      <c r="Y37" s="3">
        <v>0</v>
      </c>
      <c r="Z37" s="3">
        <v>0</v>
      </c>
      <c r="AA37" s="3">
        <f t="shared" si="2"/>
        <v>10</v>
      </c>
      <c r="AB37" s="3">
        <v>0</v>
      </c>
      <c r="AC37" s="3">
        <f t="shared" si="3"/>
        <v>2</v>
      </c>
      <c r="AD37" s="3">
        <f t="shared" si="4"/>
        <v>5</v>
      </c>
      <c r="AE37" s="3">
        <f t="shared" si="5"/>
        <v>5</v>
      </c>
      <c r="AF37" s="3">
        <f t="shared" si="6"/>
        <v>5.2</v>
      </c>
      <c r="AG37" s="3">
        <f t="shared" si="7"/>
        <v>5.2</v>
      </c>
      <c r="AH37" s="3">
        <f t="shared" si="8"/>
        <v>5.4</v>
      </c>
      <c r="AI37" s="3">
        <f t="shared" si="9"/>
        <v>5.4</v>
      </c>
    </row>
    <row r="38" spans="1:35" x14ac:dyDescent="0.2">
      <c r="A38" s="1">
        <v>36</v>
      </c>
      <c r="B38" s="1" t="s">
        <v>207</v>
      </c>
      <c r="C38" s="1"/>
      <c r="D38" s="16">
        <v>5.5129213334435638</v>
      </c>
      <c r="E38" s="16">
        <v>59.272115627836378</v>
      </c>
      <c r="F38" s="1"/>
      <c r="G38" s="2">
        <v>5</v>
      </c>
      <c r="H38" s="2">
        <v>5</v>
      </c>
      <c r="I38" s="2">
        <f>SUMIFS(ProductionCapacities!$F$2:$F$51,ProductionCapacities!$E$2:$E$51,Nodes!B38)</f>
        <v>0</v>
      </c>
      <c r="J38" s="2">
        <v>0</v>
      </c>
      <c r="K38" s="11">
        <v>500</v>
      </c>
      <c r="L38" s="11">
        <v>500</v>
      </c>
      <c r="M38" s="2">
        <v>10</v>
      </c>
      <c r="N38" s="2">
        <v>100</v>
      </c>
      <c r="O38" s="2">
        <f t="shared" si="1"/>
        <v>2</v>
      </c>
      <c r="P38" s="2">
        <v>5</v>
      </c>
      <c r="Q38" s="2">
        <v>5</v>
      </c>
      <c r="R38" s="2">
        <v>5.2</v>
      </c>
      <c r="S38" s="2">
        <v>5.2</v>
      </c>
      <c r="T38" s="2">
        <v>5.4</v>
      </c>
      <c r="U38" s="2">
        <v>5.4</v>
      </c>
      <c r="V38" s="3">
        <v>5</v>
      </c>
      <c r="W38" s="3">
        <v>5</v>
      </c>
      <c r="X38" s="3">
        <v>100</v>
      </c>
      <c r="Y38" s="3">
        <v>0</v>
      </c>
      <c r="Z38" s="3">
        <v>0</v>
      </c>
      <c r="AA38" s="3">
        <f t="shared" si="2"/>
        <v>10</v>
      </c>
      <c r="AB38" s="3">
        <v>0</v>
      </c>
      <c r="AC38" s="3">
        <f t="shared" si="3"/>
        <v>2</v>
      </c>
      <c r="AD38" s="3">
        <f t="shared" si="4"/>
        <v>5</v>
      </c>
      <c r="AE38" s="3">
        <f t="shared" si="5"/>
        <v>5</v>
      </c>
      <c r="AF38" s="3">
        <f t="shared" si="6"/>
        <v>5.2</v>
      </c>
      <c r="AG38" s="3">
        <f t="shared" si="7"/>
        <v>5.2</v>
      </c>
      <c r="AH38" s="3">
        <f t="shared" si="8"/>
        <v>5.4</v>
      </c>
      <c r="AI38" s="3">
        <f t="shared" si="9"/>
        <v>5.4</v>
      </c>
    </row>
    <row r="39" spans="1:35" x14ac:dyDescent="0.2">
      <c r="A39" s="1">
        <v>37</v>
      </c>
      <c r="B39" s="1" t="s">
        <v>91</v>
      </c>
      <c r="C39" s="1"/>
      <c r="D39" s="16">
        <v>4.8385970033810022</v>
      </c>
      <c r="E39" s="16">
        <v>60.545348486364603</v>
      </c>
      <c r="F39" s="1"/>
      <c r="G39" s="2">
        <v>5</v>
      </c>
      <c r="H39" s="2">
        <v>5</v>
      </c>
      <c r="I39" s="2">
        <f>SUMIFS(ProductionCapacities!$F$2:$F$51,ProductionCapacities!$E$2:$E$51,Nodes!B39)</f>
        <v>0</v>
      </c>
      <c r="J39" s="2">
        <v>0</v>
      </c>
      <c r="K39" s="11">
        <v>500</v>
      </c>
      <c r="L39" s="11">
        <v>500</v>
      </c>
      <c r="M39" s="2">
        <v>10</v>
      </c>
      <c r="N39" s="2">
        <v>100</v>
      </c>
      <c r="O39" s="2">
        <f t="shared" si="1"/>
        <v>2</v>
      </c>
      <c r="P39" s="2">
        <v>5</v>
      </c>
      <c r="Q39" s="2">
        <v>5</v>
      </c>
      <c r="R39" s="2">
        <v>5.2</v>
      </c>
      <c r="S39" s="2">
        <v>5.2</v>
      </c>
      <c r="T39" s="2">
        <v>5.4</v>
      </c>
      <c r="U39" s="2">
        <v>5.4</v>
      </c>
      <c r="V39" s="3">
        <v>5</v>
      </c>
      <c r="W39" s="3">
        <v>5</v>
      </c>
      <c r="X39" s="3">
        <v>100</v>
      </c>
      <c r="Y39" s="3">
        <v>0</v>
      </c>
      <c r="Z39" s="3">
        <v>0</v>
      </c>
      <c r="AA39" s="3">
        <f t="shared" si="2"/>
        <v>10</v>
      </c>
      <c r="AB39" s="3">
        <v>0</v>
      </c>
      <c r="AC39" s="3">
        <f t="shared" si="3"/>
        <v>2</v>
      </c>
      <c r="AD39" s="3">
        <f t="shared" si="4"/>
        <v>5</v>
      </c>
      <c r="AE39" s="3">
        <f t="shared" si="5"/>
        <v>5</v>
      </c>
      <c r="AF39" s="3">
        <f t="shared" si="6"/>
        <v>5.2</v>
      </c>
      <c r="AG39" s="3">
        <f t="shared" si="7"/>
        <v>5.2</v>
      </c>
      <c r="AH39" s="3">
        <f t="shared" si="8"/>
        <v>5.4</v>
      </c>
      <c r="AI39" s="3">
        <f t="shared" si="9"/>
        <v>5.4</v>
      </c>
    </row>
    <row r="40" spans="1:35" x14ac:dyDescent="0.2">
      <c r="A40" s="1">
        <v>38</v>
      </c>
      <c r="B40" s="1" t="s">
        <v>186</v>
      </c>
      <c r="C40" s="1"/>
      <c r="D40" s="16">
        <v>2.5070780834093052</v>
      </c>
      <c r="E40" s="16">
        <v>61.077581935633752</v>
      </c>
      <c r="F40" s="1"/>
      <c r="G40" s="2">
        <v>5</v>
      </c>
      <c r="H40" s="2">
        <v>5</v>
      </c>
      <c r="I40" s="2">
        <f>SUMIFS(ProductionCapacities!$F$2:$F$51,ProductionCapacities!$E$2:$E$51,Nodes!B40)</f>
        <v>26.03253698630137</v>
      </c>
      <c r="J40" s="2">
        <v>508.40300000000002</v>
      </c>
      <c r="K40" s="11">
        <v>500</v>
      </c>
      <c r="L40" s="11">
        <v>500</v>
      </c>
      <c r="M40" s="2">
        <v>10</v>
      </c>
      <c r="N40" s="2">
        <v>100</v>
      </c>
      <c r="O40" s="2">
        <f t="shared" si="1"/>
        <v>2</v>
      </c>
      <c r="P40" s="2">
        <v>5</v>
      </c>
      <c r="Q40" s="2">
        <v>5</v>
      </c>
      <c r="R40" s="2">
        <v>5.2</v>
      </c>
      <c r="S40" s="2">
        <v>5.2</v>
      </c>
      <c r="T40" s="2">
        <v>5.4</v>
      </c>
      <c r="U40" s="2">
        <v>5.4</v>
      </c>
      <c r="V40" s="3">
        <v>5</v>
      </c>
      <c r="W40" s="3">
        <v>5</v>
      </c>
      <c r="X40" s="3">
        <v>100</v>
      </c>
      <c r="Y40" s="3">
        <v>0</v>
      </c>
      <c r="Z40" s="3">
        <v>0</v>
      </c>
      <c r="AA40" s="3">
        <f t="shared" si="2"/>
        <v>10</v>
      </c>
      <c r="AB40" s="3">
        <v>0</v>
      </c>
      <c r="AC40" s="3">
        <f t="shared" si="3"/>
        <v>2</v>
      </c>
      <c r="AD40" s="3">
        <f t="shared" si="4"/>
        <v>5</v>
      </c>
      <c r="AE40" s="3">
        <f t="shared" si="5"/>
        <v>5</v>
      </c>
      <c r="AF40" s="3">
        <f t="shared" si="6"/>
        <v>5.2</v>
      </c>
      <c r="AG40" s="3">
        <f t="shared" si="7"/>
        <v>5.2</v>
      </c>
      <c r="AH40" s="3">
        <f t="shared" si="8"/>
        <v>5.4</v>
      </c>
      <c r="AI40" s="3">
        <f t="shared" si="9"/>
        <v>5.4</v>
      </c>
    </row>
    <row r="41" spans="1:35" x14ac:dyDescent="0.2">
      <c r="A41" s="1">
        <v>39</v>
      </c>
      <c r="B41" s="1" t="s">
        <v>95</v>
      </c>
      <c r="C41" s="1"/>
      <c r="D41" s="16">
        <v>2.0175154810000322</v>
      </c>
      <c r="E41" s="16">
        <v>59.894961973000079</v>
      </c>
      <c r="F41" s="1" t="s">
        <v>322</v>
      </c>
      <c r="G41" s="2">
        <v>5</v>
      </c>
      <c r="H41" s="2">
        <v>5</v>
      </c>
      <c r="I41" s="2">
        <f>SUMIFS(ProductionCapacities!$F$2:$F$51,ProductionCapacities!$E$2:$E$51,Nodes!B41)</f>
        <v>0</v>
      </c>
      <c r="J41" s="2">
        <v>48.064999999999998</v>
      </c>
      <c r="K41" s="11">
        <v>500</v>
      </c>
      <c r="L41" s="11">
        <v>500</v>
      </c>
      <c r="M41" s="2">
        <v>10</v>
      </c>
      <c r="N41" s="2">
        <v>100</v>
      </c>
      <c r="O41" s="2">
        <f t="shared" si="1"/>
        <v>2</v>
      </c>
      <c r="P41" s="2">
        <v>5</v>
      </c>
      <c r="Q41" s="2">
        <v>5</v>
      </c>
      <c r="R41" s="2">
        <v>5.2</v>
      </c>
      <c r="S41" s="2">
        <v>5.2</v>
      </c>
      <c r="T41" s="2">
        <v>5.4</v>
      </c>
      <c r="U41" s="2">
        <v>5.4</v>
      </c>
      <c r="V41" s="3">
        <v>5</v>
      </c>
      <c r="W41" s="3">
        <v>5</v>
      </c>
      <c r="X41" s="3">
        <v>100</v>
      </c>
      <c r="Y41" s="3">
        <v>0</v>
      </c>
      <c r="Z41" s="3">
        <v>0</v>
      </c>
      <c r="AA41" s="3">
        <f t="shared" si="2"/>
        <v>10</v>
      </c>
      <c r="AB41" s="3">
        <v>0</v>
      </c>
      <c r="AC41" s="3">
        <f t="shared" si="3"/>
        <v>2</v>
      </c>
      <c r="AD41" s="3">
        <f t="shared" si="4"/>
        <v>5</v>
      </c>
      <c r="AE41" s="3">
        <f t="shared" si="5"/>
        <v>5</v>
      </c>
      <c r="AF41" s="3">
        <f t="shared" si="6"/>
        <v>5.2</v>
      </c>
      <c r="AG41" s="3">
        <f t="shared" si="7"/>
        <v>5.2</v>
      </c>
      <c r="AH41" s="3">
        <f t="shared" si="8"/>
        <v>5.4</v>
      </c>
      <c r="AI41" s="3">
        <f t="shared" si="9"/>
        <v>5.4</v>
      </c>
    </row>
    <row r="42" spans="1:35" x14ac:dyDescent="0.2">
      <c r="A42" s="1">
        <v>40</v>
      </c>
      <c r="B42" s="1" t="s">
        <v>87</v>
      </c>
      <c r="C42" s="1"/>
      <c r="D42" s="16">
        <v>1.7050129999999999</v>
      </c>
      <c r="E42" s="16">
        <v>61.034477000000003</v>
      </c>
      <c r="F42" s="1"/>
      <c r="G42" s="2">
        <v>5</v>
      </c>
      <c r="H42" s="2">
        <v>5</v>
      </c>
      <c r="I42" s="2">
        <f>SUMIFS(ProductionCapacities!$F$2:$F$51,ProductionCapacities!$E$2:$E$51,Nodes!B42)</f>
        <v>0</v>
      </c>
      <c r="J42" s="2">
        <v>68.573999999999998</v>
      </c>
      <c r="K42" s="11">
        <v>500</v>
      </c>
      <c r="L42" s="11">
        <v>500</v>
      </c>
      <c r="M42" s="2">
        <v>10</v>
      </c>
      <c r="N42" s="2">
        <v>100</v>
      </c>
      <c r="O42" s="2">
        <f t="shared" si="1"/>
        <v>2</v>
      </c>
      <c r="P42" s="2">
        <v>5</v>
      </c>
      <c r="Q42" s="2">
        <v>5</v>
      </c>
      <c r="R42" s="2">
        <v>5.2</v>
      </c>
      <c r="S42" s="2">
        <v>5.2</v>
      </c>
      <c r="T42" s="2">
        <v>5.4</v>
      </c>
      <c r="U42" s="2">
        <v>5.4</v>
      </c>
      <c r="V42" s="3">
        <v>5</v>
      </c>
      <c r="W42" s="3">
        <v>5</v>
      </c>
      <c r="X42" s="3">
        <v>100</v>
      </c>
      <c r="Y42" s="3">
        <v>0</v>
      </c>
      <c r="Z42" s="3">
        <v>0</v>
      </c>
      <c r="AA42" s="3">
        <f t="shared" si="2"/>
        <v>10</v>
      </c>
      <c r="AB42" s="3">
        <v>0</v>
      </c>
      <c r="AC42" s="3">
        <f t="shared" si="3"/>
        <v>2</v>
      </c>
      <c r="AD42" s="3">
        <f t="shared" si="4"/>
        <v>5</v>
      </c>
      <c r="AE42" s="3">
        <f t="shared" si="5"/>
        <v>5</v>
      </c>
      <c r="AF42" s="3">
        <f t="shared" si="6"/>
        <v>5.2</v>
      </c>
      <c r="AG42" s="3">
        <f t="shared" si="7"/>
        <v>5.2</v>
      </c>
      <c r="AH42" s="3">
        <f t="shared" si="8"/>
        <v>5.4</v>
      </c>
      <c r="AI42" s="3">
        <f t="shared" si="9"/>
        <v>5.4</v>
      </c>
    </row>
    <row r="43" spans="1:35" x14ac:dyDescent="0.2">
      <c r="A43" s="1">
        <v>41</v>
      </c>
      <c r="B43" s="1" t="s">
        <v>75</v>
      </c>
      <c r="C43" s="1"/>
      <c r="D43" s="16">
        <v>8.0785441179034034</v>
      </c>
      <c r="E43" s="16">
        <v>66.029330899408933</v>
      </c>
      <c r="F43" s="1" t="s">
        <v>322</v>
      </c>
      <c r="G43" s="2">
        <v>5</v>
      </c>
      <c r="H43" s="2">
        <v>5</v>
      </c>
      <c r="I43" s="2">
        <f>SUMIFS(ProductionCapacities!$F$2:$F$51,ProductionCapacities!$E$2:$E$51,Nodes!B43)</f>
        <v>1.5822602739726026</v>
      </c>
      <c r="J43" s="2">
        <v>1041.0509999999999</v>
      </c>
      <c r="K43" s="11">
        <v>500</v>
      </c>
      <c r="L43" s="11">
        <v>500</v>
      </c>
      <c r="M43" s="2">
        <v>10</v>
      </c>
      <c r="N43" s="2">
        <v>100</v>
      </c>
      <c r="O43" s="2">
        <f t="shared" si="1"/>
        <v>2</v>
      </c>
      <c r="P43" s="2">
        <v>5</v>
      </c>
      <c r="Q43" s="2">
        <v>5</v>
      </c>
      <c r="R43" s="2">
        <v>5.2</v>
      </c>
      <c r="S43" s="2">
        <v>5.2</v>
      </c>
      <c r="T43" s="2">
        <v>5.4</v>
      </c>
      <c r="U43" s="2">
        <v>5.4</v>
      </c>
      <c r="V43" s="3">
        <v>5</v>
      </c>
      <c r="W43" s="3">
        <v>5</v>
      </c>
      <c r="X43" s="3">
        <v>100</v>
      </c>
      <c r="Y43" s="3">
        <v>0</v>
      </c>
      <c r="Z43" s="3">
        <v>0</v>
      </c>
      <c r="AA43" s="3">
        <f t="shared" si="2"/>
        <v>10</v>
      </c>
      <c r="AB43" s="3">
        <v>0</v>
      </c>
      <c r="AC43" s="3">
        <f t="shared" si="3"/>
        <v>2</v>
      </c>
      <c r="AD43" s="3">
        <f t="shared" si="4"/>
        <v>5</v>
      </c>
      <c r="AE43" s="3">
        <f t="shared" si="5"/>
        <v>5</v>
      </c>
      <c r="AF43" s="3">
        <f t="shared" si="6"/>
        <v>5.2</v>
      </c>
      <c r="AG43" s="3">
        <f t="shared" si="7"/>
        <v>5.2</v>
      </c>
      <c r="AH43" s="3">
        <f t="shared" si="8"/>
        <v>5.4</v>
      </c>
      <c r="AI43" s="3">
        <f t="shared" si="9"/>
        <v>5.4</v>
      </c>
    </row>
    <row r="44" spans="1:35" x14ac:dyDescent="0.2">
      <c r="A44" s="1">
        <v>42</v>
      </c>
      <c r="B44" s="1" t="s">
        <v>78</v>
      </c>
      <c r="C44" s="1"/>
      <c r="D44" s="16">
        <v>6.8014610000000744</v>
      </c>
      <c r="E44" s="16">
        <v>65.084516000000065</v>
      </c>
      <c r="F44" s="1" t="s">
        <v>322</v>
      </c>
      <c r="G44" s="2">
        <v>5</v>
      </c>
      <c r="H44" s="2">
        <v>5</v>
      </c>
      <c r="I44" s="2">
        <f>SUMIFS(ProductionCapacities!$F$2:$F$51,ProductionCapacities!$E$2:$E$51,Nodes!B44)</f>
        <v>0</v>
      </c>
      <c r="J44" s="2">
        <v>1214.5999999999999</v>
      </c>
      <c r="K44" s="11">
        <v>500</v>
      </c>
      <c r="L44" s="11">
        <v>500</v>
      </c>
      <c r="M44" s="2">
        <v>10</v>
      </c>
      <c r="N44" s="2">
        <v>100</v>
      </c>
      <c r="O44" s="2">
        <f t="shared" si="1"/>
        <v>2</v>
      </c>
      <c r="P44" s="2">
        <v>5</v>
      </c>
      <c r="Q44" s="2">
        <v>5</v>
      </c>
      <c r="R44" s="2">
        <v>5.2</v>
      </c>
      <c r="S44" s="2">
        <v>5.2</v>
      </c>
      <c r="T44" s="2">
        <v>5.4</v>
      </c>
      <c r="U44" s="2">
        <v>5.4</v>
      </c>
      <c r="V44" s="3">
        <v>5</v>
      </c>
      <c r="W44" s="3">
        <v>5</v>
      </c>
      <c r="X44" s="3">
        <v>100</v>
      </c>
      <c r="Y44" s="3">
        <v>0</v>
      </c>
      <c r="Z44" s="3">
        <v>0</v>
      </c>
      <c r="AA44" s="3">
        <f t="shared" si="2"/>
        <v>10</v>
      </c>
      <c r="AB44" s="3">
        <v>0</v>
      </c>
      <c r="AC44" s="3">
        <f t="shared" si="3"/>
        <v>2</v>
      </c>
      <c r="AD44" s="3">
        <f t="shared" si="4"/>
        <v>5</v>
      </c>
      <c r="AE44" s="3">
        <f t="shared" si="5"/>
        <v>5</v>
      </c>
      <c r="AF44" s="3">
        <f t="shared" si="6"/>
        <v>5.2</v>
      </c>
      <c r="AG44" s="3">
        <f t="shared" si="7"/>
        <v>5.2</v>
      </c>
      <c r="AH44" s="3">
        <f t="shared" si="8"/>
        <v>5.4</v>
      </c>
      <c r="AI44" s="3">
        <f t="shared" si="9"/>
        <v>5.4</v>
      </c>
    </row>
    <row r="45" spans="1:35" x14ac:dyDescent="0.2">
      <c r="A45" s="1">
        <v>43</v>
      </c>
      <c r="B45" s="1" t="s">
        <v>111</v>
      </c>
      <c r="C45" s="1"/>
      <c r="D45" s="22">
        <v>3.330503000000022</v>
      </c>
      <c r="E45" s="22">
        <v>56.490369000000037</v>
      </c>
      <c r="F45" s="1"/>
      <c r="G45" s="2">
        <v>5</v>
      </c>
      <c r="H45" s="2">
        <v>5</v>
      </c>
      <c r="I45" s="2">
        <f>SUMIFS(ProductionCapacities!$F$2:$F$51,ProductionCapacities!$E$2:$E$51,Nodes!B45)</f>
        <v>0</v>
      </c>
      <c r="J45" s="2">
        <v>933.85500000000002</v>
      </c>
      <c r="K45" s="11">
        <v>500</v>
      </c>
      <c r="L45" s="11">
        <v>500</v>
      </c>
      <c r="M45" s="2">
        <v>10</v>
      </c>
      <c r="N45" s="2">
        <v>100</v>
      </c>
      <c r="O45" s="2">
        <f t="shared" si="1"/>
        <v>2</v>
      </c>
      <c r="P45" s="2">
        <v>5</v>
      </c>
      <c r="Q45" s="2">
        <v>5</v>
      </c>
      <c r="R45" s="2">
        <v>5.2</v>
      </c>
      <c r="S45" s="2">
        <v>5.2</v>
      </c>
      <c r="T45" s="2">
        <v>5.4</v>
      </c>
      <c r="U45" s="2">
        <v>5.4</v>
      </c>
      <c r="V45" s="3">
        <v>5</v>
      </c>
      <c r="W45" s="3">
        <v>5</v>
      </c>
      <c r="X45" s="3">
        <v>100</v>
      </c>
      <c r="Y45" s="3">
        <v>0</v>
      </c>
      <c r="Z45" s="3">
        <v>0</v>
      </c>
      <c r="AA45" s="3">
        <f t="shared" si="2"/>
        <v>10</v>
      </c>
      <c r="AB45" s="3">
        <v>0</v>
      </c>
      <c r="AC45" s="3">
        <f t="shared" si="3"/>
        <v>2</v>
      </c>
      <c r="AD45" s="3">
        <f t="shared" si="4"/>
        <v>5</v>
      </c>
      <c r="AE45" s="3">
        <f t="shared" si="5"/>
        <v>5</v>
      </c>
      <c r="AF45" s="3">
        <f t="shared" si="6"/>
        <v>5.2</v>
      </c>
      <c r="AG45" s="3">
        <f t="shared" si="7"/>
        <v>5.2</v>
      </c>
      <c r="AH45" s="3">
        <f t="shared" si="8"/>
        <v>5.4</v>
      </c>
      <c r="AI45" s="3">
        <f t="shared" si="9"/>
        <v>5.4</v>
      </c>
    </row>
    <row r="46" spans="1:35" x14ac:dyDescent="0.2">
      <c r="A46" s="1">
        <v>44</v>
      </c>
      <c r="B46" s="1" t="s">
        <v>84</v>
      </c>
      <c r="C46" s="1"/>
      <c r="D46" s="49">
        <v>6.9457712170000718</v>
      </c>
      <c r="E46" s="49">
        <v>62.851558685000043</v>
      </c>
      <c r="F46" s="1"/>
      <c r="G46" s="2">
        <v>5</v>
      </c>
      <c r="H46" s="2">
        <v>5</v>
      </c>
      <c r="I46" s="2">
        <f>SUMIFS(ProductionCapacities!$F$2:$F$51,ProductionCapacities!$E$2:$E$51,Nodes!B46)</f>
        <v>0</v>
      </c>
      <c r="J46" s="2">
        <v>3093.8470000000002</v>
      </c>
      <c r="K46" s="11">
        <v>500</v>
      </c>
      <c r="L46" s="11">
        <v>500</v>
      </c>
      <c r="M46" s="2">
        <v>10</v>
      </c>
      <c r="N46" s="2">
        <v>100</v>
      </c>
      <c r="O46" s="2">
        <f t="shared" si="1"/>
        <v>2</v>
      </c>
      <c r="P46" s="2">
        <v>5</v>
      </c>
      <c r="Q46" s="2">
        <v>5</v>
      </c>
      <c r="R46" s="2">
        <v>5.2</v>
      </c>
      <c r="S46" s="2">
        <v>5.2</v>
      </c>
      <c r="T46" s="2">
        <v>5.4</v>
      </c>
      <c r="U46" s="2">
        <v>5.4</v>
      </c>
      <c r="V46" s="3">
        <v>5</v>
      </c>
      <c r="W46" s="3">
        <v>5</v>
      </c>
      <c r="X46" s="3">
        <v>100</v>
      </c>
      <c r="Y46" s="3">
        <v>0</v>
      </c>
      <c r="Z46" s="3">
        <v>0</v>
      </c>
      <c r="AA46" s="3">
        <f t="shared" si="2"/>
        <v>10</v>
      </c>
      <c r="AB46" s="3">
        <v>0</v>
      </c>
      <c r="AC46" s="3">
        <f t="shared" si="3"/>
        <v>2</v>
      </c>
      <c r="AD46" s="3">
        <f t="shared" si="4"/>
        <v>5</v>
      </c>
      <c r="AE46" s="3">
        <f t="shared" si="5"/>
        <v>5</v>
      </c>
      <c r="AF46" s="3">
        <f t="shared" si="6"/>
        <v>5.2</v>
      </c>
      <c r="AG46" s="3">
        <f t="shared" si="7"/>
        <v>5.2</v>
      </c>
      <c r="AH46" s="3">
        <f t="shared" si="8"/>
        <v>5.4</v>
      </c>
      <c r="AI46" s="3">
        <f t="shared" si="9"/>
        <v>5.4</v>
      </c>
    </row>
    <row r="47" spans="1:35" x14ac:dyDescent="0.2">
      <c r="A47" s="1">
        <v>45</v>
      </c>
      <c r="B47" s="1" t="s">
        <v>81</v>
      </c>
      <c r="C47" s="1"/>
      <c r="D47" s="16">
        <v>5.3867635720000644</v>
      </c>
      <c r="E47" s="16">
        <v>63.528081670000063</v>
      </c>
      <c r="F47" s="1"/>
      <c r="G47" s="2">
        <v>5</v>
      </c>
      <c r="H47" s="2">
        <v>5</v>
      </c>
      <c r="I47" s="2">
        <f>SUMIFS(ProductionCapacities!$F$2:$F$51,ProductionCapacities!$E$2:$E$51,Nodes!B47)</f>
        <v>32.633767123287676</v>
      </c>
      <c r="J47" s="2">
        <v>48.064999999999998</v>
      </c>
      <c r="K47" s="11">
        <v>500</v>
      </c>
      <c r="L47" s="11">
        <v>500</v>
      </c>
      <c r="M47" s="2">
        <v>10</v>
      </c>
      <c r="N47" s="2">
        <v>100</v>
      </c>
      <c r="O47" s="2">
        <f t="shared" si="1"/>
        <v>2</v>
      </c>
      <c r="P47" s="2">
        <v>5</v>
      </c>
      <c r="Q47" s="2">
        <v>5</v>
      </c>
      <c r="R47" s="2">
        <v>5.2</v>
      </c>
      <c r="S47" s="2">
        <v>5.2</v>
      </c>
      <c r="T47" s="2">
        <v>5.4</v>
      </c>
      <c r="U47" s="2">
        <v>5.4</v>
      </c>
      <c r="V47" s="3">
        <v>5</v>
      </c>
      <c r="W47" s="3">
        <v>5</v>
      </c>
      <c r="X47" s="3">
        <v>100</v>
      </c>
      <c r="Y47" s="3">
        <v>0</v>
      </c>
      <c r="Z47" s="3">
        <v>0</v>
      </c>
      <c r="AA47" s="3">
        <f t="shared" si="2"/>
        <v>10</v>
      </c>
      <c r="AB47" s="3">
        <v>0</v>
      </c>
      <c r="AC47" s="3">
        <f t="shared" si="3"/>
        <v>2</v>
      </c>
      <c r="AD47" s="3">
        <f t="shared" si="4"/>
        <v>5</v>
      </c>
      <c r="AE47" s="3">
        <f t="shared" si="5"/>
        <v>5</v>
      </c>
      <c r="AF47" s="3">
        <f t="shared" si="6"/>
        <v>5.2</v>
      </c>
      <c r="AG47" s="3">
        <f t="shared" si="7"/>
        <v>5.2</v>
      </c>
      <c r="AH47" s="3">
        <f t="shared" si="8"/>
        <v>5.4</v>
      </c>
      <c r="AI47" s="3">
        <f t="shared" si="9"/>
        <v>5.4</v>
      </c>
    </row>
    <row r="48" spans="1:35" x14ac:dyDescent="0.2">
      <c r="A48" s="1">
        <v>46</v>
      </c>
      <c r="B48" s="1" t="s">
        <v>94</v>
      </c>
      <c r="C48" s="1"/>
      <c r="D48" s="16">
        <v>2.8240461869792348</v>
      </c>
      <c r="E48" s="16">
        <v>60.486900453608072</v>
      </c>
      <c r="F48" s="1"/>
      <c r="G48" s="2">
        <v>5</v>
      </c>
      <c r="H48" s="2">
        <v>5</v>
      </c>
      <c r="I48" s="2">
        <f>SUMIFS(ProductionCapacities!$F$2:$F$51,ProductionCapacities!$E$2:$E$51,Nodes!B48)</f>
        <v>11.774098630136987</v>
      </c>
      <c r="J48" s="2">
        <v>48.064999999999998</v>
      </c>
      <c r="K48" s="11">
        <v>500</v>
      </c>
      <c r="L48" s="11">
        <v>500</v>
      </c>
      <c r="M48" s="2">
        <v>10</v>
      </c>
      <c r="N48" s="2">
        <v>100</v>
      </c>
      <c r="O48" s="2">
        <f t="shared" si="1"/>
        <v>2</v>
      </c>
      <c r="P48" s="2">
        <v>5</v>
      </c>
      <c r="Q48" s="2">
        <v>5</v>
      </c>
      <c r="R48" s="2">
        <v>5.2</v>
      </c>
      <c r="S48" s="2">
        <v>5.2</v>
      </c>
      <c r="T48" s="2">
        <v>5.4</v>
      </c>
      <c r="U48" s="2">
        <v>5.4</v>
      </c>
      <c r="V48" s="3">
        <v>5</v>
      </c>
      <c r="W48" s="3">
        <v>5</v>
      </c>
      <c r="X48" s="3">
        <v>100</v>
      </c>
      <c r="Y48" s="3">
        <v>0</v>
      </c>
      <c r="Z48" s="3">
        <v>0</v>
      </c>
      <c r="AA48" s="3">
        <f t="shared" si="2"/>
        <v>10</v>
      </c>
      <c r="AB48" s="3">
        <v>0</v>
      </c>
      <c r="AC48" s="3">
        <f t="shared" si="3"/>
        <v>2</v>
      </c>
      <c r="AD48" s="3">
        <f t="shared" si="4"/>
        <v>5</v>
      </c>
      <c r="AE48" s="3">
        <f t="shared" si="5"/>
        <v>5</v>
      </c>
      <c r="AF48" s="3">
        <f t="shared" si="6"/>
        <v>5.2</v>
      </c>
      <c r="AG48" s="3">
        <f t="shared" si="7"/>
        <v>5.2</v>
      </c>
      <c r="AH48" s="3">
        <f t="shared" si="8"/>
        <v>5.4</v>
      </c>
      <c r="AI48" s="3">
        <f t="shared" si="9"/>
        <v>5.4</v>
      </c>
    </row>
    <row r="49" spans="1:35" x14ac:dyDescent="0.2">
      <c r="A49" s="1">
        <v>47</v>
      </c>
      <c r="B49" s="1" t="s">
        <v>117</v>
      </c>
      <c r="C49" s="1" t="s">
        <v>335</v>
      </c>
      <c r="D49" s="22">
        <v>15.2599</v>
      </c>
      <c r="E49" s="22">
        <v>53.8</v>
      </c>
      <c r="F49" s="1"/>
      <c r="G49" s="2">
        <v>5</v>
      </c>
      <c r="H49" s="2">
        <v>5</v>
      </c>
      <c r="I49" s="2">
        <f>SUMIFS(ProductionCapacities!$F$2:$F$51,ProductionCapacities!$E$2:$E$51,Nodes!B49)</f>
        <v>0</v>
      </c>
      <c r="J49" s="29">
        <v>1041.0509999999999</v>
      </c>
      <c r="K49" s="11">
        <v>500</v>
      </c>
      <c r="L49" s="11">
        <v>500</v>
      </c>
      <c r="M49" s="2">
        <v>10</v>
      </c>
      <c r="N49" s="2">
        <v>100</v>
      </c>
      <c r="O49" s="2">
        <f t="shared" si="1"/>
        <v>1.9990000000000001</v>
      </c>
      <c r="P49" s="2">
        <v>5</v>
      </c>
      <c r="Q49" s="2">
        <v>5</v>
      </c>
      <c r="R49" s="2">
        <v>5.2</v>
      </c>
      <c r="S49" s="2">
        <v>5.2</v>
      </c>
      <c r="T49" s="2">
        <v>5.4</v>
      </c>
      <c r="U49" s="2">
        <v>5.4</v>
      </c>
      <c r="V49" s="3">
        <v>5</v>
      </c>
      <c r="W49" s="3">
        <v>5</v>
      </c>
      <c r="X49" s="3">
        <v>100</v>
      </c>
      <c r="Y49" s="3">
        <v>0</v>
      </c>
      <c r="Z49" s="3">
        <v>0</v>
      </c>
      <c r="AA49" s="3">
        <f t="shared" si="2"/>
        <v>10</v>
      </c>
      <c r="AB49" s="3">
        <v>0</v>
      </c>
      <c r="AC49" s="3">
        <f t="shared" si="3"/>
        <v>1.9990000000000001</v>
      </c>
      <c r="AD49" s="3">
        <f t="shared" si="4"/>
        <v>5</v>
      </c>
      <c r="AE49" s="3">
        <f t="shared" si="5"/>
        <v>5</v>
      </c>
      <c r="AF49" s="3">
        <f t="shared" si="6"/>
        <v>5.2</v>
      </c>
      <c r="AG49" s="3">
        <f t="shared" si="7"/>
        <v>5.2</v>
      </c>
      <c r="AH49" s="3">
        <f t="shared" si="8"/>
        <v>5.4</v>
      </c>
      <c r="AI49" s="3">
        <f t="shared" si="9"/>
        <v>5.4</v>
      </c>
    </row>
    <row r="50" spans="1:35" x14ac:dyDescent="0.2">
      <c r="A50" s="1">
        <v>48</v>
      </c>
      <c r="B50" s="1" t="s">
        <v>103</v>
      </c>
      <c r="C50" s="1"/>
      <c r="D50" s="16">
        <v>2.254149831737414</v>
      </c>
      <c r="E50" s="16">
        <v>58.839405675350093</v>
      </c>
      <c r="F50" s="1" t="s">
        <v>322</v>
      </c>
      <c r="G50" s="2">
        <v>5</v>
      </c>
      <c r="H50" s="2">
        <v>5</v>
      </c>
      <c r="I50" s="2">
        <f>SUMIFS(ProductionCapacities!$F$2:$F$51,ProductionCapacities!$E$2:$E$51,Nodes!B50)</f>
        <v>0</v>
      </c>
      <c r="J50" s="2">
        <v>0</v>
      </c>
      <c r="K50" s="11">
        <v>500</v>
      </c>
      <c r="L50" s="11">
        <v>500</v>
      </c>
      <c r="M50" s="2">
        <v>10</v>
      </c>
      <c r="N50" s="2">
        <v>100</v>
      </c>
      <c r="O50" s="2">
        <f t="shared" si="1"/>
        <v>2</v>
      </c>
      <c r="P50" s="2">
        <v>5</v>
      </c>
      <c r="Q50" s="2">
        <v>5</v>
      </c>
      <c r="R50" s="2">
        <v>5.2</v>
      </c>
      <c r="S50" s="2">
        <v>5.2</v>
      </c>
      <c r="T50" s="2">
        <v>5.4</v>
      </c>
      <c r="U50" s="2">
        <v>5.4</v>
      </c>
      <c r="V50" s="3">
        <v>5</v>
      </c>
      <c r="W50" s="3">
        <v>5</v>
      </c>
      <c r="X50" s="3">
        <v>100</v>
      </c>
      <c r="Y50" s="3">
        <v>0</v>
      </c>
      <c r="Z50" s="3">
        <v>0</v>
      </c>
      <c r="AA50" s="3">
        <f t="shared" si="2"/>
        <v>10</v>
      </c>
      <c r="AB50" s="3">
        <v>0</v>
      </c>
      <c r="AC50" s="3">
        <f t="shared" si="3"/>
        <v>2</v>
      </c>
      <c r="AD50" s="3">
        <f t="shared" si="4"/>
        <v>5</v>
      </c>
      <c r="AE50" s="3">
        <f t="shared" si="5"/>
        <v>5</v>
      </c>
      <c r="AF50" s="3">
        <f t="shared" si="6"/>
        <v>5.2</v>
      </c>
      <c r="AG50" s="3">
        <f t="shared" si="7"/>
        <v>5.2</v>
      </c>
      <c r="AH50" s="3">
        <f t="shared" si="8"/>
        <v>5.4</v>
      </c>
      <c r="AI50" s="3">
        <f t="shared" si="9"/>
        <v>5.4</v>
      </c>
    </row>
    <row r="51" spans="1:35" x14ac:dyDescent="0.2">
      <c r="A51" s="1">
        <v>49</v>
      </c>
      <c r="B51" s="1" t="s">
        <v>76</v>
      </c>
      <c r="C51" s="1"/>
      <c r="D51" s="16">
        <v>7.6558328198016818</v>
      </c>
      <c r="E51" s="16">
        <v>65.693743899121472</v>
      </c>
      <c r="F51" s="1" t="s">
        <v>322</v>
      </c>
      <c r="G51" s="2">
        <v>5</v>
      </c>
      <c r="H51" s="2">
        <v>5</v>
      </c>
      <c r="I51" s="2">
        <f>SUMIFS(ProductionCapacities!$F$2:$F$51,ProductionCapacities!$E$2:$E$51,Nodes!B51)</f>
        <v>8.8860904109589036</v>
      </c>
      <c r="J51" s="2">
        <v>48.064999999999998</v>
      </c>
      <c r="K51" s="11">
        <v>500</v>
      </c>
      <c r="L51" s="11">
        <v>500</v>
      </c>
      <c r="M51" s="2">
        <v>10</v>
      </c>
      <c r="N51" s="2">
        <v>100</v>
      </c>
      <c r="O51" s="2">
        <f t="shared" si="1"/>
        <v>2</v>
      </c>
      <c r="P51" s="2">
        <v>5</v>
      </c>
      <c r="Q51" s="2">
        <v>5</v>
      </c>
      <c r="R51" s="2">
        <v>5.2</v>
      </c>
      <c r="S51" s="2">
        <v>5.2</v>
      </c>
      <c r="T51" s="2">
        <v>5.4</v>
      </c>
      <c r="U51" s="2">
        <v>5.4</v>
      </c>
      <c r="V51" s="3">
        <v>5</v>
      </c>
      <c r="W51" s="3">
        <v>5</v>
      </c>
      <c r="X51" s="3">
        <v>100</v>
      </c>
      <c r="Y51" s="3">
        <v>0</v>
      </c>
      <c r="Z51" s="3">
        <v>0</v>
      </c>
      <c r="AA51" s="3">
        <f t="shared" si="2"/>
        <v>10</v>
      </c>
      <c r="AB51" s="3">
        <v>0</v>
      </c>
      <c r="AC51" s="3">
        <f t="shared" si="3"/>
        <v>2</v>
      </c>
      <c r="AD51" s="3">
        <f t="shared" si="4"/>
        <v>5</v>
      </c>
      <c r="AE51" s="3">
        <f t="shared" si="5"/>
        <v>5</v>
      </c>
      <c r="AF51" s="3">
        <f t="shared" si="6"/>
        <v>5.2</v>
      </c>
      <c r="AG51" s="3">
        <f t="shared" si="7"/>
        <v>5.2</v>
      </c>
      <c r="AH51" s="3">
        <f t="shared" si="8"/>
        <v>5.4</v>
      </c>
      <c r="AI51" s="3">
        <f t="shared" si="9"/>
        <v>5.4</v>
      </c>
    </row>
    <row r="52" spans="1:35" x14ac:dyDescent="0.2">
      <c r="A52" s="1">
        <v>50</v>
      </c>
      <c r="B52" s="1" t="s">
        <v>104</v>
      </c>
      <c r="C52" s="1"/>
      <c r="D52" s="22">
        <v>1.898765933579508</v>
      </c>
      <c r="E52" s="22">
        <v>58.370533807717997</v>
      </c>
      <c r="F52" s="1"/>
      <c r="G52" s="2">
        <v>5</v>
      </c>
      <c r="H52" s="2">
        <v>5</v>
      </c>
      <c r="I52" s="2">
        <f>SUMIFS(ProductionCapacities!$F$2:$F$51,ProductionCapacities!$E$2:$E$51,Nodes!B52)</f>
        <v>10.928873972602741</v>
      </c>
      <c r="J52" s="2">
        <v>291.70999999999998</v>
      </c>
      <c r="K52" s="11">
        <v>500</v>
      </c>
      <c r="L52" s="11">
        <v>500</v>
      </c>
      <c r="M52" s="2">
        <v>10</v>
      </c>
      <c r="N52" s="2">
        <v>100</v>
      </c>
      <c r="O52" s="2">
        <f t="shared" si="1"/>
        <v>2</v>
      </c>
      <c r="P52" s="2">
        <v>5</v>
      </c>
      <c r="Q52" s="2">
        <v>5</v>
      </c>
      <c r="R52" s="2">
        <v>5.2</v>
      </c>
      <c r="S52" s="2">
        <v>5.2</v>
      </c>
      <c r="T52" s="2">
        <v>5.4</v>
      </c>
      <c r="U52" s="2">
        <v>5.4</v>
      </c>
      <c r="V52" s="3">
        <v>5</v>
      </c>
      <c r="W52" s="3">
        <v>5</v>
      </c>
      <c r="X52" s="3">
        <v>100</v>
      </c>
      <c r="Y52" s="3">
        <v>0</v>
      </c>
      <c r="Z52" s="3">
        <v>0</v>
      </c>
      <c r="AA52" s="3">
        <f t="shared" si="2"/>
        <v>10</v>
      </c>
      <c r="AB52" s="3">
        <v>0</v>
      </c>
      <c r="AC52" s="3">
        <f t="shared" si="3"/>
        <v>2</v>
      </c>
      <c r="AD52" s="3">
        <f t="shared" si="4"/>
        <v>5</v>
      </c>
      <c r="AE52" s="3">
        <f t="shared" si="5"/>
        <v>5</v>
      </c>
      <c r="AF52" s="3">
        <f t="shared" si="6"/>
        <v>5.2</v>
      </c>
      <c r="AG52" s="3">
        <f t="shared" si="7"/>
        <v>5.2</v>
      </c>
      <c r="AH52" s="3">
        <f t="shared" si="8"/>
        <v>5.4</v>
      </c>
      <c r="AI52" s="3">
        <f t="shared" si="9"/>
        <v>5.4</v>
      </c>
    </row>
    <row r="53" spans="1:35" x14ac:dyDescent="0.2">
      <c r="A53" s="1">
        <v>51</v>
      </c>
      <c r="B53" s="1" t="s">
        <v>105</v>
      </c>
      <c r="C53" s="1"/>
      <c r="D53" s="22">
        <v>1.915866396996226</v>
      </c>
      <c r="E53" s="22">
        <v>58.364944173837479</v>
      </c>
      <c r="F53" s="1"/>
      <c r="G53" s="2">
        <v>5</v>
      </c>
      <c r="H53" s="2">
        <v>5</v>
      </c>
      <c r="I53" s="2">
        <f>SUMIFS(ProductionCapacities!$F$2:$F$51,ProductionCapacities!$E$2:$E$51,Nodes!B53)</f>
        <v>0</v>
      </c>
      <c r="J53" s="2">
        <v>1.974</v>
      </c>
      <c r="K53" s="11">
        <v>500</v>
      </c>
      <c r="L53" s="11">
        <v>500</v>
      </c>
      <c r="M53" s="2">
        <v>10</v>
      </c>
      <c r="N53" s="2">
        <v>100</v>
      </c>
      <c r="O53" s="2">
        <f t="shared" si="1"/>
        <v>2</v>
      </c>
      <c r="P53" s="2">
        <v>5</v>
      </c>
      <c r="Q53" s="2">
        <v>5</v>
      </c>
      <c r="R53" s="2">
        <v>5.2</v>
      </c>
      <c r="S53" s="2">
        <v>5.2</v>
      </c>
      <c r="T53" s="2">
        <v>5.4</v>
      </c>
      <c r="U53" s="2">
        <v>5.4</v>
      </c>
      <c r="V53" s="3">
        <v>5</v>
      </c>
      <c r="W53" s="3">
        <v>5</v>
      </c>
      <c r="X53" s="3">
        <v>100</v>
      </c>
      <c r="Y53" s="3">
        <v>0</v>
      </c>
      <c r="Z53" s="3">
        <v>0</v>
      </c>
      <c r="AA53" s="3">
        <f t="shared" si="2"/>
        <v>10</v>
      </c>
      <c r="AB53" s="3">
        <v>0</v>
      </c>
      <c r="AC53" s="3">
        <f t="shared" si="3"/>
        <v>2</v>
      </c>
      <c r="AD53" s="3">
        <f t="shared" si="4"/>
        <v>5</v>
      </c>
      <c r="AE53" s="3">
        <f t="shared" si="5"/>
        <v>5</v>
      </c>
      <c r="AF53" s="3">
        <f t="shared" si="6"/>
        <v>5.2</v>
      </c>
      <c r="AG53" s="3">
        <f t="shared" si="7"/>
        <v>5.2</v>
      </c>
      <c r="AH53" s="3">
        <f t="shared" si="8"/>
        <v>5.4</v>
      </c>
      <c r="AI53" s="3">
        <f t="shared" si="9"/>
        <v>5.4</v>
      </c>
    </row>
    <row r="54" spans="1:35" x14ac:dyDescent="0.2">
      <c r="A54" s="1">
        <v>52</v>
      </c>
      <c r="B54" s="1" t="s">
        <v>109</v>
      </c>
      <c r="C54" s="1" t="s">
        <v>335</v>
      </c>
      <c r="D54" s="22">
        <v>-1.8256509999999999</v>
      </c>
      <c r="E54" s="22">
        <v>57.579971</v>
      </c>
      <c r="F54" s="1"/>
      <c r="G54" s="2">
        <v>5</v>
      </c>
      <c r="H54" s="2">
        <v>5</v>
      </c>
      <c r="I54" s="2">
        <f>SUMIFS(ProductionCapacities!$F$2:$F$51,ProductionCapacities!$E$2:$E$51,Nodes!B54)</f>
        <v>0</v>
      </c>
      <c r="J54" s="2">
        <v>0</v>
      </c>
      <c r="K54" s="11">
        <v>500</v>
      </c>
      <c r="L54" s="11">
        <v>500</v>
      </c>
      <c r="M54" s="2">
        <v>10</v>
      </c>
      <c r="N54" s="2">
        <v>100</v>
      </c>
      <c r="O54" s="2">
        <f t="shared" si="1"/>
        <v>1.9990000000000001</v>
      </c>
      <c r="P54" s="2">
        <v>5</v>
      </c>
      <c r="Q54" s="2">
        <v>5</v>
      </c>
      <c r="R54" s="2">
        <v>5.2</v>
      </c>
      <c r="S54" s="2">
        <v>5.2</v>
      </c>
      <c r="T54" s="2">
        <v>5.4</v>
      </c>
      <c r="U54" s="2">
        <v>5.4</v>
      </c>
      <c r="V54" s="3">
        <v>5</v>
      </c>
      <c r="W54" s="3">
        <v>5</v>
      </c>
      <c r="X54" s="3">
        <v>100</v>
      </c>
      <c r="Y54" s="3">
        <v>0</v>
      </c>
      <c r="Z54" s="3">
        <v>0</v>
      </c>
      <c r="AA54" s="3">
        <f t="shared" si="2"/>
        <v>10</v>
      </c>
      <c r="AB54" s="3">
        <v>0</v>
      </c>
      <c r="AC54" s="3">
        <f t="shared" si="3"/>
        <v>1.9990000000000001</v>
      </c>
      <c r="AD54" s="3">
        <f t="shared" si="4"/>
        <v>5</v>
      </c>
      <c r="AE54" s="3">
        <f t="shared" si="5"/>
        <v>5</v>
      </c>
      <c r="AF54" s="3">
        <f t="shared" si="6"/>
        <v>5.2</v>
      </c>
      <c r="AG54" s="3">
        <f t="shared" si="7"/>
        <v>5.2</v>
      </c>
      <c r="AH54" s="3">
        <f t="shared" si="8"/>
        <v>5.4</v>
      </c>
      <c r="AI54" s="3">
        <f t="shared" si="9"/>
        <v>5.4</v>
      </c>
    </row>
    <row r="55" spans="1:35" x14ac:dyDescent="0.2">
      <c r="A55" s="1">
        <v>53</v>
      </c>
      <c r="B55" s="1" t="s">
        <v>86</v>
      </c>
      <c r="C55" s="1"/>
      <c r="D55" s="16">
        <v>1.845936000000052</v>
      </c>
      <c r="E55" s="16">
        <v>61.185830000000067</v>
      </c>
      <c r="F55" s="1"/>
      <c r="G55" s="2">
        <v>5</v>
      </c>
      <c r="H55" s="2">
        <v>5</v>
      </c>
      <c r="I55" s="2">
        <f>SUMIFS(ProductionCapacities!$F$2:$F$51,ProductionCapacities!$E$2:$E$51,Nodes!B55)</f>
        <v>0</v>
      </c>
      <c r="J55" s="2">
        <v>0</v>
      </c>
      <c r="K55" s="11">
        <v>500</v>
      </c>
      <c r="L55" s="11">
        <v>500</v>
      </c>
      <c r="M55" s="2">
        <v>10</v>
      </c>
      <c r="N55" s="2">
        <v>100</v>
      </c>
      <c r="O55" s="2">
        <f t="shared" si="1"/>
        <v>2</v>
      </c>
      <c r="P55" s="2">
        <v>5</v>
      </c>
      <c r="Q55" s="2">
        <v>5</v>
      </c>
      <c r="R55" s="2">
        <v>5.2</v>
      </c>
      <c r="S55" s="2">
        <v>5.2</v>
      </c>
      <c r="T55" s="2">
        <v>5.4</v>
      </c>
      <c r="U55" s="2">
        <v>5.4</v>
      </c>
      <c r="V55" s="3">
        <v>5</v>
      </c>
      <c r="W55" s="3">
        <v>5</v>
      </c>
      <c r="X55" s="3">
        <v>100</v>
      </c>
      <c r="Y55" s="3">
        <v>0</v>
      </c>
      <c r="Z55" s="3">
        <v>0</v>
      </c>
      <c r="AA55" s="3">
        <f t="shared" si="2"/>
        <v>10</v>
      </c>
      <c r="AB55" s="3">
        <v>0</v>
      </c>
      <c r="AC55" s="3">
        <f t="shared" si="3"/>
        <v>2</v>
      </c>
      <c r="AD55" s="3">
        <f t="shared" si="4"/>
        <v>5</v>
      </c>
      <c r="AE55" s="3">
        <f t="shared" si="5"/>
        <v>5</v>
      </c>
      <c r="AF55" s="3">
        <f t="shared" si="6"/>
        <v>5.2</v>
      </c>
      <c r="AG55" s="3">
        <f t="shared" si="7"/>
        <v>5.2</v>
      </c>
      <c r="AH55" s="3">
        <f t="shared" si="8"/>
        <v>5.4</v>
      </c>
      <c r="AI55" s="3">
        <f t="shared" si="9"/>
        <v>5.4</v>
      </c>
    </row>
    <row r="56" spans="1:35" x14ac:dyDescent="0.2">
      <c r="A56" s="1">
        <v>54</v>
      </c>
      <c r="B56" s="1" t="s">
        <v>85</v>
      </c>
      <c r="C56" s="1"/>
      <c r="D56" s="16">
        <v>1.8315257775840801</v>
      </c>
      <c r="E56" s="16">
        <v>61.20244504760155</v>
      </c>
      <c r="F56" s="1"/>
      <c r="G56" s="2">
        <v>5</v>
      </c>
      <c r="H56" s="2">
        <v>5</v>
      </c>
      <c r="I56" s="2">
        <f>SUMIFS(ProductionCapacities!$F$2:$F$51,ProductionCapacities!$E$2:$E$51,Nodes!B56)</f>
        <v>16.026747945205479</v>
      </c>
      <c r="J56" s="2">
        <v>0</v>
      </c>
      <c r="K56" s="11">
        <v>500</v>
      </c>
      <c r="L56" s="11">
        <v>500</v>
      </c>
      <c r="M56" s="2">
        <v>10</v>
      </c>
      <c r="N56" s="2">
        <v>100</v>
      </c>
      <c r="O56" s="2">
        <f t="shared" si="1"/>
        <v>2</v>
      </c>
      <c r="P56" s="2">
        <v>5</v>
      </c>
      <c r="Q56" s="2">
        <v>5</v>
      </c>
      <c r="R56" s="2">
        <v>5.2</v>
      </c>
      <c r="S56" s="2">
        <v>5.2</v>
      </c>
      <c r="T56" s="2">
        <v>5.4</v>
      </c>
      <c r="U56" s="2">
        <v>5.4</v>
      </c>
      <c r="V56" s="3">
        <v>5</v>
      </c>
      <c r="W56" s="3">
        <v>5</v>
      </c>
      <c r="X56" s="3">
        <v>100</v>
      </c>
      <c r="Y56" s="3">
        <v>0</v>
      </c>
      <c r="Z56" s="3">
        <v>0</v>
      </c>
      <c r="AA56" s="3">
        <f t="shared" si="2"/>
        <v>10</v>
      </c>
      <c r="AB56" s="3">
        <v>0</v>
      </c>
      <c r="AC56" s="3">
        <f t="shared" si="3"/>
        <v>2</v>
      </c>
      <c r="AD56" s="3">
        <f t="shared" si="4"/>
        <v>5</v>
      </c>
      <c r="AE56" s="3">
        <f t="shared" si="5"/>
        <v>5</v>
      </c>
      <c r="AF56" s="3">
        <f t="shared" si="6"/>
        <v>5.2</v>
      </c>
      <c r="AG56" s="3">
        <f t="shared" si="7"/>
        <v>5.2</v>
      </c>
      <c r="AH56" s="3">
        <f t="shared" si="8"/>
        <v>5.4</v>
      </c>
      <c r="AI56" s="3">
        <f t="shared" si="9"/>
        <v>5.4</v>
      </c>
    </row>
    <row r="57" spans="1:35" x14ac:dyDescent="0.2">
      <c r="A57" s="1">
        <v>55</v>
      </c>
      <c r="B57" s="1" t="s">
        <v>115</v>
      </c>
      <c r="C57" s="1" t="s">
        <v>335</v>
      </c>
      <c r="D57" s="22">
        <v>-1.104584</v>
      </c>
      <c r="E57" s="22">
        <v>54.624600000000001</v>
      </c>
      <c r="F57" s="1"/>
      <c r="G57" s="2">
        <v>5</v>
      </c>
      <c r="H57" s="2">
        <v>5</v>
      </c>
      <c r="I57" s="2">
        <f>SUMIFS(ProductionCapacities!$F$2:$F$51,ProductionCapacities!$E$2:$E$51,Nodes!B57)</f>
        <v>0</v>
      </c>
      <c r="J57" s="2">
        <v>222.233</v>
      </c>
      <c r="K57" s="11">
        <v>500</v>
      </c>
      <c r="L57" s="11">
        <v>500</v>
      </c>
      <c r="M57" s="2">
        <v>10</v>
      </c>
      <c r="N57" s="2">
        <v>100</v>
      </c>
      <c r="O57" s="2">
        <f t="shared" si="1"/>
        <v>1.9990000000000001</v>
      </c>
      <c r="P57" s="2">
        <v>5</v>
      </c>
      <c r="Q57" s="2">
        <v>5</v>
      </c>
      <c r="R57" s="2">
        <v>5.2</v>
      </c>
      <c r="S57" s="2">
        <v>5.2</v>
      </c>
      <c r="T57" s="2">
        <v>5.4</v>
      </c>
      <c r="U57" s="2">
        <v>5.4</v>
      </c>
      <c r="V57" s="3">
        <v>5</v>
      </c>
      <c r="W57" s="3">
        <v>5</v>
      </c>
      <c r="X57" s="3">
        <v>100</v>
      </c>
      <c r="Y57" s="3">
        <v>0</v>
      </c>
      <c r="Z57" s="3">
        <v>0</v>
      </c>
      <c r="AA57" s="3">
        <f t="shared" si="2"/>
        <v>10</v>
      </c>
      <c r="AB57" s="3">
        <v>0</v>
      </c>
      <c r="AC57" s="3">
        <f t="shared" si="3"/>
        <v>1.9990000000000001</v>
      </c>
      <c r="AD57" s="3">
        <f t="shared" si="4"/>
        <v>5</v>
      </c>
      <c r="AE57" s="3">
        <f t="shared" si="5"/>
        <v>5</v>
      </c>
      <c r="AF57" s="3">
        <f t="shared" si="6"/>
        <v>5.2</v>
      </c>
      <c r="AG57" s="3">
        <f t="shared" si="7"/>
        <v>5.2</v>
      </c>
      <c r="AH57" s="3">
        <f t="shared" si="8"/>
        <v>5.4</v>
      </c>
      <c r="AI57" s="3">
        <f t="shared" si="9"/>
        <v>5.4</v>
      </c>
    </row>
    <row r="58" spans="1:35" x14ac:dyDescent="0.2">
      <c r="A58" s="1">
        <v>56</v>
      </c>
      <c r="B58" s="1" t="s">
        <v>83</v>
      </c>
      <c r="C58" s="1"/>
      <c r="D58" s="16">
        <v>8.6582155394689266</v>
      </c>
      <c r="E58" s="16">
        <v>63.398890962560763</v>
      </c>
      <c r="F58" s="1" t="s">
        <v>322</v>
      </c>
      <c r="G58" s="2">
        <v>5</v>
      </c>
      <c r="H58" s="2">
        <v>5</v>
      </c>
      <c r="I58" s="2">
        <f>SUMIFS(ProductionCapacities!$F$2:$F$51,ProductionCapacities!$E$2:$E$51,Nodes!B58)</f>
        <v>0</v>
      </c>
      <c r="J58" s="2">
        <v>0</v>
      </c>
      <c r="K58" s="11">
        <v>500</v>
      </c>
      <c r="L58" s="11">
        <v>500</v>
      </c>
      <c r="M58" s="2">
        <v>10</v>
      </c>
      <c r="N58" s="2">
        <v>100</v>
      </c>
      <c r="O58" s="2">
        <f t="shared" si="1"/>
        <v>2</v>
      </c>
      <c r="P58" s="2">
        <v>5</v>
      </c>
      <c r="Q58" s="2">
        <v>5</v>
      </c>
      <c r="R58" s="2">
        <v>5.2</v>
      </c>
      <c r="S58" s="2">
        <v>5.2</v>
      </c>
      <c r="T58" s="2">
        <v>5.4</v>
      </c>
      <c r="U58" s="2">
        <v>5.4</v>
      </c>
      <c r="V58" s="3">
        <v>5</v>
      </c>
      <c r="W58" s="3">
        <v>5</v>
      </c>
      <c r="X58" s="3">
        <v>100</v>
      </c>
      <c r="Y58" s="3">
        <v>0</v>
      </c>
      <c r="Z58" s="3">
        <v>0</v>
      </c>
      <c r="AA58" s="3">
        <f t="shared" si="2"/>
        <v>10</v>
      </c>
      <c r="AB58" s="3">
        <v>0</v>
      </c>
      <c r="AC58" s="3">
        <f t="shared" si="3"/>
        <v>2</v>
      </c>
      <c r="AD58" s="3">
        <f t="shared" si="4"/>
        <v>5</v>
      </c>
      <c r="AE58" s="3">
        <f t="shared" si="5"/>
        <v>5</v>
      </c>
      <c r="AF58" s="3">
        <f t="shared" si="6"/>
        <v>5.2</v>
      </c>
      <c r="AG58" s="3">
        <f t="shared" si="7"/>
        <v>5.2</v>
      </c>
      <c r="AH58" s="3">
        <f t="shared" si="8"/>
        <v>5.4</v>
      </c>
      <c r="AI58" s="3">
        <f t="shared" si="9"/>
        <v>5.4</v>
      </c>
    </row>
    <row r="59" spans="1:35" x14ac:dyDescent="0.2">
      <c r="A59" s="1">
        <v>57</v>
      </c>
      <c r="B59" s="1" t="s">
        <v>90</v>
      </c>
      <c r="C59" s="1"/>
      <c r="D59" s="16">
        <v>4.835830000000044</v>
      </c>
      <c r="E59" s="16">
        <v>60.550175000000081</v>
      </c>
      <c r="F59" s="1"/>
      <c r="G59" s="2">
        <v>5</v>
      </c>
      <c r="H59" s="2">
        <v>5</v>
      </c>
      <c r="I59" s="2">
        <f>SUMIFS(ProductionCapacities!$F$2:$F$51,ProductionCapacities!$E$2:$E$51,Nodes!B59)</f>
        <v>99.237736986301371</v>
      </c>
      <c r="J59" s="2">
        <v>2628.125</v>
      </c>
      <c r="K59" s="11">
        <v>500</v>
      </c>
      <c r="L59" s="11">
        <v>500</v>
      </c>
      <c r="M59" s="2">
        <v>10</v>
      </c>
      <c r="N59" s="2">
        <v>100</v>
      </c>
      <c r="O59" s="2">
        <f t="shared" si="1"/>
        <v>2</v>
      </c>
      <c r="P59" s="2">
        <v>5</v>
      </c>
      <c r="Q59" s="2">
        <v>5</v>
      </c>
      <c r="R59" s="2">
        <v>5.2</v>
      </c>
      <c r="S59" s="2">
        <v>5.2</v>
      </c>
      <c r="T59" s="2">
        <v>5.4</v>
      </c>
      <c r="U59" s="2">
        <v>5.4</v>
      </c>
      <c r="V59" s="3">
        <v>5</v>
      </c>
      <c r="W59" s="3">
        <v>5</v>
      </c>
      <c r="X59" s="3">
        <v>100</v>
      </c>
      <c r="Y59" s="3">
        <v>0</v>
      </c>
      <c r="Z59" s="3">
        <v>0</v>
      </c>
      <c r="AA59" s="3">
        <f t="shared" si="2"/>
        <v>10</v>
      </c>
      <c r="AB59" s="3">
        <v>0</v>
      </c>
      <c r="AC59" s="3">
        <f t="shared" si="3"/>
        <v>2</v>
      </c>
      <c r="AD59" s="3">
        <f t="shared" si="4"/>
        <v>5</v>
      </c>
      <c r="AE59" s="3">
        <f t="shared" si="5"/>
        <v>5</v>
      </c>
      <c r="AF59" s="3">
        <f t="shared" si="6"/>
        <v>5.2</v>
      </c>
      <c r="AG59" s="3">
        <f t="shared" si="7"/>
        <v>5.2</v>
      </c>
      <c r="AH59" s="3">
        <f t="shared" si="8"/>
        <v>5.4</v>
      </c>
      <c r="AI59" s="3">
        <f t="shared" si="9"/>
        <v>5.4</v>
      </c>
    </row>
    <row r="60" spans="1:35" x14ac:dyDescent="0.2">
      <c r="A60" s="1">
        <v>58</v>
      </c>
      <c r="B60" s="1" t="s">
        <v>121</v>
      </c>
      <c r="C60" s="1" t="s">
        <v>335</v>
      </c>
      <c r="D60" s="22">
        <v>3.229797000000076</v>
      </c>
      <c r="E60" s="22">
        <v>51.350508000000048</v>
      </c>
      <c r="F60" s="1"/>
      <c r="G60" s="2">
        <v>5</v>
      </c>
      <c r="H60" s="2">
        <v>5</v>
      </c>
      <c r="I60" s="2">
        <f>SUMIFS(ProductionCapacities!$F$2:$F$51,ProductionCapacities!$E$2:$E$51,Nodes!B60)</f>
        <v>0</v>
      </c>
      <c r="J60" s="2">
        <v>48.064999999999998</v>
      </c>
      <c r="K60" s="11">
        <v>500</v>
      </c>
      <c r="L60" s="11">
        <v>500</v>
      </c>
      <c r="M60" s="2">
        <v>10</v>
      </c>
      <c r="N60" s="2">
        <v>100</v>
      </c>
      <c r="O60" s="2">
        <f t="shared" si="1"/>
        <v>1.9990000000000001</v>
      </c>
      <c r="P60" s="2">
        <v>5</v>
      </c>
      <c r="Q60" s="2">
        <v>5</v>
      </c>
      <c r="R60" s="2">
        <v>5.2</v>
      </c>
      <c r="S60" s="2">
        <v>5.2</v>
      </c>
      <c r="T60" s="2">
        <v>5.4</v>
      </c>
      <c r="U60" s="2">
        <v>5.4</v>
      </c>
      <c r="V60" s="3">
        <v>5</v>
      </c>
      <c r="W60" s="3">
        <v>5</v>
      </c>
      <c r="X60" s="3">
        <v>100</v>
      </c>
      <c r="Y60" s="3">
        <v>0</v>
      </c>
      <c r="Z60" s="3">
        <v>0</v>
      </c>
      <c r="AA60" s="3">
        <f t="shared" si="2"/>
        <v>10</v>
      </c>
      <c r="AB60" s="3">
        <v>0</v>
      </c>
      <c r="AC60" s="3">
        <f t="shared" si="3"/>
        <v>1.9990000000000001</v>
      </c>
      <c r="AD60" s="3">
        <f t="shared" si="4"/>
        <v>5</v>
      </c>
      <c r="AE60" s="3">
        <f t="shared" si="5"/>
        <v>5</v>
      </c>
      <c r="AF60" s="3">
        <f t="shared" si="6"/>
        <v>5.2</v>
      </c>
      <c r="AG60" s="3">
        <f t="shared" si="7"/>
        <v>5.2</v>
      </c>
      <c r="AH60" s="3">
        <f t="shared" si="8"/>
        <v>5.4</v>
      </c>
      <c r="AI60" s="3">
        <f t="shared" si="9"/>
        <v>5.4</v>
      </c>
    </row>
    <row r="61" spans="1:35" x14ac:dyDescent="0.2">
      <c r="A61" s="1">
        <v>59</v>
      </c>
      <c r="B61" s="1" t="s">
        <v>114</v>
      </c>
      <c r="C61" s="1"/>
      <c r="D61" s="22">
        <v>3.2998160000000212</v>
      </c>
      <c r="E61" s="22">
        <v>54.789494000000047</v>
      </c>
      <c r="F61" s="1"/>
      <c r="G61" s="2">
        <v>5</v>
      </c>
      <c r="H61" s="2">
        <v>5</v>
      </c>
      <c r="I61" s="2">
        <f>SUMIFS(ProductionCapacities!$F$2:$F$51,ProductionCapacities!$E$2:$E$51,Nodes!B61)</f>
        <v>0</v>
      </c>
      <c r="J61" s="2">
        <v>0</v>
      </c>
      <c r="K61" s="11">
        <v>500</v>
      </c>
      <c r="L61" s="11">
        <v>500</v>
      </c>
      <c r="M61" s="2">
        <v>10</v>
      </c>
      <c r="N61" s="2">
        <v>100</v>
      </c>
      <c r="O61" s="2">
        <f t="shared" si="1"/>
        <v>2</v>
      </c>
      <c r="P61" s="2">
        <v>5</v>
      </c>
      <c r="Q61" s="2">
        <v>5</v>
      </c>
      <c r="R61" s="2">
        <v>5.2</v>
      </c>
      <c r="S61" s="2">
        <v>5.2</v>
      </c>
      <c r="T61" s="2">
        <v>5.4</v>
      </c>
      <c r="U61" s="2">
        <v>5.4</v>
      </c>
      <c r="V61" s="3">
        <v>5</v>
      </c>
      <c r="W61" s="3">
        <v>5</v>
      </c>
      <c r="X61" s="3">
        <v>100</v>
      </c>
      <c r="Y61" s="3">
        <v>0</v>
      </c>
      <c r="Z61" s="3">
        <v>0</v>
      </c>
      <c r="AA61" s="3">
        <f t="shared" si="2"/>
        <v>10</v>
      </c>
      <c r="AB61" s="3">
        <v>0</v>
      </c>
      <c r="AC61" s="3">
        <f t="shared" si="3"/>
        <v>2</v>
      </c>
      <c r="AD61" s="3">
        <f t="shared" si="4"/>
        <v>5</v>
      </c>
      <c r="AE61" s="3">
        <f t="shared" si="5"/>
        <v>5</v>
      </c>
      <c r="AF61" s="3">
        <f t="shared" si="6"/>
        <v>5.2</v>
      </c>
      <c r="AG61" s="3">
        <f t="shared" si="7"/>
        <v>5.2</v>
      </c>
      <c r="AH61" s="3">
        <f t="shared" si="8"/>
        <v>5.4</v>
      </c>
      <c r="AI61" s="3">
        <f t="shared" si="9"/>
        <v>5.4</v>
      </c>
    </row>
    <row r="64" spans="1:35" x14ac:dyDescent="0.2">
      <c r="H64" t="s">
        <v>323</v>
      </c>
      <c r="I64">
        <f>SUM(I3:I61)-SUMIF(F3:F61,"Los",I3:I61)</f>
        <v>272.52532054794517</v>
      </c>
      <c r="J64" t="s">
        <v>216</v>
      </c>
    </row>
  </sheetData>
  <autoFilter ref="A2:AI61" xr:uid="{DA3F5746-A1B1-6F4F-9762-CACD4A91B5F2}">
    <sortState xmlns:xlrd2="http://schemas.microsoft.com/office/spreadsheetml/2017/richdata2" ref="A3:AI61">
      <sortCondition ref="B2:B61"/>
    </sortState>
  </autoFilter>
  <mergeCells count="2">
    <mergeCell ref="G1:U1"/>
    <mergeCell ref="V1:AI1"/>
  </mergeCells>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5E03E-FBB7-334A-A23D-60160D8DDD28}">
  <dimension ref="A1:Q28"/>
  <sheetViews>
    <sheetView zoomScale="160" zoomScaleNormal="160" workbookViewId="0">
      <selection activeCell="E9" sqref="E9"/>
    </sheetView>
  </sheetViews>
  <sheetFormatPr baseColWidth="10" defaultRowHeight="16" x14ac:dyDescent="0.2"/>
  <cols>
    <col min="8" max="8" width="12.1640625" bestFit="1" customWidth="1"/>
  </cols>
  <sheetData>
    <row r="1" spans="1:17" x14ac:dyDescent="0.2">
      <c r="A1" s="4" t="s">
        <v>32</v>
      </c>
      <c r="B1" s="58">
        <v>1</v>
      </c>
      <c r="C1" s="58"/>
      <c r="D1" s="58"/>
      <c r="E1" s="58"/>
      <c r="F1" s="58"/>
      <c r="G1" s="58"/>
      <c r="H1" s="58"/>
      <c r="I1" s="58"/>
      <c r="J1" s="58"/>
      <c r="K1" s="58"/>
      <c r="L1" s="58"/>
      <c r="M1" s="58"/>
      <c r="N1" s="58"/>
      <c r="O1" s="58"/>
      <c r="P1" s="58"/>
      <c r="Q1" s="58"/>
    </row>
    <row r="2" spans="1:17" x14ac:dyDescent="0.2">
      <c r="A2" s="4" t="s">
        <v>26</v>
      </c>
      <c r="B2" s="58">
        <v>1</v>
      </c>
      <c r="C2" s="58"/>
      <c r="D2" s="58"/>
      <c r="E2" s="58"/>
      <c r="F2" s="58"/>
      <c r="G2" s="58"/>
      <c r="H2" s="58"/>
      <c r="I2" s="58"/>
      <c r="J2" s="58"/>
      <c r="K2" s="58"/>
      <c r="L2" s="58"/>
      <c r="M2" s="58"/>
      <c r="N2" s="58"/>
      <c r="O2" s="58"/>
      <c r="P2" s="58"/>
      <c r="Q2" s="58"/>
    </row>
    <row r="3" spans="1:17" x14ac:dyDescent="0.2">
      <c r="A3" s="4"/>
      <c r="B3" s="59" t="s">
        <v>27</v>
      </c>
      <c r="C3" s="59"/>
      <c r="D3" s="59"/>
      <c r="E3" s="59"/>
      <c r="F3" s="59"/>
      <c r="G3" s="59"/>
      <c r="H3" s="59"/>
      <c r="I3" s="59"/>
      <c r="J3" s="60" t="s">
        <v>28</v>
      </c>
      <c r="K3" s="60"/>
      <c r="L3" s="60"/>
      <c r="M3" s="60"/>
      <c r="N3" s="60"/>
      <c r="O3" s="60"/>
      <c r="P3" s="60"/>
      <c r="Q3" s="60"/>
    </row>
    <row r="4" spans="1:17" x14ac:dyDescent="0.2">
      <c r="A4" s="4" t="s">
        <v>17</v>
      </c>
      <c r="B4" s="5" t="str">
        <f>'Demand Stage 2'!B4</f>
        <v>ST.FERGUS</v>
      </c>
      <c r="C4" s="5" t="str">
        <f>'Demand Stage 2'!C4</f>
        <v>EASINGTON</v>
      </c>
      <c r="D4" s="5" t="str">
        <f>'Demand Stage 2'!D4</f>
        <v>TEESSIDE</v>
      </c>
      <c r="E4" s="5" t="str">
        <f>'Demand Stage 2'!E4</f>
        <v>EMDEN</v>
      </c>
      <c r="F4" s="5" t="s">
        <v>334</v>
      </c>
      <c r="G4" s="5" t="str">
        <f>'Demand Stage 2'!G4</f>
        <v>ZEEBRUGGE</v>
      </c>
      <c r="H4" s="5" t="str">
        <f>'Demand Stage 2'!H4</f>
        <v>DUNKERQUE</v>
      </c>
      <c r="I4" s="5" t="str">
        <f>'Demand Stage 2'!I4</f>
        <v>POLAND</v>
      </c>
      <c r="J4" s="6" t="str">
        <f>'Demand Stage 2'!J4</f>
        <v>ST.FERGUS</v>
      </c>
      <c r="K4" s="6" t="str">
        <f>'Demand Stage 2'!K4</f>
        <v>EASINGTON</v>
      </c>
      <c r="L4" s="6" t="str">
        <f>'Demand Stage 2'!L4</f>
        <v>TEESSIDE</v>
      </c>
      <c r="M4" s="6" t="str">
        <f>'Demand Stage 2'!M4</f>
        <v>EMDEN</v>
      </c>
      <c r="N4" s="6" t="s">
        <v>334</v>
      </c>
      <c r="O4" s="6" t="str">
        <f>'Demand Stage 2'!O4</f>
        <v>ZEEBRUGGE</v>
      </c>
      <c r="P4" s="6" t="str">
        <f>'Demand Stage 2'!P4</f>
        <v>DUNKERQUE</v>
      </c>
      <c r="Q4" s="6" t="str">
        <f>'Demand Stage 2'!Q4</f>
        <v>POLAND</v>
      </c>
    </row>
    <row r="5" spans="1:17" x14ac:dyDescent="0.2">
      <c r="A5" s="1">
        <v>0</v>
      </c>
      <c r="B5" s="2">
        <f>'Demand Stage 2'!B43</f>
        <v>10</v>
      </c>
      <c r="C5" s="2">
        <f>'Demand Stage 2'!C43</f>
        <v>10</v>
      </c>
      <c r="D5" s="2">
        <f>'Demand Stage 2'!D43</f>
        <v>10</v>
      </c>
      <c r="E5" s="2">
        <f>'Demand Stage 2'!E43</f>
        <v>40</v>
      </c>
      <c r="F5" s="2">
        <f>'Demand Stage 2'!F43</f>
        <v>40</v>
      </c>
      <c r="G5" s="2">
        <f>'Demand Stage 2'!G43</f>
        <v>40</v>
      </c>
      <c r="H5" s="2">
        <f>'Demand Stage 2'!H43</f>
        <v>40</v>
      </c>
      <c r="I5" s="2">
        <f>'Demand Stage 2'!I43</f>
        <v>20</v>
      </c>
      <c r="J5" s="3">
        <v>0</v>
      </c>
      <c r="K5" s="3">
        <v>0</v>
      </c>
      <c r="L5" s="3">
        <v>0</v>
      </c>
      <c r="M5" s="3">
        <v>0</v>
      </c>
      <c r="N5" s="3">
        <v>0</v>
      </c>
      <c r="O5" s="3">
        <v>0</v>
      </c>
      <c r="P5" s="3">
        <v>0</v>
      </c>
      <c r="Q5" s="3">
        <v>0</v>
      </c>
    </row>
    <row r="6" spans="1:17" x14ac:dyDescent="0.2">
      <c r="A6" s="1">
        <v>1</v>
      </c>
      <c r="B6" s="2">
        <f>'Demand Stage 2'!B44</f>
        <v>10</v>
      </c>
      <c r="C6" s="2">
        <f>'Demand Stage 2'!C44</f>
        <v>10</v>
      </c>
      <c r="D6" s="2">
        <f>'Demand Stage 2'!D44</f>
        <v>10</v>
      </c>
      <c r="E6" s="2">
        <f>'Demand Stage 2'!E44</f>
        <v>40</v>
      </c>
      <c r="F6" s="2">
        <f>'Demand Stage 2'!F44</f>
        <v>40</v>
      </c>
      <c r="G6" s="2">
        <f>'Demand Stage 2'!G44</f>
        <v>40</v>
      </c>
      <c r="H6" s="2">
        <f>'Demand Stage 2'!H44</f>
        <v>40</v>
      </c>
      <c r="I6" s="2">
        <f>'Demand Stage 2'!I44</f>
        <v>20</v>
      </c>
      <c r="J6" s="3">
        <v>0</v>
      </c>
      <c r="K6" s="3">
        <v>0</v>
      </c>
      <c r="L6" s="3">
        <v>0</v>
      </c>
      <c r="M6" s="3">
        <v>0</v>
      </c>
      <c r="N6" s="3">
        <v>0</v>
      </c>
      <c r="O6" s="3">
        <v>0</v>
      </c>
      <c r="P6" s="3">
        <v>0</v>
      </c>
      <c r="Q6" s="3">
        <v>0</v>
      </c>
    </row>
    <row r="7" spans="1:17" x14ac:dyDescent="0.2">
      <c r="A7" s="1">
        <v>2</v>
      </c>
      <c r="B7" s="2">
        <f>'Demand Stage 2'!B45</f>
        <v>10</v>
      </c>
      <c r="C7" s="2">
        <f>'Demand Stage 2'!C45</f>
        <v>10</v>
      </c>
      <c r="D7" s="2">
        <f>'Demand Stage 2'!D45</f>
        <v>10</v>
      </c>
      <c r="E7" s="2">
        <f>'Demand Stage 2'!E45</f>
        <v>40</v>
      </c>
      <c r="F7" s="2">
        <f>'Demand Stage 2'!F45</f>
        <v>40</v>
      </c>
      <c r="G7" s="2">
        <f>'Demand Stage 2'!G45</f>
        <v>40</v>
      </c>
      <c r="H7" s="2">
        <f>'Demand Stage 2'!H45</f>
        <v>40</v>
      </c>
      <c r="I7" s="2">
        <f>'Demand Stage 2'!I45</f>
        <v>20</v>
      </c>
      <c r="J7" s="3">
        <v>0</v>
      </c>
      <c r="K7" s="3">
        <v>0</v>
      </c>
      <c r="L7" s="3">
        <v>0</v>
      </c>
      <c r="M7" s="3">
        <v>0</v>
      </c>
      <c r="N7" s="3">
        <v>0</v>
      </c>
      <c r="O7" s="3">
        <v>0</v>
      </c>
      <c r="P7" s="3">
        <v>0</v>
      </c>
      <c r="Q7" s="3">
        <v>0</v>
      </c>
    </row>
    <row r="8" spans="1:17" x14ac:dyDescent="0.2">
      <c r="A8" s="1">
        <v>3</v>
      </c>
      <c r="B8" s="2">
        <f>'Demand Stage 2'!B46</f>
        <v>10</v>
      </c>
      <c r="C8" s="2">
        <f>'Demand Stage 2'!C46</f>
        <v>10</v>
      </c>
      <c r="D8" s="2">
        <f>'Demand Stage 2'!D46</f>
        <v>10</v>
      </c>
      <c r="E8" s="2">
        <f>'Demand Stage 2'!E46</f>
        <v>40</v>
      </c>
      <c r="F8" s="2">
        <f>'Demand Stage 2'!F46</f>
        <v>40</v>
      </c>
      <c r="G8" s="2">
        <f>'Demand Stage 2'!G46</f>
        <v>40</v>
      </c>
      <c r="H8" s="2">
        <f>'Demand Stage 2'!H46</f>
        <v>40</v>
      </c>
      <c r="I8" s="2">
        <f>'Demand Stage 2'!I46</f>
        <v>20</v>
      </c>
      <c r="J8" s="3">
        <v>0</v>
      </c>
      <c r="K8" s="3">
        <v>0</v>
      </c>
      <c r="L8" s="3">
        <v>0</v>
      </c>
      <c r="M8" s="3">
        <v>0</v>
      </c>
      <c r="N8" s="3">
        <v>0</v>
      </c>
      <c r="O8" s="3">
        <v>0</v>
      </c>
      <c r="P8" s="3">
        <v>0</v>
      </c>
      <c r="Q8" s="3">
        <v>0</v>
      </c>
    </row>
    <row r="9" spans="1:17" x14ac:dyDescent="0.2">
      <c r="A9" s="1">
        <v>4</v>
      </c>
      <c r="B9" s="2">
        <f>'Demand Stage 2'!B47</f>
        <v>10</v>
      </c>
      <c r="C9" s="2">
        <f>'Demand Stage 2'!C47</f>
        <v>10</v>
      </c>
      <c r="D9" s="2">
        <f>'Demand Stage 2'!D47</f>
        <v>10</v>
      </c>
      <c r="E9" s="2">
        <f>'Demand Stage 2'!E47</f>
        <v>45</v>
      </c>
      <c r="F9" s="2">
        <f>'Demand Stage 2'!F47</f>
        <v>45</v>
      </c>
      <c r="G9" s="2">
        <f>'Demand Stage 2'!G47</f>
        <v>40</v>
      </c>
      <c r="H9" s="2">
        <f>'Demand Stage 2'!H47</f>
        <v>45</v>
      </c>
      <c r="I9" s="2">
        <f>'Demand Stage 2'!I47</f>
        <v>20</v>
      </c>
      <c r="J9" s="3">
        <v>0</v>
      </c>
      <c r="K9" s="3">
        <v>0</v>
      </c>
      <c r="L9" s="3">
        <v>0</v>
      </c>
      <c r="M9" s="3">
        <v>0</v>
      </c>
      <c r="N9" s="3">
        <v>0</v>
      </c>
      <c r="O9" s="3">
        <v>0</v>
      </c>
      <c r="P9" s="3">
        <v>0</v>
      </c>
      <c r="Q9" s="3">
        <v>0</v>
      </c>
    </row>
    <row r="10" spans="1:17" x14ac:dyDescent="0.2">
      <c r="A10" s="1">
        <v>5</v>
      </c>
      <c r="B10" s="2">
        <f>'Demand Stage 2'!B48</f>
        <v>10</v>
      </c>
      <c r="C10" s="2">
        <f>'Demand Stage 2'!C48</f>
        <v>10</v>
      </c>
      <c r="D10" s="2">
        <f>'Demand Stage 2'!D48</f>
        <v>10</v>
      </c>
      <c r="E10" s="2">
        <f>'Demand Stage 2'!E48</f>
        <v>40</v>
      </c>
      <c r="F10" s="2">
        <f>'Demand Stage 2'!F48</f>
        <v>40</v>
      </c>
      <c r="G10" s="2">
        <f>'Demand Stage 2'!G48</f>
        <v>40</v>
      </c>
      <c r="H10" s="2">
        <f>'Demand Stage 2'!H48</f>
        <v>35</v>
      </c>
      <c r="I10" s="2">
        <f>'Demand Stage 2'!I48</f>
        <v>20</v>
      </c>
      <c r="J10" s="3">
        <v>0</v>
      </c>
      <c r="K10" s="3">
        <v>0</v>
      </c>
      <c r="L10" s="3">
        <v>0</v>
      </c>
      <c r="M10" s="3">
        <v>0</v>
      </c>
      <c r="N10" s="3">
        <v>0</v>
      </c>
      <c r="O10" s="3">
        <v>0</v>
      </c>
      <c r="P10" s="3">
        <v>0</v>
      </c>
      <c r="Q10" s="3">
        <v>0</v>
      </c>
    </row>
    <row r="11" spans="1:17" x14ac:dyDescent="0.2">
      <c r="A11" s="1">
        <v>6</v>
      </c>
      <c r="B11" s="2">
        <f>'Demand Stage 2'!B49</f>
        <v>10</v>
      </c>
      <c r="C11" s="2">
        <f>'Demand Stage 2'!C49</f>
        <v>10</v>
      </c>
      <c r="D11" s="2">
        <f>'Demand Stage 2'!D49</f>
        <v>10</v>
      </c>
      <c r="E11" s="2">
        <f>'Demand Stage 2'!E49</f>
        <v>40</v>
      </c>
      <c r="F11" s="2">
        <f>'Demand Stage 2'!F49</f>
        <v>40</v>
      </c>
      <c r="G11" s="2">
        <f>'Demand Stage 2'!G49</f>
        <v>40</v>
      </c>
      <c r="H11" s="2">
        <f>'Demand Stage 2'!H49</f>
        <v>35</v>
      </c>
      <c r="I11" s="2">
        <f>'Demand Stage 2'!I49</f>
        <v>20</v>
      </c>
      <c r="J11" s="3">
        <v>0</v>
      </c>
      <c r="K11" s="3">
        <v>0</v>
      </c>
      <c r="L11" s="3">
        <v>0</v>
      </c>
      <c r="M11" s="3">
        <v>0</v>
      </c>
      <c r="N11" s="3">
        <v>0</v>
      </c>
      <c r="O11" s="3">
        <v>0</v>
      </c>
      <c r="P11" s="3">
        <v>0</v>
      </c>
      <c r="Q11" s="3">
        <v>0</v>
      </c>
    </row>
    <row r="12" spans="1:17" x14ac:dyDescent="0.2">
      <c r="A12" s="1">
        <v>7</v>
      </c>
      <c r="B12" s="2">
        <f>'Demand Stage 2'!B50</f>
        <v>10</v>
      </c>
      <c r="C12" s="2">
        <f>'Demand Stage 2'!C50</f>
        <v>10</v>
      </c>
      <c r="D12" s="2">
        <f>'Demand Stage 2'!D50</f>
        <v>10</v>
      </c>
      <c r="E12" s="2">
        <f>'Demand Stage 2'!E50</f>
        <v>45</v>
      </c>
      <c r="F12" s="2">
        <f>'Demand Stage 2'!F50</f>
        <v>45</v>
      </c>
      <c r="G12" s="2">
        <f>'Demand Stage 2'!G50</f>
        <v>40</v>
      </c>
      <c r="H12" s="2">
        <f>'Demand Stage 2'!H50</f>
        <v>40</v>
      </c>
      <c r="I12" s="2">
        <f>'Demand Stage 2'!I50</f>
        <v>20</v>
      </c>
      <c r="J12" s="3">
        <v>0</v>
      </c>
      <c r="K12" s="3">
        <v>0</v>
      </c>
      <c r="L12" s="3">
        <v>0</v>
      </c>
      <c r="M12" s="3">
        <v>0</v>
      </c>
      <c r="N12" s="3">
        <v>0</v>
      </c>
      <c r="O12" s="3">
        <v>0</v>
      </c>
      <c r="P12" s="3">
        <v>0</v>
      </c>
      <c r="Q12" s="3">
        <v>0</v>
      </c>
    </row>
    <row r="13" spans="1:17" x14ac:dyDescent="0.2">
      <c r="A13" s="1">
        <v>8</v>
      </c>
      <c r="B13" s="2"/>
      <c r="C13" s="2"/>
      <c r="D13" s="2"/>
      <c r="E13" s="2"/>
      <c r="F13" s="2"/>
      <c r="G13" s="2"/>
      <c r="H13" s="2"/>
      <c r="I13" s="2"/>
      <c r="J13" s="3"/>
      <c r="K13" s="3"/>
      <c r="L13" s="3"/>
      <c r="M13" s="3"/>
      <c r="N13" s="3"/>
      <c r="O13" s="3"/>
      <c r="P13" s="3"/>
      <c r="Q13" s="3"/>
    </row>
    <row r="14" spans="1:17" x14ac:dyDescent="0.2">
      <c r="A14" s="1">
        <v>9</v>
      </c>
      <c r="B14" s="2"/>
      <c r="C14" s="2"/>
      <c r="D14" s="2"/>
      <c r="E14" s="2"/>
      <c r="F14" s="2"/>
      <c r="G14" s="2"/>
      <c r="H14" s="2"/>
      <c r="I14" s="2"/>
      <c r="J14" s="3"/>
      <c r="K14" s="3"/>
      <c r="L14" s="3"/>
      <c r="M14" s="3"/>
      <c r="N14" s="3"/>
      <c r="O14" s="3"/>
      <c r="P14" s="3"/>
      <c r="Q14" s="3"/>
    </row>
    <row r="15" spans="1:17" x14ac:dyDescent="0.2">
      <c r="A15" s="1">
        <v>10</v>
      </c>
      <c r="B15" s="2"/>
      <c r="C15" s="2"/>
      <c r="D15" s="2"/>
      <c r="E15" s="2"/>
      <c r="F15" s="2"/>
      <c r="G15" s="2"/>
      <c r="H15" s="2"/>
      <c r="I15" s="2"/>
      <c r="J15" s="3"/>
      <c r="K15" s="3"/>
      <c r="L15" s="3"/>
      <c r="M15" s="3"/>
      <c r="N15" s="3"/>
      <c r="O15" s="3"/>
      <c r="P15" s="3"/>
      <c r="Q15" s="3"/>
    </row>
    <row r="16" spans="1:17" x14ac:dyDescent="0.2">
      <c r="A16" s="1">
        <v>11</v>
      </c>
      <c r="B16" s="2"/>
      <c r="C16" s="2"/>
      <c r="D16" s="2"/>
      <c r="E16" s="2"/>
      <c r="F16" s="2"/>
      <c r="G16" s="2"/>
      <c r="H16" s="2"/>
      <c r="I16" s="2"/>
      <c r="J16" s="3"/>
      <c r="K16" s="3"/>
      <c r="L16" s="3"/>
      <c r="M16" s="3"/>
      <c r="N16" s="3"/>
      <c r="O16" s="3"/>
      <c r="P16" s="3"/>
      <c r="Q16" s="3"/>
    </row>
    <row r="17" spans="1:17" x14ac:dyDescent="0.2">
      <c r="A17" s="1">
        <v>12</v>
      </c>
      <c r="B17" s="2"/>
      <c r="C17" s="2"/>
      <c r="D17" s="2"/>
      <c r="E17" s="2"/>
      <c r="F17" s="2"/>
      <c r="G17" s="2"/>
      <c r="H17" s="2"/>
      <c r="I17" s="2"/>
      <c r="J17" s="3"/>
      <c r="K17" s="3"/>
      <c r="L17" s="3"/>
      <c r="M17" s="3"/>
      <c r="N17" s="3"/>
      <c r="O17" s="3"/>
      <c r="P17" s="3"/>
      <c r="Q17" s="3"/>
    </row>
    <row r="18" spans="1:17" x14ac:dyDescent="0.2">
      <c r="A18" s="1">
        <v>13</v>
      </c>
      <c r="B18" s="2"/>
      <c r="C18" s="2"/>
      <c r="D18" s="2"/>
      <c r="E18" s="2"/>
      <c r="F18" s="2"/>
      <c r="G18" s="2"/>
      <c r="H18" s="2"/>
      <c r="I18" s="2"/>
      <c r="J18" s="3"/>
      <c r="K18" s="3"/>
      <c r="L18" s="3"/>
      <c r="M18" s="3"/>
      <c r="N18" s="3"/>
      <c r="O18" s="3"/>
      <c r="P18" s="3"/>
      <c r="Q18" s="3"/>
    </row>
    <row r="19" spans="1:17" x14ac:dyDescent="0.2">
      <c r="A19" s="1">
        <v>14</v>
      </c>
      <c r="B19" s="2"/>
      <c r="C19" s="2"/>
      <c r="D19" s="2"/>
      <c r="E19" s="2"/>
      <c r="F19" s="2"/>
      <c r="G19" s="2"/>
      <c r="H19" s="2"/>
      <c r="I19" s="2"/>
      <c r="J19" s="3"/>
      <c r="K19" s="3"/>
      <c r="L19" s="3"/>
      <c r="M19" s="3"/>
      <c r="N19" s="3"/>
      <c r="O19" s="3"/>
      <c r="P19" s="3"/>
      <c r="Q19" s="3"/>
    </row>
    <row r="20" spans="1:17" x14ac:dyDescent="0.2">
      <c r="A20" s="1">
        <v>15</v>
      </c>
      <c r="B20" s="2"/>
      <c r="C20" s="2"/>
      <c r="D20" s="2"/>
      <c r="E20" s="2"/>
      <c r="F20" s="2"/>
      <c r="G20" s="2"/>
      <c r="H20" s="2"/>
      <c r="I20" s="2"/>
      <c r="J20" s="3"/>
      <c r="K20" s="3"/>
      <c r="L20" s="3"/>
      <c r="M20" s="3"/>
      <c r="N20" s="3"/>
      <c r="O20" s="3"/>
      <c r="P20" s="3"/>
      <c r="Q20" s="3"/>
    </row>
    <row r="21" spans="1:17" x14ac:dyDescent="0.2">
      <c r="A21" s="1">
        <v>16</v>
      </c>
      <c r="B21" s="2"/>
      <c r="C21" s="2"/>
      <c r="D21" s="2"/>
      <c r="E21" s="2"/>
      <c r="F21" s="2"/>
      <c r="G21" s="2"/>
      <c r="H21" s="2"/>
      <c r="I21" s="2"/>
      <c r="J21" s="3"/>
      <c r="K21" s="3"/>
      <c r="L21" s="3"/>
      <c r="M21" s="3"/>
      <c r="N21" s="3"/>
      <c r="O21" s="3"/>
      <c r="P21" s="3"/>
      <c r="Q21" s="3"/>
    </row>
    <row r="22" spans="1:17" x14ac:dyDescent="0.2">
      <c r="A22" s="1">
        <v>17</v>
      </c>
      <c r="B22" s="2"/>
      <c r="C22" s="2"/>
      <c r="D22" s="2"/>
      <c r="E22" s="2"/>
      <c r="F22" s="2"/>
      <c r="G22" s="2"/>
      <c r="H22" s="2"/>
      <c r="I22" s="2"/>
      <c r="J22" s="3"/>
      <c r="K22" s="3"/>
      <c r="L22" s="3"/>
      <c r="M22" s="3"/>
      <c r="N22" s="3"/>
      <c r="O22" s="3"/>
      <c r="P22" s="3"/>
      <c r="Q22" s="3"/>
    </row>
    <row r="23" spans="1:17" x14ac:dyDescent="0.2">
      <c r="A23" s="1">
        <v>18</v>
      </c>
      <c r="B23" s="2"/>
      <c r="C23" s="2"/>
      <c r="D23" s="2"/>
      <c r="E23" s="2"/>
      <c r="F23" s="2"/>
      <c r="G23" s="2"/>
      <c r="H23" s="2"/>
      <c r="I23" s="2"/>
      <c r="J23" s="3"/>
      <c r="K23" s="3"/>
      <c r="L23" s="3"/>
      <c r="M23" s="3"/>
      <c r="N23" s="3"/>
      <c r="O23" s="3"/>
      <c r="P23" s="3"/>
      <c r="Q23" s="3"/>
    </row>
    <row r="24" spans="1:17" x14ac:dyDescent="0.2">
      <c r="A24" s="1">
        <v>19</v>
      </c>
      <c r="B24" s="2"/>
      <c r="C24" s="2"/>
      <c r="D24" s="2"/>
      <c r="E24" s="2"/>
      <c r="F24" s="2"/>
      <c r="G24" s="2"/>
      <c r="H24" s="2"/>
      <c r="I24" s="2"/>
      <c r="J24" s="3"/>
      <c r="K24" s="3"/>
      <c r="L24" s="3"/>
      <c r="M24" s="3"/>
      <c r="N24" s="3"/>
      <c r="O24" s="3"/>
      <c r="P24" s="3"/>
      <c r="Q24" s="3"/>
    </row>
    <row r="25" spans="1:17" x14ac:dyDescent="0.2">
      <c r="A25" s="1">
        <v>20</v>
      </c>
      <c r="B25" s="2"/>
      <c r="C25" s="2"/>
      <c r="D25" s="2"/>
      <c r="E25" s="2"/>
      <c r="F25" s="2"/>
      <c r="G25" s="2"/>
      <c r="H25" s="2"/>
      <c r="I25" s="2"/>
      <c r="J25" s="3"/>
      <c r="K25" s="3"/>
      <c r="L25" s="3"/>
      <c r="M25" s="3"/>
      <c r="N25" s="3"/>
      <c r="O25" s="3"/>
      <c r="P25" s="3"/>
      <c r="Q25" s="3"/>
    </row>
    <row r="26" spans="1:17" x14ac:dyDescent="0.2">
      <c r="A26" s="1">
        <v>21</v>
      </c>
      <c r="B26" s="2"/>
      <c r="C26" s="2"/>
      <c r="D26" s="2"/>
      <c r="E26" s="2"/>
      <c r="F26" s="2"/>
      <c r="G26" s="2"/>
      <c r="H26" s="2"/>
      <c r="I26" s="2"/>
      <c r="J26" s="3"/>
      <c r="K26" s="3"/>
      <c r="L26" s="3"/>
      <c r="M26" s="3"/>
      <c r="N26" s="3"/>
      <c r="O26" s="3"/>
      <c r="P26" s="3"/>
      <c r="Q26" s="3"/>
    </row>
    <row r="27" spans="1:17" x14ac:dyDescent="0.2">
      <c r="A27" s="1">
        <v>22</v>
      </c>
      <c r="B27" s="2"/>
      <c r="C27" s="2"/>
      <c r="D27" s="2"/>
      <c r="E27" s="2"/>
      <c r="F27" s="2"/>
      <c r="G27" s="2"/>
      <c r="H27" s="2"/>
      <c r="I27" s="2"/>
      <c r="J27" s="3"/>
      <c r="K27" s="3"/>
      <c r="L27" s="3"/>
      <c r="M27" s="3"/>
      <c r="N27" s="3"/>
      <c r="O27" s="3"/>
      <c r="P27" s="3"/>
      <c r="Q27" s="3"/>
    </row>
    <row r="28" spans="1:17" x14ac:dyDescent="0.2">
      <c r="A28" s="1">
        <v>23</v>
      </c>
      <c r="B28" s="2"/>
      <c r="C28" s="2"/>
      <c r="D28" s="2"/>
      <c r="E28" s="2"/>
      <c r="F28" s="2"/>
      <c r="G28" s="2"/>
      <c r="H28" s="2"/>
      <c r="I28" s="2"/>
      <c r="J28" s="3"/>
      <c r="K28" s="3"/>
      <c r="L28" s="3"/>
      <c r="M28" s="3"/>
      <c r="N28" s="3"/>
      <c r="O28" s="3"/>
      <c r="P28" s="3"/>
      <c r="Q28" s="3"/>
    </row>
  </sheetData>
  <mergeCells count="4">
    <mergeCell ref="B1:Q1"/>
    <mergeCell ref="B2:Q2"/>
    <mergeCell ref="B3:I3"/>
    <mergeCell ref="J3:Q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292E87-5CF7-794D-A1AA-7C1926221C7B}">
  <dimension ref="A1:BM58"/>
  <sheetViews>
    <sheetView topLeftCell="A2" zoomScale="125" zoomScaleNormal="200" workbookViewId="0">
      <selection activeCell="BE38" sqref="BE38"/>
    </sheetView>
  </sheetViews>
  <sheetFormatPr baseColWidth="10" defaultRowHeight="16" x14ac:dyDescent="0.2"/>
  <cols>
    <col min="1" max="1" width="15.33203125" bestFit="1" customWidth="1"/>
    <col min="2" max="2" width="10.5" bestFit="1" customWidth="1"/>
    <col min="3" max="3" width="11.1640625" bestFit="1" customWidth="1"/>
    <col min="4" max="4" width="9" bestFit="1" customWidth="1"/>
    <col min="5" max="5" width="7.5" bestFit="1" customWidth="1"/>
    <col min="6" max="6" width="9" bestFit="1" customWidth="1"/>
    <col min="7" max="7" width="11.5" bestFit="1" customWidth="1"/>
    <col min="8" max="8" width="12.1640625" bestFit="1" customWidth="1"/>
    <col min="9" max="9" width="8.1640625" bestFit="1" customWidth="1"/>
    <col min="10" max="10" width="10.5" bestFit="1" customWidth="1"/>
    <col min="11" max="11" width="11.1640625" bestFit="1" customWidth="1"/>
    <col min="12" max="12" width="9" bestFit="1" customWidth="1"/>
    <col min="13" max="13" width="7.5" bestFit="1" customWidth="1"/>
    <col min="14" max="14" width="9" bestFit="1" customWidth="1"/>
    <col min="15" max="15" width="11.5" bestFit="1" customWidth="1"/>
    <col min="16" max="16" width="12.1640625" bestFit="1" customWidth="1"/>
    <col min="17" max="17" width="8.1640625" bestFit="1" customWidth="1"/>
  </cols>
  <sheetData>
    <row r="1" spans="1:65" x14ac:dyDescent="0.2">
      <c r="A1" s="4" t="s">
        <v>32</v>
      </c>
      <c r="B1" s="58">
        <v>9</v>
      </c>
      <c r="C1" s="58"/>
      <c r="D1" s="58"/>
      <c r="E1" s="58"/>
      <c r="F1" s="58"/>
      <c r="G1" s="58"/>
      <c r="H1" s="58"/>
      <c r="I1" s="58"/>
      <c r="J1" s="58"/>
      <c r="K1" s="58"/>
      <c r="L1" s="58"/>
      <c r="M1" s="58"/>
      <c r="N1" s="58"/>
      <c r="O1" s="58"/>
      <c r="P1" s="58"/>
      <c r="Q1" s="58"/>
      <c r="R1" s="58">
        <f>B1+Parameters!$B$7</f>
        <v>17</v>
      </c>
      <c r="S1" s="58"/>
      <c r="T1" s="58"/>
      <c r="U1" s="58"/>
      <c r="V1" s="58"/>
      <c r="W1" s="58"/>
      <c r="X1" s="58"/>
      <c r="Y1" s="58"/>
      <c r="Z1" s="58"/>
      <c r="AA1" s="58"/>
      <c r="AB1" s="58"/>
      <c r="AC1" s="58"/>
      <c r="AD1" s="58"/>
      <c r="AE1" s="58"/>
      <c r="AF1" s="58"/>
      <c r="AG1" s="58"/>
      <c r="AH1" s="58">
        <f>R1+Parameters!$B$7</f>
        <v>25</v>
      </c>
      <c r="AI1" s="58"/>
      <c r="AJ1" s="58"/>
      <c r="AK1" s="58"/>
      <c r="AL1" s="58"/>
      <c r="AM1" s="58"/>
      <c r="AN1" s="58"/>
      <c r="AO1" s="58"/>
      <c r="AP1" s="58"/>
      <c r="AQ1" s="58"/>
      <c r="AR1" s="58"/>
      <c r="AS1" s="58"/>
      <c r="AT1" s="58"/>
      <c r="AU1" s="58"/>
      <c r="AV1" s="58"/>
      <c r="AW1" s="58"/>
      <c r="AX1" s="58">
        <f>AH1+Parameters!$B$7</f>
        <v>33</v>
      </c>
      <c r="AY1" s="58"/>
      <c r="AZ1" s="58"/>
      <c r="BA1" s="58"/>
      <c r="BB1" s="58"/>
      <c r="BC1" s="58"/>
      <c r="BD1" s="58"/>
      <c r="BE1" s="58"/>
      <c r="BF1" s="58"/>
      <c r="BG1" s="58"/>
      <c r="BH1" s="58"/>
      <c r="BI1" s="58"/>
      <c r="BJ1" s="58"/>
      <c r="BK1" s="58"/>
      <c r="BL1" s="58"/>
      <c r="BM1" s="58"/>
    </row>
    <row r="2" spans="1:65" x14ac:dyDescent="0.2">
      <c r="A2" s="4" t="s">
        <v>26</v>
      </c>
      <c r="B2" s="58">
        <v>0.25</v>
      </c>
      <c r="C2" s="58"/>
      <c r="D2" s="58"/>
      <c r="E2" s="58"/>
      <c r="F2" s="58"/>
      <c r="G2" s="58"/>
      <c r="H2" s="58"/>
      <c r="I2" s="58"/>
      <c r="J2" s="58"/>
      <c r="K2" s="58"/>
      <c r="L2" s="58"/>
      <c r="M2" s="58"/>
      <c r="N2" s="58"/>
      <c r="O2" s="58"/>
      <c r="P2" s="58"/>
      <c r="Q2" s="58"/>
      <c r="R2" s="58">
        <f>B2</f>
        <v>0.25</v>
      </c>
      <c r="S2" s="58"/>
      <c r="T2" s="58"/>
      <c r="U2" s="58"/>
      <c r="V2" s="58"/>
      <c r="W2" s="58"/>
      <c r="X2" s="58"/>
      <c r="Y2" s="58"/>
      <c r="Z2" s="58"/>
      <c r="AA2" s="58"/>
      <c r="AB2" s="58"/>
      <c r="AC2" s="58"/>
      <c r="AD2" s="58"/>
      <c r="AE2" s="58"/>
      <c r="AF2" s="58"/>
      <c r="AG2" s="58"/>
      <c r="AH2" s="58">
        <f>B2</f>
        <v>0.25</v>
      </c>
      <c r="AI2" s="58"/>
      <c r="AJ2" s="58"/>
      <c r="AK2" s="58"/>
      <c r="AL2" s="58"/>
      <c r="AM2" s="58"/>
      <c r="AN2" s="58"/>
      <c r="AO2" s="58"/>
      <c r="AP2" s="58"/>
      <c r="AQ2" s="58"/>
      <c r="AR2" s="58"/>
      <c r="AS2" s="58"/>
      <c r="AT2" s="58"/>
      <c r="AU2" s="58"/>
      <c r="AV2" s="58"/>
      <c r="AW2" s="58"/>
      <c r="AX2" s="58">
        <f>B2</f>
        <v>0.25</v>
      </c>
      <c r="AY2" s="58"/>
      <c r="AZ2" s="58"/>
      <c r="BA2" s="58"/>
      <c r="BB2" s="58"/>
      <c r="BC2" s="58"/>
      <c r="BD2" s="58"/>
      <c r="BE2" s="58"/>
      <c r="BF2" s="58"/>
      <c r="BG2" s="58"/>
      <c r="BH2" s="58"/>
      <c r="BI2" s="58"/>
      <c r="BJ2" s="58"/>
      <c r="BK2" s="58"/>
      <c r="BL2" s="58"/>
      <c r="BM2" s="58"/>
    </row>
    <row r="3" spans="1:65" x14ac:dyDescent="0.2">
      <c r="A3" s="4"/>
      <c r="B3" s="59" t="s">
        <v>27</v>
      </c>
      <c r="C3" s="59"/>
      <c r="D3" s="59"/>
      <c r="E3" s="59"/>
      <c r="F3" s="59"/>
      <c r="G3" s="59"/>
      <c r="H3" s="59"/>
      <c r="I3" s="59"/>
      <c r="J3" s="60" t="s">
        <v>28</v>
      </c>
      <c r="K3" s="60"/>
      <c r="L3" s="60"/>
      <c r="M3" s="60"/>
      <c r="N3" s="60"/>
      <c r="O3" s="60"/>
      <c r="P3" s="60"/>
      <c r="Q3" s="60"/>
      <c r="R3" s="59" t="s">
        <v>27</v>
      </c>
      <c r="S3" s="59"/>
      <c r="T3" s="59"/>
      <c r="U3" s="59"/>
      <c r="V3" s="59"/>
      <c r="W3" s="59"/>
      <c r="X3" s="59"/>
      <c r="Y3" s="59"/>
      <c r="Z3" s="60" t="s">
        <v>28</v>
      </c>
      <c r="AA3" s="60"/>
      <c r="AB3" s="60"/>
      <c r="AC3" s="60"/>
      <c r="AD3" s="60"/>
      <c r="AE3" s="60"/>
      <c r="AF3" s="60"/>
      <c r="AG3" s="60"/>
      <c r="AH3" s="59" t="s">
        <v>27</v>
      </c>
      <c r="AI3" s="59"/>
      <c r="AJ3" s="59"/>
      <c r="AK3" s="59"/>
      <c r="AL3" s="59"/>
      <c r="AM3" s="59"/>
      <c r="AN3" s="59"/>
      <c r="AO3" s="59"/>
      <c r="AP3" s="60" t="s">
        <v>28</v>
      </c>
      <c r="AQ3" s="60"/>
      <c r="AR3" s="60"/>
      <c r="AS3" s="60"/>
      <c r="AT3" s="60"/>
      <c r="AU3" s="60"/>
      <c r="AV3" s="60"/>
      <c r="AW3" s="60"/>
      <c r="AX3" s="59" t="s">
        <v>27</v>
      </c>
      <c r="AY3" s="59"/>
      <c r="AZ3" s="59"/>
      <c r="BA3" s="59"/>
      <c r="BB3" s="59"/>
      <c r="BC3" s="59"/>
      <c r="BD3" s="59"/>
      <c r="BE3" s="59"/>
      <c r="BF3" s="60" t="s">
        <v>28</v>
      </c>
      <c r="BG3" s="60"/>
      <c r="BH3" s="60"/>
      <c r="BI3" s="60"/>
      <c r="BJ3" s="60"/>
      <c r="BK3" s="60"/>
      <c r="BL3" s="60"/>
      <c r="BM3" s="60"/>
    </row>
    <row r="4" spans="1:65" x14ac:dyDescent="0.2">
      <c r="A4" s="4" t="s">
        <v>17</v>
      </c>
      <c r="B4" s="5" t="s">
        <v>109</v>
      </c>
      <c r="C4" s="5" t="s">
        <v>119</v>
      </c>
      <c r="D4" s="5" t="s">
        <v>115</v>
      </c>
      <c r="E4" s="5" t="s">
        <v>120</v>
      </c>
      <c r="F4" s="5" t="s">
        <v>334</v>
      </c>
      <c r="G4" s="5" t="s">
        <v>121</v>
      </c>
      <c r="H4" s="5" t="s">
        <v>122</v>
      </c>
      <c r="I4" s="5" t="s">
        <v>117</v>
      </c>
      <c r="J4" s="6" t="str">
        <f>B4</f>
        <v>ST.FERGUS</v>
      </c>
      <c r="K4" s="6" t="str">
        <f t="shared" ref="K4:Q4" si="0">C4</f>
        <v>EASINGTON</v>
      </c>
      <c r="L4" s="6" t="str">
        <f t="shared" si="0"/>
        <v>TEESSIDE</v>
      </c>
      <c r="M4" s="6" t="str">
        <f t="shared" si="0"/>
        <v>EMDEN</v>
      </c>
      <c r="N4" s="6" t="str">
        <f t="shared" si="0"/>
        <v>DORNUM</v>
      </c>
      <c r="O4" s="6" t="str">
        <f t="shared" si="0"/>
        <v>ZEEBRUGGE</v>
      </c>
      <c r="P4" s="6" t="str">
        <f t="shared" si="0"/>
        <v>DUNKERQUE</v>
      </c>
      <c r="Q4" s="6" t="str">
        <f t="shared" si="0"/>
        <v>POLAND</v>
      </c>
      <c r="R4" s="5" t="str">
        <f>B4</f>
        <v>ST.FERGUS</v>
      </c>
      <c r="S4" s="5" t="str">
        <f t="shared" ref="S4:Y4" si="1">C4</f>
        <v>EASINGTON</v>
      </c>
      <c r="T4" s="5" t="str">
        <f t="shared" si="1"/>
        <v>TEESSIDE</v>
      </c>
      <c r="U4" s="5" t="str">
        <f t="shared" si="1"/>
        <v>EMDEN</v>
      </c>
      <c r="V4" s="5" t="str">
        <f t="shared" si="1"/>
        <v>DORNUM</v>
      </c>
      <c r="W4" s="5" t="str">
        <f t="shared" si="1"/>
        <v>ZEEBRUGGE</v>
      </c>
      <c r="X4" s="5" t="str">
        <f t="shared" si="1"/>
        <v>DUNKERQUE</v>
      </c>
      <c r="Y4" s="5" t="str">
        <f t="shared" si="1"/>
        <v>POLAND</v>
      </c>
      <c r="Z4" s="6" t="str">
        <f>J4</f>
        <v>ST.FERGUS</v>
      </c>
      <c r="AA4" s="6" t="str">
        <f t="shared" ref="AA4:AG4" si="2">K4</f>
        <v>EASINGTON</v>
      </c>
      <c r="AB4" s="6" t="str">
        <f t="shared" si="2"/>
        <v>TEESSIDE</v>
      </c>
      <c r="AC4" s="6" t="str">
        <f t="shared" si="2"/>
        <v>EMDEN</v>
      </c>
      <c r="AD4" s="6" t="str">
        <f t="shared" si="2"/>
        <v>DORNUM</v>
      </c>
      <c r="AE4" s="6" t="str">
        <f t="shared" si="2"/>
        <v>ZEEBRUGGE</v>
      </c>
      <c r="AF4" s="6" t="str">
        <f t="shared" si="2"/>
        <v>DUNKERQUE</v>
      </c>
      <c r="AG4" s="6" t="str">
        <f t="shared" si="2"/>
        <v>POLAND</v>
      </c>
      <c r="AH4" s="5" t="str">
        <f>R4</f>
        <v>ST.FERGUS</v>
      </c>
      <c r="AI4" s="5" t="str">
        <f t="shared" ref="AI4:AO4" si="3">S4</f>
        <v>EASINGTON</v>
      </c>
      <c r="AJ4" s="5" t="str">
        <f t="shared" si="3"/>
        <v>TEESSIDE</v>
      </c>
      <c r="AK4" s="5" t="str">
        <f t="shared" si="3"/>
        <v>EMDEN</v>
      </c>
      <c r="AL4" s="5" t="str">
        <f t="shared" si="3"/>
        <v>DORNUM</v>
      </c>
      <c r="AM4" s="5" t="str">
        <f t="shared" si="3"/>
        <v>ZEEBRUGGE</v>
      </c>
      <c r="AN4" s="5" t="str">
        <f t="shared" si="3"/>
        <v>DUNKERQUE</v>
      </c>
      <c r="AO4" s="5" t="str">
        <f t="shared" si="3"/>
        <v>POLAND</v>
      </c>
      <c r="AP4" s="6" t="str">
        <f>Z4</f>
        <v>ST.FERGUS</v>
      </c>
      <c r="AQ4" s="6" t="str">
        <f t="shared" ref="AQ4:AW4" si="4">AA4</f>
        <v>EASINGTON</v>
      </c>
      <c r="AR4" s="6" t="str">
        <f t="shared" si="4"/>
        <v>TEESSIDE</v>
      </c>
      <c r="AS4" s="6" t="str">
        <f t="shared" si="4"/>
        <v>EMDEN</v>
      </c>
      <c r="AT4" s="6" t="str">
        <f t="shared" si="4"/>
        <v>DORNUM</v>
      </c>
      <c r="AU4" s="6" t="str">
        <f t="shared" si="4"/>
        <v>ZEEBRUGGE</v>
      </c>
      <c r="AV4" s="6" t="str">
        <f t="shared" si="4"/>
        <v>DUNKERQUE</v>
      </c>
      <c r="AW4" s="6" t="str">
        <f t="shared" si="4"/>
        <v>POLAND</v>
      </c>
      <c r="AX4" s="5" t="str">
        <f>AH4</f>
        <v>ST.FERGUS</v>
      </c>
      <c r="AY4" s="5" t="str">
        <f t="shared" ref="AY4:BE4" si="5">AI4</f>
        <v>EASINGTON</v>
      </c>
      <c r="AZ4" s="5" t="str">
        <f t="shared" si="5"/>
        <v>TEESSIDE</v>
      </c>
      <c r="BA4" s="5" t="str">
        <f t="shared" si="5"/>
        <v>EMDEN</v>
      </c>
      <c r="BB4" s="5" t="str">
        <f t="shared" si="5"/>
        <v>DORNUM</v>
      </c>
      <c r="BC4" s="5" t="str">
        <f t="shared" si="5"/>
        <v>ZEEBRUGGE</v>
      </c>
      <c r="BD4" s="5" t="str">
        <f t="shared" si="5"/>
        <v>DUNKERQUE</v>
      </c>
      <c r="BE4" s="5" t="str">
        <f t="shared" si="5"/>
        <v>POLAND</v>
      </c>
      <c r="BF4" s="6" t="str">
        <f>AQ4</f>
        <v>EASINGTON</v>
      </c>
      <c r="BG4" s="6" t="str">
        <f t="shared" ref="BG4:BM4" si="6">AR4</f>
        <v>TEESSIDE</v>
      </c>
      <c r="BH4" s="6" t="str">
        <f t="shared" si="6"/>
        <v>EMDEN</v>
      </c>
      <c r="BI4" s="6" t="str">
        <f t="shared" si="6"/>
        <v>DORNUM</v>
      </c>
      <c r="BJ4" s="6" t="str">
        <f t="shared" si="6"/>
        <v>ZEEBRUGGE</v>
      </c>
      <c r="BK4" s="6" t="str">
        <f t="shared" si="6"/>
        <v>DUNKERQUE</v>
      </c>
      <c r="BL4" s="6" t="str">
        <f t="shared" si="6"/>
        <v>POLAND</v>
      </c>
      <c r="BM4" s="6" t="str">
        <f t="shared" si="6"/>
        <v>ST.FERGUS</v>
      </c>
    </row>
    <row r="5" spans="1:65" x14ac:dyDescent="0.2">
      <c r="A5" s="1">
        <v>0</v>
      </c>
      <c r="B5" s="2">
        <f>B31+B43</f>
        <v>10</v>
      </c>
      <c r="C5" s="2">
        <f t="shared" ref="C5:I5" si="7">C31+C43</f>
        <v>10</v>
      </c>
      <c r="D5" s="2">
        <f t="shared" si="7"/>
        <v>10</v>
      </c>
      <c r="E5" s="2">
        <f t="shared" si="7"/>
        <v>40</v>
      </c>
      <c r="F5" s="2">
        <f t="shared" si="7"/>
        <v>40</v>
      </c>
      <c r="G5" s="2">
        <f t="shared" si="7"/>
        <v>40</v>
      </c>
      <c r="H5" s="2">
        <f t="shared" si="7"/>
        <v>40</v>
      </c>
      <c r="I5" s="2">
        <f t="shared" si="7"/>
        <v>20</v>
      </c>
      <c r="J5" s="3">
        <v>0</v>
      </c>
      <c r="K5" s="3">
        <v>0</v>
      </c>
      <c r="L5" s="3">
        <v>0</v>
      </c>
      <c r="M5" s="3">
        <v>0</v>
      </c>
      <c r="N5" s="3">
        <v>0</v>
      </c>
      <c r="O5" s="3">
        <v>0</v>
      </c>
      <c r="P5" s="3">
        <v>0</v>
      </c>
      <c r="Q5" s="3">
        <v>0</v>
      </c>
      <c r="R5" s="2">
        <f>R31+B43</f>
        <v>10</v>
      </c>
      <c r="S5" s="2">
        <f t="shared" ref="S5:Y12" si="8">S31+C43</f>
        <v>10</v>
      </c>
      <c r="T5" s="2">
        <f t="shared" si="8"/>
        <v>10</v>
      </c>
      <c r="U5" s="2">
        <f t="shared" si="8"/>
        <v>40</v>
      </c>
      <c r="V5" s="2">
        <f t="shared" si="8"/>
        <v>40</v>
      </c>
      <c r="W5" s="2">
        <f t="shared" si="8"/>
        <v>40</v>
      </c>
      <c r="X5" s="2">
        <f t="shared" si="8"/>
        <v>40</v>
      </c>
      <c r="Y5" s="2">
        <f t="shared" si="8"/>
        <v>20</v>
      </c>
      <c r="Z5" s="3">
        <v>0</v>
      </c>
      <c r="AA5" s="3">
        <v>0</v>
      </c>
      <c r="AB5" s="3">
        <v>0</v>
      </c>
      <c r="AC5" s="3">
        <v>0</v>
      </c>
      <c r="AD5" s="3">
        <v>0</v>
      </c>
      <c r="AE5" s="3">
        <v>0</v>
      </c>
      <c r="AF5" s="3">
        <v>0</v>
      </c>
      <c r="AG5" s="3">
        <v>0</v>
      </c>
      <c r="AH5" s="2">
        <f>AH31+B43</f>
        <v>10</v>
      </c>
      <c r="AI5" s="2">
        <f t="shared" ref="AI5:AO12" si="9">AI31+C43</f>
        <v>10</v>
      </c>
      <c r="AJ5" s="2">
        <f t="shared" si="9"/>
        <v>10</v>
      </c>
      <c r="AK5" s="2">
        <f t="shared" si="9"/>
        <v>40</v>
      </c>
      <c r="AL5" s="2">
        <f t="shared" si="9"/>
        <v>40</v>
      </c>
      <c r="AM5" s="2">
        <f t="shared" si="9"/>
        <v>40</v>
      </c>
      <c r="AN5" s="2">
        <f t="shared" si="9"/>
        <v>40</v>
      </c>
      <c r="AO5" s="2">
        <f t="shared" si="9"/>
        <v>20</v>
      </c>
      <c r="AP5" s="3">
        <v>0</v>
      </c>
      <c r="AQ5" s="3">
        <v>0</v>
      </c>
      <c r="AR5" s="3">
        <v>0</v>
      </c>
      <c r="AS5" s="3">
        <v>0</v>
      </c>
      <c r="AT5" s="3">
        <v>0</v>
      </c>
      <c r="AU5" s="3">
        <v>0</v>
      </c>
      <c r="AV5" s="3">
        <v>0</v>
      </c>
      <c r="AW5" s="3">
        <v>0</v>
      </c>
      <c r="AX5" s="2">
        <f>AX31+B43</f>
        <v>10</v>
      </c>
      <c r="AY5" s="2">
        <f t="shared" ref="AY5:BE12" si="10">AY31+C43</f>
        <v>10</v>
      </c>
      <c r="AZ5" s="2">
        <f t="shared" si="10"/>
        <v>10</v>
      </c>
      <c r="BA5" s="2">
        <f t="shared" si="10"/>
        <v>40</v>
      </c>
      <c r="BB5" s="2">
        <f t="shared" si="10"/>
        <v>40</v>
      </c>
      <c r="BC5" s="2">
        <f t="shared" si="10"/>
        <v>40</v>
      </c>
      <c r="BD5" s="2">
        <f t="shared" si="10"/>
        <v>40</v>
      </c>
      <c r="BE5" s="2">
        <f t="shared" si="10"/>
        <v>20</v>
      </c>
      <c r="BF5" s="3">
        <v>0</v>
      </c>
      <c r="BG5" s="3">
        <v>0</v>
      </c>
      <c r="BH5" s="3">
        <v>0</v>
      </c>
      <c r="BI5" s="3">
        <v>0</v>
      </c>
      <c r="BJ5" s="3">
        <v>0</v>
      </c>
      <c r="BK5" s="3">
        <v>0</v>
      </c>
      <c r="BL5" s="3">
        <v>0</v>
      </c>
      <c r="BM5" s="3">
        <v>0</v>
      </c>
    </row>
    <row r="6" spans="1:65" x14ac:dyDescent="0.2">
      <c r="A6" s="1">
        <v>1</v>
      </c>
      <c r="B6" s="2">
        <f t="shared" ref="B6:I12" si="11">B32+B44</f>
        <v>10</v>
      </c>
      <c r="C6" s="2">
        <f t="shared" si="11"/>
        <v>10</v>
      </c>
      <c r="D6" s="2">
        <f t="shared" si="11"/>
        <v>10</v>
      </c>
      <c r="E6" s="2">
        <f t="shared" si="11"/>
        <v>40</v>
      </c>
      <c r="F6" s="2">
        <f t="shared" si="11"/>
        <v>40</v>
      </c>
      <c r="G6" s="2">
        <f t="shared" si="11"/>
        <v>40</v>
      </c>
      <c r="H6" s="2">
        <f t="shared" si="11"/>
        <v>40</v>
      </c>
      <c r="I6" s="2">
        <f t="shared" si="11"/>
        <v>20</v>
      </c>
      <c r="J6" s="3">
        <v>0</v>
      </c>
      <c r="K6" s="3">
        <v>0</v>
      </c>
      <c r="L6" s="3">
        <v>0</v>
      </c>
      <c r="M6" s="3">
        <v>0</v>
      </c>
      <c r="N6" s="3">
        <v>0</v>
      </c>
      <c r="O6" s="3">
        <v>0</v>
      </c>
      <c r="P6" s="3">
        <v>0</v>
      </c>
      <c r="Q6" s="3">
        <v>0</v>
      </c>
      <c r="R6" s="2">
        <f t="shared" ref="R6:R12" si="12">R32+B44</f>
        <v>10</v>
      </c>
      <c r="S6" s="2">
        <f t="shared" si="8"/>
        <v>10</v>
      </c>
      <c r="T6" s="2">
        <f t="shared" si="8"/>
        <v>10</v>
      </c>
      <c r="U6" s="2">
        <f t="shared" si="8"/>
        <v>40</v>
      </c>
      <c r="V6" s="2">
        <f t="shared" si="8"/>
        <v>40</v>
      </c>
      <c r="W6" s="2">
        <f t="shared" si="8"/>
        <v>40</v>
      </c>
      <c r="X6" s="2">
        <f t="shared" si="8"/>
        <v>40</v>
      </c>
      <c r="Y6" s="2">
        <f t="shared" si="8"/>
        <v>20</v>
      </c>
      <c r="Z6" s="3">
        <v>0</v>
      </c>
      <c r="AA6" s="3">
        <v>0</v>
      </c>
      <c r="AB6" s="3">
        <v>0</v>
      </c>
      <c r="AC6" s="3">
        <v>0</v>
      </c>
      <c r="AD6" s="3">
        <v>0</v>
      </c>
      <c r="AE6" s="3">
        <v>0</v>
      </c>
      <c r="AF6" s="3">
        <v>0</v>
      </c>
      <c r="AG6" s="3">
        <v>0</v>
      </c>
      <c r="AH6" s="2">
        <f t="shared" ref="AH6:AH12" si="13">AH32+B44</f>
        <v>10</v>
      </c>
      <c r="AI6" s="2">
        <f t="shared" si="9"/>
        <v>10</v>
      </c>
      <c r="AJ6" s="2">
        <f t="shared" si="9"/>
        <v>10</v>
      </c>
      <c r="AK6" s="2">
        <f t="shared" si="9"/>
        <v>40</v>
      </c>
      <c r="AL6" s="2">
        <f t="shared" si="9"/>
        <v>40</v>
      </c>
      <c r="AM6" s="2">
        <f t="shared" si="9"/>
        <v>40</v>
      </c>
      <c r="AN6" s="2">
        <f t="shared" si="9"/>
        <v>40</v>
      </c>
      <c r="AO6" s="2">
        <f t="shared" si="9"/>
        <v>20</v>
      </c>
      <c r="AP6" s="3">
        <f>AP5*0.5</f>
        <v>0</v>
      </c>
      <c r="AQ6" s="3">
        <f t="shared" ref="AQ6:AR6" si="14">AQ5*0.5</f>
        <v>0</v>
      </c>
      <c r="AR6" s="3">
        <f t="shared" si="14"/>
        <v>0</v>
      </c>
      <c r="AS6" s="3">
        <f t="shared" ref="AS6:AV6" si="15">AS5*0.5</f>
        <v>0</v>
      </c>
      <c r="AT6" s="3">
        <f t="shared" si="15"/>
        <v>0</v>
      </c>
      <c r="AU6" s="3">
        <f t="shared" si="15"/>
        <v>0</v>
      </c>
      <c r="AV6" s="3">
        <f t="shared" si="15"/>
        <v>0</v>
      </c>
      <c r="AW6" s="3">
        <v>0</v>
      </c>
      <c r="AX6" s="2">
        <f t="shared" ref="AX6:AX12" si="16">AX32+B44</f>
        <v>10</v>
      </c>
      <c r="AY6" s="2">
        <f t="shared" si="10"/>
        <v>10</v>
      </c>
      <c r="AZ6" s="2">
        <f t="shared" si="10"/>
        <v>10</v>
      </c>
      <c r="BA6" s="2">
        <f t="shared" si="10"/>
        <v>40</v>
      </c>
      <c r="BB6" s="2">
        <f t="shared" si="10"/>
        <v>40</v>
      </c>
      <c r="BC6" s="2">
        <f t="shared" si="10"/>
        <v>40</v>
      </c>
      <c r="BD6" s="2">
        <f t="shared" si="10"/>
        <v>40</v>
      </c>
      <c r="BE6" s="2">
        <f t="shared" si="10"/>
        <v>20</v>
      </c>
      <c r="BF6" s="3">
        <v>0</v>
      </c>
      <c r="BG6" s="3">
        <v>0</v>
      </c>
      <c r="BH6" s="3">
        <v>0</v>
      </c>
      <c r="BI6" s="3">
        <v>0</v>
      </c>
      <c r="BJ6" s="3">
        <v>0</v>
      </c>
      <c r="BK6" s="3">
        <v>0</v>
      </c>
      <c r="BL6" s="3">
        <v>0</v>
      </c>
      <c r="BM6" s="3">
        <v>0</v>
      </c>
    </row>
    <row r="7" spans="1:65" x14ac:dyDescent="0.2">
      <c r="A7" s="1">
        <v>2</v>
      </c>
      <c r="B7" s="2">
        <f t="shared" si="11"/>
        <v>10</v>
      </c>
      <c r="C7" s="2">
        <f t="shared" si="11"/>
        <v>10</v>
      </c>
      <c r="D7" s="2">
        <f t="shared" si="11"/>
        <v>10</v>
      </c>
      <c r="E7" s="2">
        <f t="shared" si="11"/>
        <v>40</v>
      </c>
      <c r="F7" s="2">
        <f t="shared" si="11"/>
        <v>40</v>
      </c>
      <c r="G7" s="2">
        <f t="shared" si="11"/>
        <v>40</v>
      </c>
      <c r="H7" s="2">
        <f t="shared" si="11"/>
        <v>40</v>
      </c>
      <c r="I7" s="2">
        <f t="shared" si="11"/>
        <v>20</v>
      </c>
      <c r="J7" s="3">
        <v>0</v>
      </c>
      <c r="K7" s="3">
        <v>0</v>
      </c>
      <c r="L7" s="3">
        <v>0</v>
      </c>
      <c r="M7" s="3">
        <v>0</v>
      </c>
      <c r="N7" s="3">
        <v>0</v>
      </c>
      <c r="O7" s="3">
        <v>0</v>
      </c>
      <c r="P7" s="3">
        <v>0</v>
      </c>
      <c r="Q7" s="3">
        <v>0</v>
      </c>
      <c r="R7" s="2">
        <f t="shared" si="12"/>
        <v>10</v>
      </c>
      <c r="S7" s="2">
        <f t="shared" si="8"/>
        <v>10</v>
      </c>
      <c r="T7" s="2">
        <f t="shared" si="8"/>
        <v>10</v>
      </c>
      <c r="U7" s="2">
        <f t="shared" si="8"/>
        <v>40</v>
      </c>
      <c r="V7" s="2">
        <f t="shared" si="8"/>
        <v>40</v>
      </c>
      <c r="W7" s="2">
        <f t="shared" si="8"/>
        <v>40</v>
      </c>
      <c r="X7" s="2">
        <f t="shared" si="8"/>
        <v>40</v>
      </c>
      <c r="Y7" s="2">
        <f t="shared" si="8"/>
        <v>20</v>
      </c>
      <c r="Z7" s="3">
        <v>0</v>
      </c>
      <c r="AA7" s="3">
        <v>0</v>
      </c>
      <c r="AB7" s="3">
        <v>0</v>
      </c>
      <c r="AC7" s="3">
        <v>0</v>
      </c>
      <c r="AD7" s="3">
        <v>0</v>
      </c>
      <c r="AE7" s="3">
        <v>0</v>
      </c>
      <c r="AF7" s="3">
        <v>0</v>
      </c>
      <c r="AG7" s="3">
        <v>0</v>
      </c>
      <c r="AH7" s="2">
        <f t="shared" si="13"/>
        <v>10</v>
      </c>
      <c r="AI7" s="2">
        <f t="shared" si="9"/>
        <v>10</v>
      </c>
      <c r="AJ7" s="2">
        <f t="shared" si="9"/>
        <v>10</v>
      </c>
      <c r="AK7" s="2">
        <f t="shared" si="9"/>
        <v>40</v>
      </c>
      <c r="AL7" s="2">
        <f t="shared" si="9"/>
        <v>40</v>
      </c>
      <c r="AM7" s="2">
        <f t="shared" si="9"/>
        <v>40</v>
      </c>
      <c r="AN7" s="2">
        <f t="shared" si="9"/>
        <v>40</v>
      </c>
      <c r="AO7" s="2">
        <f t="shared" si="9"/>
        <v>20</v>
      </c>
      <c r="AP7" s="3">
        <v>0</v>
      </c>
      <c r="AQ7" s="3">
        <v>0</v>
      </c>
      <c r="AR7" s="3">
        <v>0</v>
      </c>
      <c r="AS7" s="3">
        <v>0</v>
      </c>
      <c r="AT7" s="3">
        <v>0</v>
      </c>
      <c r="AU7" s="3">
        <v>0</v>
      </c>
      <c r="AV7" s="3">
        <v>0</v>
      </c>
      <c r="AW7" s="3">
        <v>0</v>
      </c>
      <c r="AX7" s="2">
        <f t="shared" si="16"/>
        <v>10</v>
      </c>
      <c r="AY7" s="2">
        <f t="shared" si="10"/>
        <v>10</v>
      </c>
      <c r="AZ7" s="2">
        <f t="shared" si="10"/>
        <v>10</v>
      </c>
      <c r="BA7" s="2">
        <f t="shared" si="10"/>
        <v>40</v>
      </c>
      <c r="BB7" s="2">
        <f t="shared" si="10"/>
        <v>40</v>
      </c>
      <c r="BC7" s="2">
        <f t="shared" si="10"/>
        <v>40</v>
      </c>
      <c r="BD7" s="2">
        <f t="shared" si="10"/>
        <v>40</v>
      </c>
      <c r="BE7" s="2">
        <f t="shared" si="10"/>
        <v>20</v>
      </c>
      <c r="BF7" s="3">
        <v>0</v>
      </c>
      <c r="BG7" s="3">
        <v>0</v>
      </c>
      <c r="BH7" s="3">
        <v>0</v>
      </c>
      <c r="BI7" s="3">
        <v>0</v>
      </c>
      <c r="BJ7" s="3">
        <v>0</v>
      </c>
      <c r="BK7" s="3">
        <v>0</v>
      </c>
      <c r="BL7" s="3">
        <v>0</v>
      </c>
      <c r="BM7" s="3">
        <v>0</v>
      </c>
    </row>
    <row r="8" spans="1:65" x14ac:dyDescent="0.2">
      <c r="A8" s="1">
        <v>3</v>
      </c>
      <c r="B8" s="2">
        <f t="shared" si="11"/>
        <v>10</v>
      </c>
      <c r="C8" s="2">
        <f t="shared" si="11"/>
        <v>10</v>
      </c>
      <c r="D8" s="2">
        <f t="shared" si="11"/>
        <v>10</v>
      </c>
      <c r="E8" s="2">
        <f t="shared" si="11"/>
        <v>40</v>
      </c>
      <c r="F8" s="2">
        <f t="shared" si="11"/>
        <v>40</v>
      </c>
      <c r="G8" s="2">
        <f t="shared" si="11"/>
        <v>40</v>
      </c>
      <c r="H8" s="2">
        <f t="shared" si="11"/>
        <v>40</v>
      </c>
      <c r="I8" s="2">
        <f t="shared" si="11"/>
        <v>20</v>
      </c>
      <c r="J8" s="3">
        <v>0</v>
      </c>
      <c r="K8" s="3">
        <v>0</v>
      </c>
      <c r="L8" s="3">
        <v>0</v>
      </c>
      <c r="M8" s="3">
        <v>0</v>
      </c>
      <c r="N8" s="3">
        <v>0</v>
      </c>
      <c r="O8" s="3">
        <v>0</v>
      </c>
      <c r="P8" s="3">
        <v>0</v>
      </c>
      <c r="Q8" s="3">
        <v>0</v>
      </c>
      <c r="R8" s="2">
        <f t="shared" si="12"/>
        <v>10</v>
      </c>
      <c r="S8" s="2">
        <f t="shared" si="8"/>
        <v>10</v>
      </c>
      <c r="T8" s="2">
        <f t="shared" si="8"/>
        <v>10</v>
      </c>
      <c r="U8" s="2">
        <f t="shared" si="8"/>
        <v>40</v>
      </c>
      <c r="V8" s="2">
        <f t="shared" si="8"/>
        <v>40</v>
      </c>
      <c r="W8" s="2">
        <f t="shared" si="8"/>
        <v>40</v>
      </c>
      <c r="X8" s="2">
        <f t="shared" si="8"/>
        <v>40</v>
      </c>
      <c r="Y8" s="2">
        <f t="shared" si="8"/>
        <v>20</v>
      </c>
      <c r="Z8" s="3">
        <v>0</v>
      </c>
      <c r="AA8" s="3">
        <v>0</v>
      </c>
      <c r="AB8" s="3">
        <v>0</v>
      </c>
      <c r="AC8" s="3">
        <v>0</v>
      </c>
      <c r="AD8" s="3">
        <v>0</v>
      </c>
      <c r="AE8" s="3">
        <v>0</v>
      </c>
      <c r="AF8" s="3">
        <v>0</v>
      </c>
      <c r="AG8" s="3">
        <v>0</v>
      </c>
      <c r="AH8" s="2">
        <f t="shared" si="13"/>
        <v>10</v>
      </c>
      <c r="AI8" s="2">
        <f t="shared" si="9"/>
        <v>10</v>
      </c>
      <c r="AJ8" s="2">
        <f t="shared" si="9"/>
        <v>10</v>
      </c>
      <c r="AK8" s="2">
        <f t="shared" si="9"/>
        <v>40</v>
      </c>
      <c r="AL8" s="2">
        <f t="shared" si="9"/>
        <v>40</v>
      </c>
      <c r="AM8" s="2">
        <f t="shared" si="9"/>
        <v>40</v>
      </c>
      <c r="AN8" s="2">
        <f t="shared" si="9"/>
        <v>40</v>
      </c>
      <c r="AO8" s="2">
        <f t="shared" si="9"/>
        <v>20</v>
      </c>
      <c r="AP8" s="3">
        <v>0</v>
      </c>
      <c r="AQ8" s="3">
        <v>0</v>
      </c>
      <c r="AR8" s="3">
        <v>0</v>
      </c>
      <c r="AS8" s="3">
        <v>0</v>
      </c>
      <c r="AT8" s="3">
        <v>0</v>
      </c>
      <c r="AU8" s="3">
        <v>0</v>
      </c>
      <c r="AV8" s="3">
        <v>0</v>
      </c>
      <c r="AW8" s="3">
        <v>0</v>
      </c>
      <c r="AX8" s="2">
        <f t="shared" si="16"/>
        <v>10</v>
      </c>
      <c r="AY8" s="2">
        <f t="shared" si="10"/>
        <v>10</v>
      </c>
      <c r="AZ8" s="2">
        <f t="shared" si="10"/>
        <v>10</v>
      </c>
      <c r="BA8" s="2">
        <f t="shared" si="10"/>
        <v>40</v>
      </c>
      <c r="BB8" s="2">
        <f t="shared" si="10"/>
        <v>40</v>
      </c>
      <c r="BC8" s="2">
        <f t="shared" si="10"/>
        <v>40</v>
      </c>
      <c r="BD8" s="2">
        <f t="shared" si="10"/>
        <v>40</v>
      </c>
      <c r="BE8" s="2">
        <f t="shared" si="10"/>
        <v>20</v>
      </c>
      <c r="BF8" s="3">
        <v>0</v>
      </c>
      <c r="BG8" s="3">
        <v>0</v>
      </c>
      <c r="BH8" s="3">
        <v>0</v>
      </c>
      <c r="BI8" s="3">
        <v>0</v>
      </c>
      <c r="BJ8" s="3">
        <v>0</v>
      </c>
      <c r="BK8" s="3">
        <v>0</v>
      </c>
      <c r="BL8" s="3">
        <v>0</v>
      </c>
      <c r="BM8" s="3">
        <v>0</v>
      </c>
    </row>
    <row r="9" spans="1:65" x14ac:dyDescent="0.2">
      <c r="A9" s="1">
        <v>4</v>
      </c>
      <c r="B9" s="2">
        <f t="shared" si="11"/>
        <v>10</v>
      </c>
      <c r="C9" s="2">
        <f t="shared" si="11"/>
        <v>10</v>
      </c>
      <c r="D9" s="2">
        <f t="shared" si="11"/>
        <v>10</v>
      </c>
      <c r="E9" s="2">
        <f t="shared" si="11"/>
        <v>50</v>
      </c>
      <c r="F9" s="2">
        <f t="shared" si="11"/>
        <v>50</v>
      </c>
      <c r="G9" s="2">
        <f t="shared" si="11"/>
        <v>40</v>
      </c>
      <c r="H9" s="2">
        <f t="shared" si="11"/>
        <v>50</v>
      </c>
      <c r="I9" s="2">
        <f t="shared" si="11"/>
        <v>20</v>
      </c>
      <c r="J9" s="3"/>
      <c r="K9" s="3"/>
      <c r="L9" s="3"/>
      <c r="M9" s="3"/>
      <c r="N9" s="3"/>
      <c r="O9" s="3"/>
      <c r="P9" s="3"/>
      <c r="Q9" s="3"/>
      <c r="R9" s="2">
        <f t="shared" si="12"/>
        <v>10</v>
      </c>
      <c r="S9" s="2">
        <f t="shared" si="8"/>
        <v>10</v>
      </c>
      <c r="T9" s="2">
        <f t="shared" si="8"/>
        <v>10</v>
      </c>
      <c r="U9" s="2">
        <f t="shared" si="8"/>
        <v>50</v>
      </c>
      <c r="V9" s="2">
        <f t="shared" si="8"/>
        <v>50</v>
      </c>
      <c r="W9" s="2">
        <f t="shared" si="8"/>
        <v>40</v>
      </c>
      <c r="X9" s="2">
        <f t="shared" si="8"/>
        <v>40</v>
      </c>
      <c r="Y9" s="2">
        <f t="shared" si="8"/>
        <v>20</v>
      </c>
      <c r="Z9" s="3"/>
      <c r="AA9" s="3"/>
      <c r="AB9" s="3"/>
      <c r="AC9" s="3"/>
      <c r="AD9" s="3"/>
      <c r="AE9" s="3"/>
      <c r="AF9" s="3"/>
      <c r="AG9" s="3"/>
      <c r="AH9" s="2">
        <f t="shared" si="13"/>
        <v>10</v>
      </c>
      <c r="AI9" s="2">
        <f t="shared" si="9"/>
        <v>10</v>
      </c>
      <c r="AJ9" s="2">
        <f t="shared" si="9"/>
        <v>10</v>
      </c>
      <c r="AK9" s="2">
        <f t="shared" si="9"/>
        <v>40</v>
      </c>
      <c r="AL9" s="2">
        <f t="shared" si="9"/>
        <v>40</v>
      </c>
      <c r="AM9" s="2">
        <f t="shared" si="9"/>
        <v>40</v>
      </c>
      <c r="AN9" s="2">
        <f t="shared" si="9"/>
        <v>50</v>
      </c>
      <c r="AO9" s="2">
        <f t="shared" si="9"/>
        <v>20</v>
      </c>
      <c r="AP9" s="3"/>
      <c r="AQ9" s="3"/>
      <c r="AR9" s="3"/>
      <c r="AS9" s="3"/>
      <c r="AT9" s="3"/>
      <c r="AU9" s="3"/>
      <c r="AV9" s="3"/>
      <c r="AW9" s="3"/>
      <c r="AX9" s="2">
        <f t="shared" si="16"/>
        <v>10</v>
      </c>
      <c r="AY9" s="2">
        <f t="shared" si="10"/>
        <v>10</v>
      </c>
      <c r="AZ9" s="2">
        <f t="shared" si="10"/>
        <v>10</v>
      </c>
      <c r="BA9" s="2">
        <f t="shared" si="10"/>
        <v>40</v>
      </c>
      <c r="BB9" s="2">
        <f t="shared" si="10"/>
        <v>40</v>
      </c>
      <c r="BC9" s="2">
        <f t="shared" si="10"/>
        <v>40</v>
      </c>
      <c r="BD9" s="2">
        <f t="shared" si="10"/>
        <v>40</v>
      </c>
      <c r="BE9" s="2">
        <f t="shared" si="10"/>
        <v>20</v>
      </c>
      <c r="BF9" s="3"/>
      <c r="BG9" s="3"/>
      <c r="BH9" s="3"/>
      <c r="BI9" s="3"/>
      <c r="BJ9" s="3"/>
      <c r="BK9" s="3"/>
      <c r="BL9" s="3"/>
      <c r="BM9" s="3"/>
    </row>
    <row r="10" spans="1:65" x14ac:dyDescent="0.2">
      <c r="A10" s="1">
        <v>5</v>
      </c>
      <c r="B10" s="2">
        <f t="shared" si="11"/>
        <v>10</v>
      </c>
      <c r="C10" s="2">
        <f t="shared" si="11"/>
        <v>10</v>
      </c>
      <c r="D10" s="2">
        <f t="shared" si="11"/>
        <v>10</v>
      </c>
      <c r="E10" s="2">
        <f t="shared" si="11"/>
        <v>40</v>
      </c>
      <c r="F10" s="2">
        <f t="shared" si="11"/>
        <v>40</v>
      </c>
      <c r="G10" s="2">
        <f t="shared" si="11"/>
        <v>40</v>
      </c>
      <c r="H10" s="2">
        <f t="shared" si="11"/>
        <v>35</v>
      </c>
      <c r="I10" s="2">
        <f t="shared" si="11"/>
        <v>20</v>
      </c>
      <c r="J10" s="3"/>
      <c r="K10" s="3"/>
      <c r="L10" s="3"/>
      <c r="M10" s="3"/>
      <c r="N10" s="3"/>
      <c r="O10" s="3"/>
      <c r="P10" s="3"/>
      <c r="Q10" s="3"/>
      <c r="R10" s="2">
        <f t="shared" si="12"/>
        <v>10</v>
      </c>
      <c r="S10" s="2">
        <f t="shared" si="8"/>
        <v>10</v>
      </c>
      <c r="T10" s="2">
        <f t="shared" si="8"/>
        <v>10</v>
      </c>
      <c r="U10" s="2">
        <f t="shared" si="8"/>
        <v>40</v>
      </c>
      <c r="V10" s="2">
        <f t="shared" si="8"/>
        <v>40</v>
      </c>
      <c r="W10" s="2">
        <f t="shared" si="8"/>
        <v>40</v>
      </c>
      <c r="X10" s="2">
        <f t="shared" si="8"/>
        <v>35</v>
      </c>
      <c r="Y10" s="2">
        <f t="shared" si="8"/>
        <v>20</v>
      </c>
      <c r="Z10" s="3"/>
      <c r="AA10" s="3"/>
      <c r="AB10" s="3"/>
      <c r="AC10" s="3"/>
      <c r="AD10" s="3"/>
      <c r="AE10" s="3"/>
      <c r="AF10" s="3"/>
      <c r="AG10" s="3"/>
      <c r="AH10" s="2">
        <f t="shared" si="13"/>
        <v>10</v>
      </c>
      <c r="AI10" s="2">
        <f t="shared" si="9"/>
        <v>10</v>
      </c>
      <c r="AJ10" s="2">
        <f t="shared" si="9"/>
        <v>10</v>
      </c>
      <c r="AK10" s="2">
        <f t="shared" si="9"/>
        <v>40</v>
      </c>
      <c r="AL10" s="2">
        <f t="shared" si="9"/>
        <v>40</v>
      </c>
      <c r="AM10" s="2">
        <f t="shared" si="9"/>
        <v>40</v>
      </c>
      <c r="AN10" s="2">
        <f t="shared" si="9"/>
        <v>35</v>
      </c>
      <c r="AO10" s="2">
        <f t="shared" si="9"/>
        <v>20</v>
      </c>
      <c r="AP10" s="3"/>
      <c r="AQ10" s="3"/>
      <c r="AR10" s="3"/>
      <c r="AS10" s="3"/>
      <c r="AT10" s="3"/>
      <c r="AU10" s="3"/>
      <c r="AV10" s="3"/>
      <c r="AW10" s="3"/>
      <c r="AX10" s="2">
        <f t="shared" si="16"/>
        <v>10</v>
      </c>
      <c r="AY10" s="2">
        <f t="shared" si="10"/>
        <v>10</v>
      </c>
      <c r="AZ10" s="2">
        <f t="shared" si="10"/>
        <v>10</v>
      </c>
      <c r="BA10" s="2">
        <f t="shared" si="10"/>
        <v>40</v>
      </c>
      <c r="BB10" s="2">
        <f t="shared" si="10"/>
        <v>40</v>
      </c>
      <c r="BC10" s="2">
        <f t="shared" si="10"/>
        <v>40</v>
      </c>
      <c r="BD10" s="2">
        <f t="shared" si="10"/>
        <v>35</v>
      </c>
      <c r="BE10" s="2">
        <f t="shared" si="10"/>
        <v>20</v>
      </c>
      <c r="BF10" s="3"/>
      <c r="BG10" s="3"/>
      <c r="BH10" s="3"/>
      <c r="BI10" s="3"/>
      <c r="BJ10" s="3"/>
      <c r="BK10" s="3"/>
      <c r="BL10" s="3"/>
      <c r="BM10" s="3"/>
    </row>
    <row r="11" spans="1:65" x14ac:dyDescent="0.2">
      <c r="A11" s="1">
        <v>6</v>
      </c>
      <c r="B11" s="2">
        <f t="shared" si="11"/>
        <v>10</v>
      </c>
      <c r="C11" s="2">
        <f t="shared" si="11"/>
        <v>10</v>
      </c>
      <c r="D11" s="2">
        <f t="shared" si="11"/>
        <v>10</v>
      </c>
      <c r="E11" s="2">
        <f t="shared" si="11"/>
        <v>40</v>
      </c>
      <c r="F11" s="2">
        <f t="shared" si="11"/>
        <v>40</v>
      </c>
      <c r="G11" s="2">
        <f t="shared" si="11"/>
        <v>40</v>
      </c>
      <c r="H11" s="2">
        <f t="shared" si="11"/>
        <v>35</v>
      </c>
      <c r="I11" s="2">
        <f t="shared" si="11"/>
        <v>20</v>
      </c>
      <c r="J11" s="3"/>
      <c r="K11" s="3"/>
      <c r="L11" s="3"/>
      <c r="M11" s="3"/>
      <c r="N11" s="3"/>
      <c r="O11" s="3"/>
      <c r="P11" s="3"/>
      <c r="Q11" s="3"/>
      <c r="R11" s="2">
        <f t="shared" si="12"/>
        <v>10</v>
      </c>
      <c r="S11" s="2">
        <f t="shared" si="8"/>
        <v>10</v>
      </c>
      <c r="T11" s="2">
        <f t="shared" si="8"/>
        <v>10</v>
      </c>
      <c r="U11" s="2">
        <f t="shared" si="8"/>
        <v>40</v>
      </c>
      <c r="V11" s="2">
        <f t="shared" si="8"/>
        <v>40</v>
      </c>
      <c r="W11" s="2">
        <f t="shared" si="8"/>
        <v>40</v>
      </c>
      <c r="X11" s="2">
        <f t="shared" si="8"/>
        <v>35</v>
      </c>
      <c r="Y11" s="2">
        <f t="shared" si="8"/>
        <v>20</v>
      </c>
      <c r="Z11" s="3"/>
      <c r="AA11" s="3"/>
      <c r="AB11" s="3"/>
      <c r="AC11" s="3"/>
      <c r="AD11" s="3"/>
      <c r="AE11" s="3"/>
      <c r="AF11" s="3"/>
      <c r="AG11" s="3"/>
      <c r="AH11" s="2">
        <f t="shared" si="13"/>
        <v>10</v>
      </c>
      <c r="AI11" s="2">
        <f t="shared" si="9"/>
        <v>10</v>
      </c>
      <c r="AJ11" s="2">
        <f t="shared" si="9"/>
        <v>10</v>
      </c>
      <c r="AK11" s="2">
        <f t="shared" si="9"/>
        <v>40</v>
      </c>
      <c r="AL11" s="2">
        <f t="shared" si="9"/>
        <v>40</v>
      </c>
      <c r="AM11" s="2">
        <f t="shared" si="9"/>
        <v>40</v>
      </c>
      <c r="AN11" s="2">
        <f t="shared" si="9"/>
        <v>35</v>
      </c>
      <c r="AO11" s="2">
        <f t="shared" si="9"/>
        <v>20</v>
      </c>
      <c r="AP11" s="3"/>
      <c r="AQ11" s="3"/>
      <c r="AR11" s="3"/>
      <c r="AS11" s="3"/>
      <c r="AT11" s="3"/>
      <c r="AU11" s="3"/>
      <c r="AV11" s="3"/>
      <c r="AW11" s="3"/>
      <c r="AX11" s="2">
        <f t="shared" si="16"/>
        <v>10</v>
      </c>
      <c r="AY11" s="2">
        <f t="shared" si="10"/>
        <v>10</v>
      </c>
      <c r="AZ11" s="2">
        <f t="shared" si="10"/>
        <v>10</v>
      </c>
      <c r="BA11" s="2">
        <f t="shared" si="10"/>
        <v>40</v>
      </c>
      <c r="BB11" s="2">
        <f t="shared" si="10"/>
        <v>40</v>
      </c>
      <c r="BC11" s="2">
        <f t="shared" si="10"/>
        <v>40</v>
      </c>
      <c r="BD11" s="2">
        <f t="shared" si="10"/>
        <v>35</v>
      </c>
      <c r="BE11" s="2">
        <f t="shared" si="10"/>
        <v>20</v>
      </c>
      <c r="BF11" s="3"/>
      <c r="BG11" s="3"/>
      <c r="BH11" s="3"/>
      <c r="BI11" s="3"/>
      <c r="BJ11" s="3"/>
      <c r="BK11" s="3"/>
      <c r="BL11" s="3"/>
      <c r="BM11" s="3"/>
    </row>
    <row r="12" spans="1:65" x14ac:dyDescent="0.2">
      <c r="A12" s="1">
        <v>7</v>
      </c>
      <c r="B12" s="2">
        <f t="shared" si="11"/>
        <v>10</v>
      </c>
      <c r="C12" s="2">
        <f t="shared" si="11"/>
        <v>10</v>
      </c>
      <c r="D12" s="2">
        <f t="shared" si="11"/>
        <v>10</v>
      </c>
      <c r="E12" s="2">
        <f t="shared" si="11"/>
        <v>50</v>
      </c>
      <c r="F12" s="2">
        <f t="shared" si="11"/>
        <v>50</v>
      </c>
      <c r="G12" s="2">
        <f t="shared" si="11"/>
        <v>40</v>
      </c>
      <c r="H12" s="2">
        <f t="shared" si="11"/>
        <v>45</v>
      </c>
      <c r="I12" s="2">
        <f t="shared" si="11"/>
        <v>20</v>
      </c>
      <c r="J12" s="3"/>
      <c r="K12" s="3"/>
      <c r="L12" s="3"/>
      <c r="M12" s="3"/>
      <c r="N12" s="3"/>
      <c r="O12" s="3"/>
      <c r="P12" s="3"/>
      <c r="Q12" s="3"/>
      <c r="R12" s="2">
        <f t="shared" si="12"/>
        <v>10</v>
      </c>
      <c r="S12" s="2">
        <f t="shared" si="8"/>
        <v>10</v>
      </c>
      <c r="T12" s="2">
        <f t="shared" si="8"/>
        <v>10</v>
      </c>
      <c r="U12" s="2">
        <f t="shared" si="8"/>
        <v>50</v>
      </c>
      <c r="V12" s="2">
        <f t="shared" si="8"/>
        <v>50</v>
      </c>
      <c r="W12" s="2">
        <f t="shared" si="8"/>
        <v>40</v>
      </c>
      <c r="X12" s="2">
        <f t="shared" si="8"/>
        <v>35</v>
      </c>
      <c r="Y12" s="2">
        <f t="shared" si="8"/>
        <v>20</v>
      </c>
      <c r="Z12" s="3"/>
      <c r="AA12" s="3"/>
      <c r="AB12" s="3"/>
      <c r="AC12" s="3"/>
      <c r="AD12" s="3"/>
      <c r="AE12" s="3"/>
      <c r="AF12" s="3"/>
      <c r="AG12" s="3"/>
      <c r="AH12" s="2">
        <f t="shared" si="13"/>
        <v>10</v>
      </c>
      <c r="AI12" s="2">
        <f t="shared" si="9"/>
        <v>10</v>
      </c>
      <c r="AJ12" s="2">
        <f t="shared" si="9"/>
        <v>10</v>
      </c>
      <c r="AK12" s="2">
        <f t="shared" si="9"/>
        <v>40</v>
      </c>
      <c r="AL12" s="2">
        <f t="shared" si="9"/>
        <v>40</v>
      </c>
      <c r="AM12" s="2">
        <f t="shared" si="9"/>
        <v>40</v>
      </c>
      <c r="AN12" s="2">
        <f t="shared" si="9"/>
        <v>45</v>
      </c>
      <c r="AO12" s="2">
        <f t="shared" si="9"/>
        <v>20</v>
      </c>
      <c r="AP12" s="3"/>
      <c r="AQ12" s="3"/>
      <c r="AR12" s="3"/>
      <c r="AS12" s="3"/>
      <c r="AT12" s="3"/>
      <c r="AU12" s="3"/>
      <c r="AV12" s="3"/>
      <c r="AW12" s="3"/>
      <c r="AX12" s="2">
        <f t="shared" si="16"/>
        <v>10</v>
      </c>
      <c r="AY12" s="2">
        <f t="shared" si="10"/>
        <v>10</v>
      </c>
      <c r="AZ12" s="2">
        <f t="shared" si="10"/>
        <v>10</v>
      </c>
      <c r="BA12" s="2">
        <f t="shared" si="10"/>
        <v>40</v>
      </c>
      <c r="BB12" s="2">
        <f t="shared" si="10"/>
        <v>40</v>
      </c>
      <c r="BC12" s="2">
        <f t="shared" si="10"/>
        <v>40</v>
      </c>
      <c r="BD12" s="2">
        <f t="shared" si="10"/>
        <v>35</v>
      </c>
      <c r="BE12" s="2">
        <f t="shared" si="10"/>
        <v>20</v>
      </c>
      <c r="BF12" s="3"/>
      <c r="BG12" s="3"/>
      <c r="BH12" s="3"/>
      <c r="BI12" s="3"/>
      <c r="BJ12" s="3"/>
      <c r="BK12" s="3"/>
      <c r="BL12" s="3"/>
      <c r="BM12" s="3"/>
    </row>
    <row r="13" spans="1:65" x14ac:dyDescent="0.2">
      <c r="A13" s="1">
        <v>8</v>
      </c>
      <c r="B13" s="2"/>
      <c r="C13" s="2"/>
      <c r="D13" s="2"/>
      <c r="E13" s="2"/>
      <c r="F13" s="2"/>
      <c r="G13" s="2"/>
      <c r="H13" s="2"/>
      <c r="I13" s="2"/>
      <c r="J13" s="3"/>
      <c r="K13" s="3"/>
      <c r="L13" s="3"/>
      <c r="M13" s="3"/>
      <c r="N13" s="3"/>
      <c r="O13" s="3"/>
      <c r="P13" s="3"/>
      <c r="Q13" s="3"/>
      <c r="R13" s="2"/>
      <c r="S13" s="2"/>
      <c r="T13" s="2"/>
      <c r="U13" s="2"/>
      <c r="V13" s="2"/>
      <c r="W13" s="2"/>
      <c r="X13" s="2"/>
      <c r="Y13" s="2"/>
      <c r="Z13" s="3"/>
      <c r="AA13" s="3"/>
      <c r="AB13" s="3"/>
      <c r="AC13" s="3"/>
      <c r="AD13" s="3"/>
      <c r="AE13" s="3"/>
      <c r="AF13" s="3"/>
      <c r="AG13" s="3"/>
      <c r="AH13" s="2"/>
      <c r="AI13" s="2"/>
      <c r="AJ13" s="2"/>
      <c r="AK13" s="2"/>
      <c r="AL13" s="2"/>
      <c r="AM13" s="2"/>
      <c r="AN13" s="2"/>
      <c r="AO13" s="2"/>
      <c r="AP13" s="3"/>
      <c r="AQ13" s="3"/>
      <c r="AR13" s="3"/>
      <c r="AS13" s="3"/>
      <c r="AT13" s="3"/>
      <c r="AU13" s="3"/>
      <c r="AV13" s="3"/>
      <c r="AW13" s="3"/>
      <c r="AX13" s="2"/>
      <c r="AY13" s="2"/>
      <c r="AZ13" s="2"/>
      <c r="BA13" s="2"/>
      <c r="BB13" s="2"/>
      <c r="BC13" s="2"/>
      <c r="BD13" s="2"/>
      <c r="BE13" s="2"/>
      <c r="BF13" s="3"/>
      <c r="BG13" s="3"/>
      <c r="BH13" s="3"/>
      <c r="BI13" s="3"/>
      <c r="BJ13" s="3"/>
      <c r="BK13" s="3"/>
      <c r="BL13" s="3"/>
      <c r="BM13" s="3"/>
    </row>
    <row r="14" spans="1:65" x14ac:dyDescent="0.2">
      <c r="A14" s="1">
        <v>9</v>
      </c>
      <c r="B14" s="2"/>
      <c r="C14" s="2"/>
      <c r="D14" s="2"/>
      <c r="E14" s="2"/>
      <c r="F14" s="2"/>
      <c r="G14" s="2"/>
      <c r="H14" s="2"/>
      <c r="I14" s="2"/>
      <c r="J14" s="3"/>
      <c r="K14" s="3"/>
      <c r="L14" s="3"/>
      <c r="M14" s="3"/>
      <c r="N14" s="3"/>
      <c r="O14" s="3"/>
      <c r="P14" s="3"/>
      <c r="Q14" s="3"/>
      <c r="R14" s="2"/>
      <c r="S14" s="2"/>
      <c r="T14" s="2"/>
      <c r="U14" s="2"/>
      <c r="V14" s="2"/>
      <c r="W14" s="2"/>
      <c r="X14" s="2"/>
      <c r="Y14" s="2"/>
      <c r="Z14" s="3"/>
      <c r="AA14" s="3"/>
      <c r="AB14" s="3"/>
      <c r="AC14" s="3"/>
      <c r="AD14" s="3"/>
      <c r="AE14" s="3"/>
      <c r="AF14" s="3"/>
      <c r="AG14" s="3"/>
      <c r="AH14" s="2"/>
      <c r="AI14" s="2"/>
      <c r="AJ14" s="2"/>
      <c r="AK14" s="2"/>
      <c r="AL14" s="2"/>
      <c r="AM14" s="2"/>
      <c r="AN14" s="2"/>
      <c r="AO14" s="2"/>
      <c r="AP14" s="3"/>
      <c r="AQ14" s="3"/>
      <c r="AR14" s="3"/>
      <c r="AS14" s="3"/>
      <c r="AT14" s="3"/>
      <c r="AU14" s="3"/>
      <c r="AV14" s="3"/>
      <c r="AW14" s="3"/>
      <c r="AX14" s="2"/>
      <c r="AY14" s="2"/>
      <c r="AZ14" s="2"/>
      <c r="BA14" s="2"/>
      <c r="BB14" s="2"/>
      <c r="BC14" s="2"/>
      <c r="BD14" s="2"/>
      <c r="BE14" s="2"/>
      <c r="BF14" s="3"/>
      <c r="BG14" s="3"/>
      <c r="BH14" s="3"/>
      <c r="BI14" s="3"/>
      <c r="BJ14" s="3"/>
      <c r="BK14" s="3"/>
      <c r="BL14" s="3"/>
      <c r="BM14" s="3"/>
    </row>
    <row r="15" spans="1:65" x14ac:dyDescent="0.2">
      <c r="A15" s="1">
        <v>10</v>
      </c>
      <c r="B15" s="2"/>
      <c r="C15" s="2"/>
      <c r="D15" s="2"/>
      <c r="E15" s="2"/>
      <c r="F15" s="2"/>
      <c r="G15" s="2"/>
      <c r="H15" s="2"/>
      <c r="I15" s="2"/>
      <c r="J15" s="3"/>
      <c r="K15" s="3"/>
      <c r="L15" s="3"/>
      <c r="M15" s="3"/>
      <c r="N15" s="3"/>
      <c r="O15" s="3"/>
      <c r="P15" s="3"/>
      <c r="Q15" s="3"/>
      <c r="R15" s="2"/>
      <c r="S15" s="2"/>
      <c r="T15" s="2"/>
      <c r="U15" s="2"/>
      <c r="V15" s="2"/>
      <c r="W15" s="2"/>
      <c r="X15" s="2"/>
      <c r="Y15" s="2"/>
      <c r="Z15" s="3"/>
      <c r="AA15" s="3"/>
      <c r="AB15" s="3"/>
      <c r="AC15" s="3"/>
      <c r="AD15" s="3"/>
      <c r="AE15" s="3"/>
      <c r="AF15" s="3"/>
      <c r="AG15" s="3"/>
      <c r="AH15" s="2"/>
      <c r="AI15" s="2"/>
      <c r="AJ15" s="2"/>
      <c r="AK15" s="2"/>
      <c r="AL15" s="2"/>
      <c r="AM15" s="2"/>
      <c r="AN15" s="2"/>
      <c r="AO15" s="2"/>
      <c r="AP15" s="3"/>
      <c r="AQ15" s="3"/>
      <c r="AR15" s="3"/>
      <c r="AS15" s="3"/>
      <c r="AT15" s="3"/>
      <c r="AU15" s="3"/>
      <c r="AV15" s="3"/>
      <c r="AW15" s="3"/>
      <c r="AX15" s="2"/>
      <c r="AY15" s="2"/>
      <c r="AZ15" s="2"/>
      <c r="BA15" s="2"/>
      <c r="BB15" s="2"/>
      <c r="BC15" s="2"/>
      <c r="BD15" s="2"/>
      <c r="BE15" s="2"/>
      <c r="BF15" s="3"/>
      <c r="BG15" s="3"/>
      <c r="BH15" s="3"/>
      <c r="BI15" s="3"/>
      <c r="BJ15" s="3"/>
      <c r="BK15" s="3"/>
      <c r="BL15" s="3"/>
      <c r="BM15" s="3"/>
    </row>
    <row r="16" spans="1:65" x14ac:dyDescent="0.2">
      <c r="A16" s="1">
        <v>11</v>
      </c>
      <c r="B16" s="2"/>
      <c r="C16" s="2"/>
      <c r="D16" s="2"/>
      <c r="E16" s="2"/>
      <c r="F16" s="2"/>
      <c r="G16" s="2"/>
      <c r="H16" s="2"/>
      <c r="I16" s="2"/>
      <c r="J16" s="3"/>
      <c r="K16" s="3"/>
      <c r="L16" s="3"/>
      <c r="M16" s="3"/>
      <c r="N16" s="3"/>
      <c r="O16" s="3"/>
      <c r="P16" s="3"/>
      <c r="Q16" s="3"/>
      <c r="R16" s="2"/>
      <c r="S16" s="2"/>
      <c r="T16" s="2"/>
      <c r="U16" s="2"/>
      <c r="V16" s="2"/>
      <c r="W16" s="2"/>
      <c r="X16" s="2"/>
      <c r="Y16" s="2"/>
      <c r="Z16" s="3"/>
      <c r="AA16" s="3"/>
      <c r="AB16" s="3"/>
      <c r="AC16" s="3"/>
      <c r="AD16" s="3"/>
      <c r="AE16" s="3"/>
      <c r="AF16" s="3"/>
      <c r="AG16" s="3"/>
      <c r="AH16" s="2"/>
      <c r="AI16" s="2"/>
      <c r="AJ16" s="2"/>
      <c r="AK16" s="2"/>
      <c r="AL16" s="2"/>
      <c r="AM16" s="2"/>
      <c r="AN16" s="2"/>
      <c r="AO16" s="2"/>
      <c r="AP16" s="3"/>
      <c r="AQ16" s="3"/>
      <c r="AR16" s="3"/>
      <c r="AS16" s="3"/>
      <c r="AT16" s="3"/>
      <c r="AU16" s="3"/>
      <c r="AV16" s="3"/>
      <c r="AW16" s="3"/>
      <c r="AX16" s="2"/>
      <c r="AY16" s="2"/>
      <c r="AZ16" s="2"/>
      <c r="BA16" s="2"/>
      <c r="BB16" s="2"/>
      <c r="BC16" s="2"/>
      <c r="BD16" s="2"/>
      <c r="BE16" s="2"/>
      <c r="BF16" s="3"/>
      <c r="BG16" s="3"/>
      <c r="BH16" s="3"/>
      <c r="BI16" s="3"/>
      <c r="BJ16" s="3"/>
      <c r="BK16" s="3"/>
      <c r="BL16" s="3"/>
      <c r="BM16" s="3"/>
    </row>
    <row r="17" spans="1:65" x14ac:dyDescent="0.2">
      <c r="A17" s="1">
        <v>12</v>
      </c>
      <c r="B17" s="2"/>
      <c r="C17" s="2"/>
      <c r="D17" s="2"/>
      <c r="E17" s="2"/>
      <c r="F17" s="2"/>
      <c r="G17" s="2"/>
      <c r="H17" s="2"/>
      <c r="I17" s="2"/>
      <c r="J17" s="3"/>
      <c r="K17" s="3"/>
      <c r="L17" s="3"/>
      <c r="M17" s="3"/>
      <c r="N17" s="3"/>
      <c r="O17" s="3"/>
      <c r="P17" s="3"/>
      <c r="Q17" s="3"/>
      <c r="R17" s="2"/>
      <c r="S17" s="2"/>
      <c r="T17" s="2"/>
      <c r="U17" s="2"/>
      <c r="V17" s="2"/>
      <c r="W17" s="2"/>
      <c r="X17" s="2"/>
      <c r="Y17" s="2"/>
      <c r="Z17" s="3"/>
      <c r="AA17" s="3"/>
      <c r="AB17" s="3"/>
      <c r="AC17" s="3"/>
      <c r="AD17" s="3"/>
      <c r="AE17" s="3"/>
      <c r="AF17" s="3"/>
      <c r="AG17" s="3"/>
      <c r="AH17" s="2"/>
      <c r="AI17" s="2"/>
      <c r="AJ17" s="2"/>
      <c r="AK17" s="2"/>
      <c r="AL17" s="2"/>
      <c r="AM17" s="2"/>
      <c r="AN17" s="2"/>
      <c r="AO17" s="2"/>
      <c r="AP17" s="3"/>
      <c r="AQ17" s="3"/>
      <c r="AR17" s="3"/>
      <c r="AS17" s="3"/>
      <c r="AT17" s="3"/>
      <c r="AU17" s="3"/>
      <c r="AV17" s="3"/>
      <c r="AW17" s="3"/>
      <c r="AX17" s="2"/>
      <c r="AY17" s="2"/>
      <c r="AZ17" s="2"/>
      <c r="BA17" s="2"/>
      <c r="BB17" s="2"/>
      <c r="BC17" s="2"/>
      <c r="BD17" s="2"/>
      <c r="BE17" s="2"/>
      <c r="BF17" s="3"/>
      <c r="BG17" s="3"/>
      <c r="BH17" s="3"/>
      <c r="BI17" s="3"/>
      <c r="BJ17" s="3"/>
      <c r="BK17" s="3"/>
      <c r="BL17" s="3"/>
      <c r="BM17" s="3"/>
    </row>
    <row r="18" spans="1:65" x14ac:dyDescent="0.2">
      <c r="A18" s="1">
        <v>13</v>
      </c>
      <c r="B18" s="2"/>
      <c r="C18" s="2"/>
      <c r="D18" s="2"/>
      <c r="E18" s="2"/>
      <c r="F18" s="2"/>
      <c r="G18" s="2"/>
      <c r="H18" s="2"/>
      <c r="I18" s="2"/>
      <c r="J18" s="3"/>
      <c r="K18" s="3"/>
      <c r="L18" s="3"/>
      <c r="M18" s="3"/>
      <c r="N18" s="3"/>
      <c r="O18" s="3"/>
      <c r="P18" s="3"/>
      <c r="Q18" s="3"/>
      <c r="R18" s="2"/>
      <c r="S18" s="2"/>
      <c r="T18" s="2"/>
      <c r="U18" s="2"/>
      <c r="V18" s="2"/>
      <c r="W18" s="2"/>
      <c r="X18" s="2"/>
      <c r="Y18" s="2"/>
      <c r="Z18" s="3"/>
      <c r="AA18" s="3"/>
      <c r="AB18" s="3"/>
      <c r="AC18" s="3"/>
      <c r="AD18" s="3"/>
      <c r="AE18" s="3"/>
      <c r="AF18" s="3"/>
      <c r="AG18" s="3"/>
      <c r="AH18" s="2"/>
      <c r="AI18" s="2"/>
      <c r="AJ18" s="2"/>
      <c r="AK18" s="2"/>
      <c r="AL18" s="2"/>
      <c r="AM18" s="2"/>
      <c r="AN18" s="2"/>
      <c r="AO18" s="2"/>
      <c r="AP18" s="3"/>
      <c r="AQ18" s="3"/>
      <c r="AR18" s="3"/>
      <c r="AS18" s="3"/>
      <c r="AT18" s="3"/>
      <c r="AU18" s="3"/>
      <c r="AV18" s="3"/>
      <c r="AW18" s="3"/>
      <c r="AX18" s="2"/>
      <c r="AY18" s="2"/>
      <c r="AZ18" s="2"/>
      <c r="BA18" s="2"/>
      <c r="BB18" s="2"/>
      <c r="BC18" s="2"/>
      <c r="BD18" s="2"/>
      <c r="BE18" s="2"/>
      <c r="BF18" s="3"/>
      <c r="BG18" s="3"/>
      <c r="BH18" s="3"/>
      <c r="BI18" s="3"/>
      <c r="BJ18" s="3"/>
      <c r="BK18" s="3"/>
      <c r="BL18" s="3"/>
      <c r="BM18" s="3"/>
    </row>
    <row r="19" spans="1:65" x14ac:dyDescent="0.2">
      <c r="A19" s="1">
        <v>14</v>
      </c>
      <c r="B19" s="2"/>
      <c r="C19" s="2"/>
      <c r="D19" s="2"/>
      <c r="E19" s="2"/>
      <c r="F19" s="2"/>
      <c r="G19" s="2"/>
      <c r="H19" s="2"/>
      <c r="I19" s="2"/>
      <c r="J19" s="3"/>
      <c r="K19" s="3"/>
      <c r="L19" s="3"/>
      <c r="M19" s="3"/>
      <c r="N19" s="3"/>
      <c r="O19" s="3"/>
      <c r="P19" s="3"/>
      <c r="Q19" s="3"/>
      <c r="R19" s="2"/>
      <c r="S19" s="2"/>
      <c r="T19" s="2"/>
      <c r="U19" s="2"/>
      <c r="V19" s="2"/>
      <c r="W19" s="2"/>
      <c r="X19" s="2"/>
      <c r="Y19" s="2"/>
      <c r="Z19" s="3"/>
      <c r="AA19" s="3"/>
      <c r="AB19" s="3"/>
      <c r="AC19" s="3"/>
      <c r="AD19" s="3"/>
      <c r="AE19" s="3"/>
      <c r="AF19" s="3"/>
      <c r="AG19" s="3"/>
      <c r="AH19" s="2"/>
      <c r="AI19" s="2"/>
      <c r="AJ19" s="2"/>
      <c r="AK19" s="2"/>
      <c r="AL19" s="2"/>
      <c r="AM19" s="2"/>
      <c r="AN19" s="2"/>
      <c r="AO19" s="2"/>
      <c r="AP19" s="3"/>
      <c r="AQ19" s="3"/>
      <c r="AR19" s="3"/>
      <c r="AS19" s="3"/>
      <c r="AT19" s="3"/>
      <c r="AU19" s="3"/>
      <c r="AV19" s="3"/>
      <c r="AW19" s="3"/>
      <c r="AX19" s="2"/>
      <c r="AY19" s="2"/>
      <c r="AZ19" s="2"/>
      <c r="BA19" s="2"/>
      <c r="BB19" s="2"/>
      <c r="BC19" s="2"/>
      <c r="BD19" s="2"/>
      <c r="BE19" s="2"/>
      <c r="BF19" s="3"/>
      <c r="BG19" s="3"/>
      <c r="BH19" s="3"/>
      <c r="BI19" s="3"/>
      <c r="BJ19" s="3"/>
      <c r="BK19" s="3"/>
      <c r="BL19" s="3"/>
      <c r="BM19" s="3"/>
    </row>
    <row r="20" spans="1:65" x14ac:dyDescent="0.2">
      <c r="A20" s="1">
        <v>15</v>
      </c>
      <c r="B20" s="2"/>
      <c r="C20" s="2"/>
      <c r="D20" s="2"/>
      <c r="E20" s="2"/>
      <c r="F20" s="2"/>
      <c r="G20" s="2"/>
      <c r="H20" s="2"/>
      <c r="I20" s="2"/>
      <c r="J20" s="3"/>
      <c r="K20" s="3"/>
      <c r="L20" s="3"/>
      <c r="M20" s="3"/>
      <c r="N20" s="3"/>
      <c r="O20" s="3"/>
      <c r="P20" s="3"/>
      <c r="Q20" s="3"/>
      <c r="R20" s="2"/>
      <c r="S20" s="2"/>
      <c r="T20" s="2"/>
      <c r="U20" s="2"/>
      <c r="V20" s="2"/>
      <c r="W20" s="2"/>
      <c r="X20" s="2"/>
      <c r="Y20" s="2"/>
      <c r="Z20" s="3"/>
      <c r="AA20" s="3"/>
      <c r="AB20" s="3"/>
      <c r="AC20" s="3"/>
      <c r="AD20" s="3"/>
      <c r="AE20" s="3"/>
      <c r="AF20" s="3"/>
      <c r="AG20" s="3"/>
      <c r="AH20" s="2"/>
      <c r="AI20" s="2"/>
      <c r="AJ20" s="2"/>
      <c r="AK20" s="2"/>
      <c r="AL20" s="2"/>
      <c r="AM20" s="2"/>
      <c r="AN20" s="2"/>
      <c r="AO20" s="2"/>
      <c r="AP20" s="3"/>
      <c r="AQ20" s="3"/>
      <c r="AR20" s="3"/>
      <c r="AS20" s="3"/>
      <c r="AT20" s="3"/>
      <c r="AU20" s="3"/>
      <c r="AV20" s="3"/>
      <c r="AW20" s="3"/>
      <c r="AX20" s="2"/>
      <c r="AY20" s="2"/>
      <c r="AZ20" s="2"/>
      <c r="BA20" s="2"/>
      <c r="BB20" s="2"/>
      <c r="BC20" s="2"/>
      <c r="BD20" s="2"/>
      <c r="BE20" s="2"/>
      <c r="BF20" s="3"/>
      <c r="BG20" s="3"/>
      <c r="BH20" s="3"/>
      <c r="BI20" s="3"/>
      <c r="BJ20" s="3"/>
      <c r="BK20" s="3"/>
      <c r="BL20" s="3"/>
      <c r="BM20" s="3"/>
    </row>
    <row r="21" spans="1:65" x14ac:dyDescent="0.2">
      <c r="A21" s="1">
        <v>16</v>
      </c>
      <c r="B21" s="2"/>
      <c r="C21" s="2"/>
      <c r="D21" s="2"/>
      <c r="E21" s="2"/>
      <c r="F21" s="2"/>
      <c r="G21" s="2"/>
      <c r="H21" s="2"/>
      <c r="I21" s="2"/>
      <c r="J21" s="3"/>
      <c r="K21" s="3"/>
      <c r="L21" s="3"/>
      <c r="M21" s="3"/>
      <c r="N21" s="3"/>
      <c r="O21" s="3"/>
      <c r="P21" s="3"/>
      <c r="Q21" s="3"/>
      <c r="R21" s="2"/>
      <c r="S21" s="2"/>
      <c r="T21" s="2"/>
      <c r="U21" s="2"/>
      <c r="V21" s="2"/>
      <c r="W21" s="2"/>
      <c r="X21" s="2"/>
      <c r="Y21" s="2"/>
      <c r="Z21" s="3"/>
      <c r="AA21" s="3"/>
      <c r="AB21" s="3"/>
      <c r="AC21" s="3"/>
      <c r="AD21" s="3"/>
      <c r="AE21" s="3"/>
      <c r="AF21" s="3"/>
      <c r="AG21" s="3"/>
      <c r="AH21" s="2"/>
      <c r="AI21" s="2"/>
      <c r="AJ21" s="2"/>
      <c r="AK21" s="2"/>
      <c r="AL21" s="2"/>
      <c r="AM21" s="2"/>
      <c r="AN21" s="2"/>
      <c r="AO21" s="2"/>
      <c r="AP21" s="3"/>
      <c r="AQ21" s="3"/>
      <c r="AR21" s="3"/>
      <c r="AS21" s="3"/>
      <c r="AT21" s="3"/>
      <c r="AU21" s="3"/>
      <c r="AV21" s="3"/>
      <c r="AW21" s="3"/>
      <c r="AX21" s="2"/>
      <c r="AY21" s="2"/>
      <c r="AZ21" s="2"/>
      <c r="BA21" s="2"/>
      <c r="BB21" s="2"/>
      <c r="BC21" s="2"/>
      <c r="BD21" s="2"/>
      <c r="BE21" s="2"/>
      <c r="BF21" s="3"/>
      <c r="BG21" s="3"/>
      <c r="BH21" s="3"/>
      <c r="BI21" s="3"/>
      <c r="BJ21" s="3"/>
      <c r="BK21" s="3"/>
      <c r="BL21" s="3"/>
      <c r="BM21" s="3"/>
    </row>
    <row r="22" spans="1:65" x14ac:dyDescent="0.2">
      <c r="A22" s="1">
        <v>17</v>
      </c>
      <c r="B22" s="2"/>
      <c r="C22" s="2"/>
      <c r="D22" s="2"/>
      <c r="E22" s="2"/>
      <c r="F22" s="2"/>
      <c r="G22" s="2"/>
      <c r="H22" s="2"/>
      <c r="I22" s="2"/>
      <c r="J22" s="3"/>
      <c r="K22" s="3"/>
      <c r="L22" s="3"/>
      <c r="M22" s="3"/>
      <c r="N22" s="3"/>
      <c r="O22" s="3"/>
      <c r="P22" s="3"/>
      <c r="Q22" s="3"/>
      <c r="R22" s="2"/>
      <c r="S22" s="2"/>
      <c r="T22" s="2"/>
      <c r="U22" s="2"/>
      <c r="V22" s="2"/>
      <c r="W22" s="2"/>
      <c r="X22" s="2"/>
      <c r="Y22" s="2"/>
      <c r="Z22" s="3"/>
      <c r="AA22" s="3"/>
      <c r="AB22" s="3"/>
      <c r="AC22" s="3"/>
      <c r="AD22" s="3"/>
      <c r="AE22" s="3"/>
      <c r="AF22" s="3"/>
      <c r="AG22" s="3"/>
      <c r="AH22" s="2"/>
      <c r="AI22" s="2"/>
      <c r="AJ22" s="2"/>
      <c r="AK22" s="2"/>
      <c r="AL22" s="2"/>
      <c r="AM22" s="2"/>
      <c r="AN22" s="2"/>
      <c r="AO22" s="2"/>
      <c r="AP22" s="3"/>
      <c r="AQ22" s="3"/>
      <c r="AR22" s="3"/>
      <c r="AS22" s="3"/>
      <c r="AT22" s="3"/>
      <c r="AU22" s="3"/>
      <c r="AV22" s="3"/>
      <c r="AW22" s="3"/>
      <c r="AX22" s="2"/>
      <c r="AY22" s="2"/>
      <c r="AZ22" s="2"/>
      <c r="BA22" s="2"/>
      <c r="BB22" s="2"/>
      <c r="BC22" s="2"/>
      <c r="BD22" s="2"/>
      <c r="BE22" s="2"/>
      <c r="BF22" s="3"/>
      <c r="BG22" s="3"/>
      <c r="BH22" s="3"/>
      <c r="BI22" s="3"/>
      <c r="BJ22" s="3"/>
      <c r="BK22" s="3"/>
      <c r="BL22" s="3"/>
      <c r="BM22" s="3"/>
    </row>
    <row r="23" spans="1:65" x14ac:dyDescent="0.2">
      <c r="A23" s="1">
        <v>18</v>
      </c>
      <c r="B23" s="2"/>
      <c r="C23" s="2"/>
      <c r="D23" s="2"/>
      <c r="E23" s="2"/>
      <c r="F23" s="2"/>
      <c r="G23" s="2"/>
      <c r="H23" s="2"/>
      <c r="I23" s="2"/>
      <c r="J23" s="3"/>
      <c r="K23" s="3"/>
      <c r="L23" s="3"/>
      <c r="M23" s="3"/>
      <c r="N23" s="3"/>
      <c r="O23" s="3"/>
      <c r="P23" s="3"/>
      <c r="Q23" s="3"/>
      <c r="R23" s="2"/>
      <c r="S23" s="2"/>
      <c r="T23" s="2"/>
      <c r="U23" s="2"/>
      <c r="V23" s="2"/>
      <c r="W23" s="2"/>
      <c r="X23" s="2"/>
      <c r="Y23" s="2"/>
      <c r="Z23" s="3"/>
      <c r="AA23" s="3"/>
      <c r="AB23" s="3"/>
      <c r="AC23" s="3"/>
      <c r="AD23" s="3"/>
      <c r="AE23" s="3"/>
      <c r="AF23" s="3"/>
      <c r="AG23" s="3"/>
      <c r="AH23" s="2"/>
      <c r="AI23" s="2"/>
      <c r="AJ23" s="2"/>
      <c r="AK23" s="2"/>
      <c r="AL23" s="2"/>
      <c r="AM23" s="2"/>
      <c r="AN23" s="2"/>
      <c r="AO23" s="2"/>
      <c r="AP23" s="3"/>
      <c r="AQ23" s="3"/>
      <c r="AR23" s="3"/>
      <c r="AS23" s="3"/>
      <c r="AT23" s="3"/>
      <c r="AU23" s="3"/>
      <c r="AV23" s="3"/>
      <c r="AW23" s="3"/>
      <c r="AX23" s="2"/>
      <c r="AY23" s="2"/>
      <c r="AZ23" s="2"/>
      <c r="BA23" s="2"/>
      <c r="BB23" s="2"/>
      <c r="BC23" s="2"/>
      <c r="BD23" s="2"/>
      <c r="BE23" s="2"/>
      <c r="BF23" s="3"/>
      <c r="BG23" s="3"/>
      <c r="BH23" s="3"/>
      <c r="BI23" s="3"/>
      <c r="BJ23" s="3"/>
      <c r="BK23" s="3"/>
      <c r="BL23" s="3"/>
      <c r="BM23" s="3"/>
    </row>
    <row r="24" spans="1:65" x14ac:dyDescent="0.2">
      <c r="A24" s="1">
        <v>19</v>
      </c>
      <c r="B24" s="2"/>
      <c r="C24" s="2"/>
      <c r="D24" s="2"/>
      <c r="E24" s="2"/>
      <c r="F24" s="2"/>
      <c r="G24" s="2"/>
      <c r="H24" s="2"/>
      <c r="I24" s="2"/>
      <c r="J24" s="3"/>
      <c r="K24" s="3"/>
      <c r="L24" s="3"/>
      <c r="M24" s="3"/>
      <c r="N24" s="3"/>
      <c r="O24" s="3"/>
      <c r="P24" s="3"/>
      <c r="Q24" s="3"/>
      <c r="R24" s="2"/>
      <c r="S24" s="2"/>
      <c r="T24" s="2"/>
      <c r="U24" s="2"/>
      <c r="V24" s="2"/>
      <c r="W24" s="2"/>
      <c r="X24" s="2"/>
      <c r="Y24" s="2"/>
      <c r="Z24" s="3"/>
      <c r="AA24" s="3"/>
      <c r="AB24" s="3"/>
      <c r="AC24" s="3"/>
      <c r="AD24" s="3"/>
      <c r="AE24" s="3"/>
      <c r="AF24" s="3"/>
      <c r="AG24" s="3"/>
      <c r="AH24" s="2"/>
      <c r="AI24" s="2"/>
      <c r="AJ24" s="2"/>
      <c r="AK24" s="2"/>
      <c r="AL24" s="2"/>
      <c r="AM24" s="2"/>
      <c r="AN24" s="2"/>
      <c r="AO24" s="2"/>
      <c r="AP24" s="3"/>
      <c r="AQ24" s="3"/>
      <c r="AR24" s="3"/>
      <c r="AS24" s="3"/>
      <c r="AT24" s="3"/>
      <c r="AU24" s="3"/>
      <c r="AV24" s="3"/>
      <c r="AW24" s="3"/>
      <c r="AX24" s="2"/>
      <c r="AY24" s="2"/>
      <c r="AZ24" s="2"/>
      <c r="BA24" s="2"/>
      <c r="BB24" s="2"/>
      <c r="BC24" s="2"/>
      <c r="BD24" s="2"/>
      <c r="BE24" s="2"/>
      <c r="BF24" s="3"/>
      <c r="BG24" s="3"/>
      <c r="BH24" s="3"/>
      <c r="BI24" s="3"/>
      <c r="BJ24" s="3"/>
      <c r="BK24" s="3"/>
      <c r="BL24" s="3"/>
      <c r="BM24" s="3"/>
    </row>
    <row r="25" spans="1:65" x14ac:dyDescent="0.2">
      <c r="A25" s="1">
        <v>20</v>
      </c>
      <c r="B25" s="2"/>
      <c r="C25" s="2"/>
      <c r="D25" s="2"/>
      <c r="E25" s="2"/>
      <c r="F25" s="2"/>
      <c r="G25" s="2"/>
      <c r="H25" s="2"/>
      <c r="I25" s="2"/>
      <c r="J25" s="3"/>
      <c r="K25" s="3"/>
      <c r="L25" s="3"/>
      <c r="M25" s="3"/>
      <c r="N25" s="3"/>
      <c r="O25" s="3"/>
      <c r="P25" s="3"/>
      <c r="Q25" s="3"/>
      <c r="R25" s="2"/>
      <c r="S25" s="2"/>
      <c r="T25" s="2"/>
      <c r="U25" s="2"/>
      <c r="V25" s="2"/>
      <c r="W25" s="2"/>
      <c r="X25" s="2"/>
      <c r="Y25" s="2"/>
      <c r="Z25" s="3"/>
      <c r="AA25" s="3"/>
      <c r="AB25" s="3"/>
      <c r="AC25" s="3"/>
      <c r="AD25" s="3"/>
      <c r="AE25" s="3"/>
      <c r="AF25" s="3"/>
      <c r="AG25" s="3"/>
      <c r="AH25" s="2"/>
      <c r="AI25" s="2"/>
      <c r="AJ25" s="2"/>
      <c r="AK25" s="2"/>
      <c r="AL25" s="2"/>
      <c r="AM25" s="2"/>
      <c r="AN25" s="2"/>
      <c r="AO25" s="2"/>
      <c r="AP25" s="3"/>
      <c r="AQ25" s="3"/>
      <c r="AR25" s="3"/>
      <c r="AS25" s="3"/>
      <c r="AT25" s="3"/>
      <c r="AU25" s="3"/>
      <c r="AV25" s="3"/>
      <c r="AW25" s="3"/>
      <c r="AX25" s="2"/>
      <c r="AY25" s="2"/>
      <c r="AZ25" s="2"/>
      <c r="BA25" s="2"/>
      <c r="BB25" s="2"/>
      <c r="BC25" s="2"/>
      <c r="BD25" s="2"/>
      <c r="BE25" s="2"/>
      <c r="BF25" s="3"/>
      <c r="BG25" s="3"/>
      <c r="BH25" s="3"/>
      <c r="BI25" s="3"/>
      <c r="BJ25" s="3"/>
      <c r="BK25" s="3"/>
      <c r="BL25" s="3"/>
      <c r="BM25" s="3"/>
    </row>
    <row r="26" spans="1:65" x14ac:dyDescent="0.2">
      <c r="A26" s="1">
        <v>21</v>
      </c>
      <c r="B26" s="2"/>
      <c r="C26" s="2"/>
      <c r="D26" s="2"/>
      <c r="E26" s="2"/>
      <c r="F26" s="2"/>
      <c r="G26" s="2"/>
      <c r="H26" s="2"/>
      <c r="I26" s="2"/>
      <c r="J26" s="3"/>
      <c r="K26" s="3"/>
      <c r="L26" s="3"/>
      <c r="M26" s="3"/>
      <c r="N26" s="3"/>
      <c r="O26" s="3"/>
      <c r="P26" s="3"/>
      <c r="Q26" s="3"/>
      <c r="R26" s="2"/>
      <c r="S26" s="2"/>
      <c r="T26" s="2"/>
      <c r="U26" s="2"/>
      <c r="V26" s="2"/>
      <c r="W26" s="2"/>
      <c r="X26" s="2"/>
      <c r="Y26" s="2"/>
      <c r="Z26" s="3"/>
      <c r="AA26" s="3"/>
      <c r="AB26" s="3"/>
      <c r="AC26" s="3"/>
      <c r="AD26" s="3"/>
      <c r="AE26" s="3"/>
      <c r="AF26" s="3"/>
      <c r="AG26" s="3"/>
      <c r="AH26" s="2"/>
      <c r="AI26" s="2"/>
      <c r="AJ26" s="2"/>
      <c r="AK26" s="2"/>
      <c r="AL26" s="2"/>
      <c r="AM26" s="2"/>
      <c r="AN26" s="2"/>
      <c r="AO26" s="2"/>
      <c r="AP26" s="3"/>
      <c r="AQ26" s="3"/>
      <c r="AR26" s="3"/>
      <c r="AS26" s="3"/>
      <c r="AT26" s="3"/>
      <c r="AU26" s="3"/>
      <c r="AV26" s="3"/>
      <c r="AW26" s="3"/>
      <c r="AX26" s="2"/>
      <c r="AY26" s="2"/>
      <c r="AZ26" s="2"/>
      <c r="BA26" s="2"/>
      <c r="BB26" s="2"/>
      <c r="BC26" s="2"/>
      <c r="BD26" s="2"/>
      <c r="BE26" s="2"/>
      <c r="BF26" s="3"/>
      <c r="BG26" s="3"/>
      <c r="BH26" s="3"/>
      <c r="BI26" s="3"/>
      <c r="BJ26" s="3"/>
      <c r="BK26" s="3"/>
      <c r="BL26" s="3"/>
      <c r="BM26" s="3"/>
    </row>
    <row r="27" spans="1:65" x14ac:dyDescent="0.2">
      <c r="A27" s="1">
        <v>22</v>
      </c>
      <c r="B27" s="2"/>
      <c r="C27" s="2"/>
      <c r="D27" s="2"/>
      <c r="E27" s="2"/>
      <c r="F27" s="2"/>
      <c r="G27" s="2"/>
      <c r="H27" s="2"/>
      <c r="I27" s="2"/>
      <c r="J27" s="3"/>
      <c r="K27" s="3"/>
      <c r="L27" s="3"/>
      <c r="M27" s="3"/>
      <c r="N27" s="3"/>
      <c r="O27" s="3"/>
      <c r="P27" s="3"/>
      <c r="Q27" s="3"/>
      <c r="R27" s="2"/>
      <c r="S27" s="2"/>
      <c r="T27" s="2"/>
      <c r="U27" s="2"/>
      <c r="V27" s="2"/>
      <c r="W27" s="2"/>
      <c r="X27" s="2"/>
      <c r="Y27" s="2"/>
      <c r="Z27" s="3"/>
      <c r="AA27" s="3"/>
      <c r="AB27" s="3"/>
      <c r="AC27" s="3"/>
      <c r="AD27" s="3"/>
      <c r="AE27" s="3"/>
      <c r="AF27" s="3"/>
      <c r="AG27" s="3"/>
      <c r="AH27" s="2"/>
      <c r="AI27" s="2"/>
      <c r="AJ27" s="2"/>
      <c r="AK27" s="2"/>
      <c r="AL27" s="2"/>
      <c r="AM27" s="2"/>
      <c r="AN27" s="2"/>
      <c r="AO27" s="2"/>
      <c r="AP27" s="3"/>
      <c r="AQ27" s="3"/>
      <c r="AR27" s="3"/>
      <c r="AS27" s="3"/>
      <c r="AT27" s="3"/>
      <c r="AU27" s="3"/>
      <c r="AV27" s="3"/>
      <c r="AW27" s="3"/>
      <c r="AX27" s="2"/>
      <c r="AY27" s="2"/>
      <c r="AZ27" s="2"/>
      <c r="BA27" s="2"/>
      <c r="BB27" s="2"/>
      <c r="BC27" s="2"/>
      <c r="BD27" s="2"/>
      <c r="BE27" s="2"/>
      <c r="BF27" s="3"/>
      <c r="BG27" s="3"/>
      <c r="BH27" s="3"/>
      <c r="BI27" s="3"/>
      <c r="BJ27" s="3"/>
      <c r="BK27" s="3"/>
      <c r="BL27" s="3"/>
      <c r="BM27" s="3"/>
    </row>
    <row r="28" spans="1:65" x14ac:dyDescent="0.2">
      <c r="A28" s="1">
        <v>23</v>
      </c>
      <c r="B28" s="2"/>
      <c r="C28" s="2"/>
      <c r="D28" s="2"/>
      <c r="E28" s="2"/>
      <c r="F28" s="2"/>
      <c r="G28" s="2"/>
      <c r="H28" s="2"/>
      <c r="I28" s="2"/>
      <c r="J28" s="3"/>
      <c r="K28" s="3"/>
      <c r="L28" s="3"/>
      <c r="M28" s="3"/>
      <c r="N28" s="3"/>
      <c r="O28" s="3"/>
      <c r="P28" s="3"/>
      <c r="Q28" s="3"/>
      <c r="R28" s="2"/>
      <c r="S28" s="2"/>
      <c r="T28" s="2"/>
      <c r="U28" s="2"/>
      <c r="V28" s="2"/>
      <c r="W28" s="2"/>
      <c r="X28" s="2"/>
      <c r="Y28" s="2"/>
      <c r="Z28" s="3"/>
      <c r="AA28" s="3"/>
      <c r="AB28" s="3"/>
      <c r="AC28" s="3"/>
      <c r="AD28" s="3"/>
      <c r="AE28" s="3"/>
      <c r="AF28" s="3"/>
      <c r="AG28" s="3"/>
      <c r="AH28" s="2"/>
      <c r="AI28" s="2"/>
      <c r="AJ28" s="2"/>
      <c r="AK28" s="2"/>
      <c r="AL28" s="2"/>
      <c r="AM28" s="2"/>
      <c r="AN28" s="2"/>
      <c r="AO28" s="2"/>
      <c r="AP28" s="3"/>
      <c r="AQ28" s="3"/>
      <c r="AR28" s="3"/>
      <c r="AS28" s="3"/>
      <c r="AT28" s="3"/>
      <c r="AU28" s="3"/>
      <c r="AV28" s="3"/>
      <c r="AW28" s="3"/>
      <c r="AX28" s="2"/>
      <c r="AY28" s="2"/>
      <c r="AZ28" s="2"/>
      <c r="BA28" s="2"/>
      <c r="BB28" s="2"/>
      <c r="BC28" s="2"/>
      <c r="BD28" s="2"/>
      <c r="BE28" s="2"/>
      <c r="BF28" s="3"/>
      <c r="BG28" s="3"/>
      <c r="BH28" s="3"/>
      <c r="BI28" s="3"/>
      <c r="BJ28" s="3"/>
      <c r="BK28" s="3"/>
      <c r="BL28" s="3"/>
      <c r="BM28" s="3"/>
    </row>
    <row r="30" spans="1:65" x14ac:dyDescent="0.2">
      <c r="B30" s="8" t="s">
        <v>208</v>
      </c>
    </row>
    <row r="31" spans="1:65" x14ac:dyDescent="0.2">
      <c r="A31">
        <v>0</v>
      </c>
      <c r="B31">
        <v>0</v>
      </c>
      <c r="C31">
        <v>0</v>
      </c>
      <c r="D31">
        <v>0</v>
      </c>
      <c r="E31">
        <v>0</v>
      </c>
      <c r="F31">
        <v>0</v>
      </c>
      <c r="G31">
        <v>0</v>
      </c>
      <c r="H31">
        <v>0</v>
      </c>
      <c r="I31">
        <v>0</v>
      </c>
      <c r="R31">
        <v>0</v>
      </c>
      <c r="S31">
        <v>0</v>
      </c>
      <c r="T31">
        <v>0</v>
      </c>
      <c r="U31">
        <v>0</v>
      </c>
      <c r="V31">
        <v>0</v>
      </c>
      <c r="W31">
        <v>0</v>
      </c>
      <c r="X31">
        <v>0</v>
      </c>
      <c r="Y31">
        <v>0</v>
      </c>
      <c r="AH31">
        <v>0</v>
      </c>
      <c r="AI31">
        <v>0</v>
      </c>
      <c r="AJ31">
        <v>0</v>
      </c>
      <c r="AK31">
        <v>0</v>
      </c>
      <c r="AL31">
        <v>0</v>
      </c>
      <c r="AM31">
        <v>0</v>
      </c>
      <c r="AN31">
        <v>0</v>
      </c>
      <c r="AO31">
        <v>0</v>
      </c>
      <c r="AX31">
        <v>0</v>
      </c>
      <c r="AY31">
        <v>0</v>
      </c>
      <c r="AZ31">
        <v>0</v>
      </c>
      <c r="BA31">
        <v>0</v>
      </c>
      <c r="BB31">
        <v>0</v>
      </c>
      <c r="BC31">
        <v>0</v>
      </c>
      <c r="BD31">
        <v>0</v>
      </c>
      <c r="BE31">
        <v>0</v>
      </c>
    </row>
    <row r="32" spans="1:65" x14ac:dyDescent="0.2">
      <c r="A32">
        <v>1</v>
      </c>
      <c r="B32">
        <v>0</v>
      </c>
      <c r="C32">
        <v>0</v>
      </c>
      <c r="D32">
        <v>0</v>
      </c>
      <c r="E32">
        <v>0</v>
      </c>
      <c r="F32">
        <v>0</v>
      </c>
      <c r="G32">
        <v>0</v>
      </c>
      <c r="H32">
        <v>0</v>
      </c>
      <c r="I32">
        <v>0</v>
      </c>
      <c r="R32">
        <v>0</v>
      </c>
      <c r="S32">
        <v>0</v>
      </c>
      <c r="T32">
        <v>0</v>
      </c>
      <c r="U32">
        <v>0</v>
      </c>
      <c r="V32">
        <v>0</v>
      </c>
      <c r="W32">
        <v>0</v>
      </c>
      <c r="X32">
        <v>0</v>
      </c>
      <c r="Y32">
        <v>0</v>
      </c>
      <c r="AH32">
        <v>0</v>
      </c>
      <c r="AI32">
        <v>0</v>
      </c>
      <c r="AJ32">
        <v>0</v>
      </c>
      <c r="AK32">
        <v>0</v>
      </c>
      <c r="AL32">
        <v>0</v>
      </c>
      <c r="AM32">
        <v>0</v>
      </c>
      <c r="AN32">
        <v>0</v>
      </c>
      <c r="AO32">
        <v>0</v>
      </c>
      <c r="AX32">
        <v>0</v>
      </c>
      <c r="AY32">
        <v>0</v>
      </c>
      <c r="AZ32">
        <v>0</v>
      </c>
      <c r="BA32">
        <v>0</v>
      </c>
      <c r="BB32">
        <v>0</v>
      </c>
      <c r="BC32">
        <v>0</v>
      </c>
      <c r="BD32">
        <v>0</v>
      </c>
      <c r="BE32">
        <v>0</v>
      </c>
    </row>
    <row r="33" spans="1:57" x14ac:dyDescent="0.2">
      <c r="A33">
        <v>2</v>
      </c>
      <c r="B33">
        <v>0</v>
      </c>
      <c r="C33">
        <v>0</v>
      </c>
      <c r="D33">
        <v>0</v>
      </c>
      <c r="E33">
        <v>0</v>
      </c>
      <c r="F33">
        <v>0</v>
      </c>
      <c r="G33">
        <v>0</v>
      </c>
      <c r="H33">
        <v>0</v>
      </c>
      <c r="I33">
        <v>0</v>
      </c>
      <c r="R33">
        <v>0</v>
      </c>
      <c r="S33">
        <v>0</v>
      </c>
      <c r="T33">
        <v>0</v>
      </c>
      <c r="U33">
        <v>0</v>
      </c>
      <c r="V33">
        <v>0</v>
      </c>
      <c r="W33">
        <v>0</v>
      </c>
      <c r="X33">
        <v>0</v>
      </c>
      <c r="Y33">
        <v>0</v>
      </c>
      <c r="AH33">
        <v>0</v>
      </c>
      <c r="AI33">
        <v>0</v>
      </c>
      <c r="AJ33">
        <v>0</v>
      </c>
      <c r="AK33">
        <v>0</v>
      </c>
      <c r="AL33">
        <v>0</v>
      </c>
      <c r="AM33">
        <v>0</v>
      </c>
      <c r="AN33">
        <v>0</v>
      </c>
      <c r="AO33">
        <v>0</v>
      </c>
      <c r="AX33">
        <v>0</v>
      </c>
      <c r="AY33">
        <v>0</v>
      </c>
      <c r="AZ33">
        <v>0</v>
      </c>
      <c r="BA33">
        <v>0</v>
      </c>
      <c r="BB33">
        <v>0</v>
      </c>
      <c r="BC33">
        <v>0</v>
      </c>
      <c r="BD33">
        <v>0</v>
      </c>
      <c r="BE33">
        <v>0</v>
      </c>
    </row>
    <row r="34" spans="1:57" x14ac:dyDescent="0.2">
      <c r="A34">
        <v>3</v>
      </c>
      <c r="B34">
        <v>0</v>
      </c>
      <c r="C34">
        <v>0</v>
      </c>
      <c r="D34">
        <v>0</v>
      </c>
      <c r="E34">
        <v>0</v>
      </c>
      <c r="F34">
        <v>0</v>
      </c>
      <c r="G34">
        <v>0</v>
      </c>
      <c r="H34">
        <v>0</v>
      </c>
      <c r="I34">
        <v>0</v>
      </c>
      <c r="R34">
        <v>0</v>
      </c>
      <c r="S34">
        <v>0</v>
      </c>
      <c r="T34">
        <v>0</v>
      </c>
      <c r="U34">
        <v>0</v>
      </c>
      <c r="V34">
        <v>0</v>
      </c>
      <c r="W34">
        <v>0</v>
      </c>
      <c r="X34">
        <v>0</v>
      </c>
      <c r="Y34">
        <v>0</v>
      </c>
      <c r="AH34">
        <v>0</v>
      </c>
      <c r="AI34">
        <v>0</v>
      </c>
      <c r="AJ34">
        <v>0</v>
      </c>
      <c r="AK34">
        <v>0</v>
      </c>
      <c r="AL34">
        <v>0</v>
      </c>
      <c r="AM34">
        <v>0</v>
      </c>
      <c r="AN34">
        <v>0</v>
      </c>
      <c r="AO34">
        <v>0</v>
      </c>
      <c r="AX34">
        <v>0</v>
      </c>
      <c r="AY34">
        <v>0</v>
      </c>
      <c r="AZ34">
        <v>0</v>
      </c>
      <c r="BA34">
        <v>0</v>
      </c>
      <c r="BB34">
        <v>0</v>
      </c>
      <c r="BC34">
        <v>0</v>
      </c>
      <c r="BD34">
        <v>0</v>
      </c>
      <c r="BE34">
        <v>0</v>
      </c>
    </row>
    <row r="35" spans="1:57" x14ac:dyDescent="0.2">
      <c r="A35">
        <v>4</v>
      </c>
      <c r="B35">
        <v>0</v>
      </c>
      <c r="C35">
        <v>0</v>
      </c>
      <c r="D35">
        <v>0</v>
      </c>
      <c r="E35">
        <v>5</v>
      </c>
      <c r="F35">
        <v>5</v>
      </c>
      <c r="G35">
        <v>0</v>
      </c>
      <c r="H35">
        <v>5</v>
      </c>
      <c r="I35">
        <v>0</v>
      </c>
      <c r="R35">
        <v>0</v>
      </c>
      <c r="S35">
        <v>0</v>
      </c>
      <c r="T35">
        <v>0</v>
      </c>
      <c r="U35">
        <v>5</v>
      </c>
      <c r="V35">
        <v>5</v>
      </c>
      <c r="W35">
        <v>0</v>
      </c>
      <c r="X35">
        <v>-5</v>
      </c>
      <c r="Y35">
        <v>0</v>
      </c>
      <c r="AH35">
        <v>0</v>
      </c>
      <c r="AI35">
        <v>0</v>
      </c>
      <c r="AJ35">
        <v>0</v>
      </c>
      <c r="AK35">
        <v>-5</v>
      </c>
      <c r="AL35">
        <v>-5</v>
      </c>
      <c r="AM35">
        <v>0</v>
      </c>
      <c r="AN35">
        <v>5</v>
      </c>
      <c r="AO35">
        <v>0</v>
      </c>
      <c r="AX35">
        <v>0</v>
      </c>
      <c r="AY35">
        <v>0</v>
      </c>
      <c r="AZ35">
        <v>0</v>
      </c>
      <c r="BA35">
        <v>-5</v>
      </c>
      <c r="BB35">
        <v>-5</v>
      </c>
      <c r="BC35">
        <v>0</v>
      </c>
      <c r="BD35">
        <v>-5</v>
      </c>
      <c r="BE35">
        <v>0</v>
      </c>
    </row>
    <row r="36" spans="1:57" x14ac:dyDescent="0.2">
      <c r="A36">
        <v>5</v>
      </c>
      <c r="B36">
        <v>0</v>
      </c>
      <c r="C36">
        <v>0</v>
      </c>
      <c r="D36">
        <v>0</v>
      </c>
      <c r="E36">
        <v>0</v>
      </c>
      <c r="F36">
        <v>0</v>
      </c>
      <c r="G36">
        <v>0</v>
      </c>
      <c r="H36">
        <v>0</v>
      </c>
      <c r="I36">
        <v>0</v>
      </c>
      <c r="R36">
        <v>0</v>
      </c>
      <c r="S36">
        <v>0</v>
      </c>
      <c r="T36">
        <v>0</v>
      </c>
      <c r="U36">
        <v>0</v>
      </c>
      <c r="V36">
        <v>0</v>
      </c>
      <c r="W36">
        <v>0</v>
      </c>
      <c r="X36">
        <v>0</v>
      </c>
      <c r="Y36">
        <v>0</v>
      </c>
      <c r="AH36">
        <v>0</v>
      </c>
      <c r="AI36">
        <v>0</v>
      </c>
      <c r="AJ36">
        <v>0</v>
      </c>
      <c r="AK36">
        <v>0</v>
      </c>
      <c r="AL36">
        <v>0</v>
      </c>
      <c r="AM36">
        <v>0</v>
      </c>
      <c r="AN36">
        <v>0</v>
      </c>
      <c r="AO36">
        <v>0</v>
      </c>
      <c r="AX36">
        <v>0</v>
      </c>
      <c r="AY36">
        <v>0</v>
      </c>
      <c r="AZ36">
        <v>0</v>
      </c>
      <c r="BA36">
        <v>0</v>
      </c>
      <c r="BB36">
        <v>0</v>
      </c>
      <c r="BC36">
        <v>0</v>
      </c>
      <c r="BD36">
        <v>0</v>
      </c>
      <c r="BE36">
        <v>0</v>
      </c>
    </row>
    <row r="37" spans="1:57" x14ac:dyDescent="0.2">
      <c r="A37">
        <v>6</v>
      </c>
      <c r="B37">
        <v>0</v>
      </c>
      <c r="C37">
        <v>0</v>
      </c>
      <c r="D37">
        <v>0</v>
      </c>
      <c r="E37">
        <v>0</v>
      </c>
      <c r="F37">
        <v>0</v>
      </c>
      <c r="G37">
        <v>0</v>
      </c>
      <c r="H37">
        <v>0</v>
      </c>
      <c r="I37">
        <v>0</v>
      </c>
      <c r="R37">
        <v>0</v>
      </c>
      <c r="S37">
        <v>0</v>
      </c>
      <c r="T37">
        <v>0</v>
      </c>
      <c r="U37">
        <v>0</v>
      </c>
      <c r="V37">
        <v>0</v>
      </c>
      <c r="W37">
        <v>0</v>
      </c>
      <c r="X37">
        <v>0</v>
      </c>
      <c r="Y37">
        <v>0</v>
      </c>
      <c r="AH37">
        <v>0</v>
      </c>
      <c r="AI37">
        <v>0</v>
      </c>
      <c r="AJ37">
        <v>0</v>
      </c>
      <c r="AK37">
        <v>0</v>
      </c>
      <c r="AL37">
        <v>0</v>
      </c>
      <c r="AM37">
        <v>0</v>
      </c>
      <c r="AN37">
        <v>0</v>
      </c>
      <c r="AO37">
        <v>0</v>
      </c>
      <c r="AX37">
        <v>0</v>
      </c>
      <c r="AY37">
        <v>0</v>
      </c>
      <c r="AZ37">
        <v>0</v>
      </c>
      <c r="BA37">
        <v>0</v>
      </c>
      <c r="BB37">
        <v>0</v>
      </c>
      <c r="BC37">
        <v>0</v>
      </c>
      <c r="BD37">
        <v>0</v>
      </c>
      <c r="BE37">
        <v>0</v>
      </c>
    </row>
    <row r="38" spans="1:57" x14ac:dyDescent="0.2">
      <c r="A38">
        <v>7</v>
      </c>
      <c r="B38">
        <v>0</v>
      </c>
      <c r="C38">
        <v>0</v>
      </c>
      <c r="D38">
        <v>0</v>
      </c>
      <c r="E38">
        <v>5</v>
      </c>
      <c r="F38">
        <v>5</v>
      </c>
      <c r="G38">
        <v>0</v>
      </c>
      <c r="H38">
        <v>5</v>
      </c>
      <c r="I38">
        <v>0</v>
      </c>
      <c r="R38">
        <v>0</v>
      </c>
      <c r="S38">
        <v>0</v>
      </c>
      <c r="T38">
        <v>0</v>
      </c>
      <c r="U38">
        <v>5</v>
      </c>
      <c r="V38">
        <v>5</v>
      </c>
      <c r="W38">
        <v>0</v>
      </c>
      <c r="X38">
        <v>-5</v>
      </c>
      <c r="Y38">
        <v>0</v>
      </c>
      <c r="AH38">
        <v>0</v>
      </c>
      <c r="AI38">
        <v>0</v>
      </c>
      <c r="AJ38">
        <v>0</v>
      </c>
      <c r="AK38">
        <v>-5</v>
      </c>
      <c r="AL38">
        <v>-5</v>
      </c>
      <c r="AM38">
        <v>0</v>
      </c>
      <c r="AN38">
        <v>5</v>
      </c>
      <c r="AO38">
        <v>0</v>
      </c>
      <c r="AX38">
        <v>0</v>
      </c>
      <c r="AY38">
        <v>0</v>
      </c>
      <c r="AZ38">
        <v>0</v>
      </c>
      <c r="BA38">
        <v>-5</v>
      </c>
      <c r="BB38">
        <v>-5</v>
      </c>
      <c r="BC38">
        <v>0</v>
      </c>
      <c r="BD38">
        <v>-5</v>
      </c>
      <c r="BE38">
        <v>0</v>
      </c>
    </row>
    <row r="41" spans="1:57" x14ac:dyDescent="0.2">
      <c r="H41" s="8" t="s">
        <v>217</v>
      </c>
      <c r="I41">
        <f>SUM(B2:BM2)</f>
        <v>1</v>
      </c>
    </row>
    <row r="42" spans="1:57" x14ac:dyDescent="0.2">
      <c r="B42" s="8" t="s">
        <v>73</v>
      </c>
    </row>
    <row r="43" spans="1:57" x14ac:dyDescent="0.2">
      <c r="B43" s="2">
        <v>10</v>
      </c>
      <c r="C43" s="2">
        <v>10</v>
      </c>
      <c r="D43" s="2">
        <v>10</v>
      </c>
      <c r="E43" s="2">
        <v>40</v>
      </c>
      <c r="F43" s="2">
        <v>40</v>
      </c>
      <c r="G43" s="2">
        <v>40</v>
      </c>
      <c r="H43" s="2">
        <v>40</v>
      </c>
      <c r="I43" s="2">
        <v>20</v>
      </c>
      <c r="K43">
        <f>SUM(B43:I43)</f>
        <v>210</v>
      </c>
    </row>
    <row r="44" spans="1:57" x14ac:dyDescent="0.2">
      <c r="B44" s="2">
        <v>10</v>
      </c>
      <c r="C44" s="2">
        <v>10</v>
      </c>
      <c r="D44" s="2">
        <v>10</v>
      </c>
      <c r="E44" s="2">
        <v>40</v>
      </c>
      <c r="F44" s="2">
        <v>40</v>
      </c>
      <c r="G44" s="2">
        <v>40</v>
      </c>
      <c r="H44" s="2">
        <v>40</v>
      </c>
      <c r="I44" s="2">
        <v>20</v>
      </c>
    </row>
    <row r="45" spans="1:57" x14ac:dyDescent="0.2">
      <c r="B45" s="2">
        <v>10</v>
      </c>
      <c r="C45" s="2">
        <v>10</v>
      </c>
      <c r="D45" s="2">
        <v>10</v>
      </c>
      <c r="E45" s="2">
        <v>40</v>
      </c>
      <c r="F45" s="2">
        <v>40</v>
      </c>
      <c r="G45" s="2">
        <v>40</v>
      </c>
      <c r="H45" s="2">
        <v>40</v>
      </c>
      <c r="I45" s="2">
        <v>20</v>
      </c>
    </row>
    <row r="46" spans="1:57" x14ac:dyDescent="0.2">
      <c r="B46" s="2">
        <v>10</v>
      </c>
      <c r="C46" s="2">
        <v>10</v>
      </c>
      <c r="D46" s="2">
        <v>10</v>
      </c>
      <c r="E46" s="2">
        <v>40</v>
      </c>
      <c r="F46" s="2">
        <v>40</v>
      </c>
      <c r="G46" s="2">
        <v>40</v>
      </c>
      <c r="H46" s="2">
        <v>40</v>
      </c>
      <c r="I46" s="2">
        <v>20</v>
      </c>
    </row>
    <row r="47" spans="1:57" x14ac:dyDescent="0.2">
      <c r="B47" s="2">
        <v>10</v>
      </c>
      <c r="C47" s="2">
        <v>10</v>
      </c>
      <c r="D47" s="2">
        <v>10</v>
      </c>
      <c r="E47" s="2">
        <v>45</v>
      </c>
      <c r="F47" s="2">
        <v>45</v>
      </c>
      <c r="G47" s="2">
        <v>40</v>
      </c>
      <c r="H47" s="2">
        <v>45</v>
      </c>
      <c r="I47" s="2">
        <v>20</v>
      </c>
      <c r="K47">
        <f t="shared" ref="K47:K50" si="17">SUM(B47:I47)</f>
        <v>225</v>
      </c>
    </row>
    <row r="48" spans="1:57" x14ac:dyDescent="0.2">
      <c r="B48" s="2">
        <v>10</v>
      </c>
      <c r="C48" s="2">
        <v>10</v>
      </c>
      <c r="D48" s="2">
        <v>10</v>
      </c>
      <c r="E48" s="2">
        <v>40</v>
      </c>
      <c r="F48" s="2">
        <v>40</v>
      </c>
      <c r="G48" s="2">
        <v>40</v>
      </c>
      <c r="H48" s="2">
        <v>35</v>
      </c>
      <c r="I48" s="2">
        <v>20</v>
      </c>
      <c r="K48">
        <f t="shared" si="17"/>
        <v>205</v>
      </c>
    </row>
    <row r="49" spans="2:11" x14ac:dyDescent="0.2">
      <c r="B49" s="2">
        <v>10</v>
      </c>
      <c r="C49" s="2">
        <v>10</v>
      </c>
      <c r="D49" s="2">
        <v>10</v>
      </c>
      <c r="E49" s="2">
        <v>40</v>
      </c>
      <c r="F49" s="2">
        <v>40</v>
      </c>
      <c r="G49" s="2">
        <v>40</v>
      </c>
      <c r="H49" s="2">
        <v>35</v>
      </c>
      <c r="I49" s="2">
        <v>20</v>
      </c>
    </row>
    <row r="50" spans="2:11" x14ac:dyDescent="0.2">
      <c r="B50" s="2">
        <v>10</v>
      </c>
      <c r="C50" s="2">
        <v>10</v>
      </c>
      <c r="D50" s="2">
        <v>10</v>
      </c>
      <c r="E50" s="2">
        <v>45</v>
      </c>
      <c r="F50" s="2">
        <v>45</v>
      </c>
      <c r="G50" s="2">
        <v>40</v>
      </c>
      <c r="H50" s="2">
        <v>40</v>
      </c>
      <c r="I50" s="2">
        <v>20</v>
      </c>
      <c r="K50">
        <f t="shared" si="17"/>
        <v>220</v>
      </c>
    </row>
    <row r="51" spans="2:11" x14ac:dyDescent="0.2">
      <c r="G51" s="24"/>
      <c r="H51" s="24"/>
    </row>
    <row r="53" spans="2:11" x14ac:dyDescent="0.2">
      <c r="B53" s="8" t="s">
        <v>209</v>
      </c>
    </row>
    <row r="54" spans="2:11" x14ac:dyDescent="0.2">
      <c r="B54" t="s">
        <v>200</v>
      </c>
      <c r="C54" t="s">
        <v>201</v>
      </c>
      <c r="D54" t="s">
        <v>202</v>
      </c>
      <c r="E54" t="s">
        <v>203</v>
      </c>
      <c r="F54" t="s">
        <v>204</v>
      </c>
    </row>
    <row r="55" spans="2:11" x14ac:dyDescent="0.2">
      <c r="B55" s="25">
        <v>30</v>
      </c>
      <c r="C55" s="25">
        <v>80</v>
      </c>
      <c r="D55" s="25">
        <v>40</v>
      </c>
      <c r="E55" s="25">
        <v>40</v>
      </c>
    </row>
    <row r="56" spans="2:11" x14ac:dyDescent="0.2">
      <c r="B56" s="25">
        <v>30</v>
      </c>
      <c r="C56" s="25">
        <v>90</v>
      </c>
      <c r="D56" s="25">
        <v>40</v>
      </c>
      <c r="E56" s="25">
        <v>45</v>
      </c>
    </row>
    <row r="57" spans="2:11" x14ac:dyDescent="0.2">
      <c r="B57" s="25">
        <v>30</v>
      </c>
      <c r="C57" s="25">
        <v>80</v>
      </c>
      <c r="D57" s="25">
        <v>40</v>
      </c>
      <c r="E57" s="25">
        <v>35</v>
      </c>
    </row>
    <row r="58" spans="2:11" x14ac:dyDescent="0.2">
      <c r="B58" s="25">
        <v>30</v>
      </c>
      <c r="C58" s="25">
        <v>90</v>
      </c>
      <c r="D58" s="25">
        <v>40</v>
      </c>
      <c r="E58" s="25">
        <v>40</v>
      </c>
    </row>
  </sheetData>
  <mergeCells count="16">
    <mergeCell ref="AH1:AW1"/>
    <mergeCell ref="AH2:AW2"/>
    <mergeCell ref="AH3:AO3"/>
    <mergeCell ref="AP3:AW3"/>
    <mergeCell ref="AX1:BM1"/>
    <mergeCell ref="AX2:BM2"/>
    <mergeCell ref="AX3:BE3"/>
    <mergeCell ref="BF3:BM3"/>
    <mergeCell ref="B3:I3"/>
    <mergeCell ref="J3:Q3"/>
    <mergeCell ref="B1:Q1"/>
    <mergeCell ref="B2:Q2"/>
    <mergeCell ref="R1:AG1"/>
    <mergeCell ref="R2:AG2"/>
    <mergeCell ref="R3:Y3"/>
    <mergeCell ref="Z3:AG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7506CF-850A-ED42-956F-025E5A994524}">
  <dimension ref="A1:IW33"/>
  <sheetViews>
    <sheetView zoomScale="130" zoomScaleNormal="130" workbookViewId="0">
      <selection activeCell="BQ6" sqref="BQ6"/>
    </sheetView>
  </sheetViews>
  <sheetFormatPr baseColWidth="10" defaultRowHeight="16" x14ac:dyDescent="0.2"/>
  <cols>
    <col min="1" max="1" width="19" bestFit="1" customWidth="1"/>
    <col min="2" max="2" width="11.33203125" bestFit="1" customWidth="1"/>
    <col min="3" max="3" width="16" bestFit="1" customWidth="1"/>
  </cols>
  <sheetData>
    <row r="1" spans="1:257" x14ac:dyDescent="0.2">
      <c r="A1" s="4" t="s">
        <v>32</v>
      </c>
      <c r="B1" s="58">
        <f>(Parameters!B8+1)*Parameters!B7 + 1</f>
        <v>41</v>
      </c>
      <c r="C1" s="58"/>
      <c r="D1" s="58"/>
      <c r="E1" s="58"/>
      <c r="F1" s="58"/>
      <c r="G1" s="58"/>
      <c r="H1" s="58"/>
      <c r="I1" s="58"/>
      <c r="J1" s="58"/>
      <c r="K1" s="58"/>
      <c r="L1" s="58"/>
      <c r="M1" s="58"/>
      <c r="N1" s="58"/>
      <c r="O1" s="58"/>
      <c r="P1" s="58"/>
      <c r="Q1" s="58"/>
      <c r="R1" s="58">
        <f>B1+Parameters!$B$7</f>
        <v>49</v>
      </c>
      <c r="S1" s="58"/>
      <c r="T1" s="58"/>
      <c r="U1" s="58"/>
      <c r="V1" s="58"/>
      <c r="W1" s="58"/>
      <c r="X1" s="58"/>
      <c r="Y1" s="58"/>
      <c r="Z1" s="58"/>
      <c r="AA1" s="58"/>
      <c r="AB1" s="58"/>
      <c r="AC1" s="58"/>
      <c r="AD1" s="58"/>
      <c r="AE1" s="58"/>
      <c r="AF1" s="58"/>
      <c r="AG1" s="58"/>
      <c r="AH1" s="58">
        <f>R1+Parameters!$B$7</f>
        <v>57</v>
      </c>
      <c r="AI1" s="58"/>
      <c r="AJ1" s="58"/>
      <c r="AK1" s="58"/>
      <c r="AL1" s="58"/>
      <c r="AM1" s="58"/>
      <c r="AN1" s="58"/>
      <c r="AO1" s="58"/>
      <c r="AP1" s="58"/>
      <c r="AQ1" s="58"/>
      <c r="AR1" s="58"/>
      <c r="AS1" s="58"/>
      <c r="AT1" s="58"/>
      <c r="AU1" s="58"/>
      <c r="AV1" s="58"/>
      <c r="AW1" s="58"/>
      <c r="AX1" s="58">
        <f>AH1+Parameters!$B$7</f>
        <v>65</v>
      </c>
      <c r="AY1" s="58"/>
      <c r="AZ1" s="58"/>
      <c r="BA1" s="58"/>
      <c r="BB1" s="58"/>
      <c r="BC1" s="58"/>
      <c r="BD1" s="58"/>
      <c r="BE1" s="58"/>
      <c r="BF1" s="58"/>
      <c r="BG1" s="58"/>
      <c r="BH1" s="58"/>
      <c r="BI1" s="58"/>
      <c r="BJ1" s="58"/>
      <c r="BK1" s="58"/>
      <c r="BL1" s="58"/>
      <c r="BM1" s="58"/>
      <c r="BN1" s="58">
        <f>AX1+Parameters!$B$7</f>
        <v>73</v>
      </c>
      <c r="BO1" s="58"/>
      <c r="BP1" s="58"/>
      <c r="BQ1" s="58"/>
      <c r="BR1" s="58"/>
      <c r="BS1" s="58"/>
      <c r="BT1" s="58"/>
      <c r="BU1" s="58"/>
      <c r="BV1" s="58"/>
      <c r="BW1" s="58"/>
      <c r="BX1" s="58"/>
      <c r="BY1" s="58"/>
      <c r="BZ1" s="58"/>
      <c r="CA1" s="58"/>
      <c r="CB1" s="58"/>
      <c r="CC1" s="58"/>
      <c r="CD1" s="58">
        <f>BN1+Parameters!$B$7</f>
        <v>81</v>
      </c>
      <c r="CE1" s="58"/>
      <c r="CF1" s="58"/>
      <c r="CG1" s="58"/>
      <c r="CH1" s="58"/>
      <c r="CI1" s="58"/>
      <c r="CJ1" s="58"/>
      <c r="CK1" s="58"/>
      <c r="CL1" s="58"/>
      <c r="CM1" s="58"/>
      <c r="CN1" s="58"/>
      <c r="CO1" s="58"/>
      <c r="CP1" s="58"/>
      <c r="CQ1" s="58"/>
      <c r="CR1" s="58"/>
      <c r="CS1" s="58"/>
      <c r="CT1" s="58">
        <f>CD1+Parameters!$B$7</f>
        <v>89</v>
      </c>
      <c r="CU1" s="58"/>
      <c r="CV1" s="58"/>
      <c r="CW1" s="58"/>
      <c r="CX1" s="58"/>
      <c r="CY1" s="58"/>
      <c r="CZ1" s="58"/>
      <c r="DA1" s="58"/>
      <c r="DB1" s="58"/>
      <c r="DC1" s="58"/>
      <c r="DD1" s="58"/>
      <c r="DE1" s="58"/>
      <c r="DF1" s="58"/>
      <c r="DG1" s="58"/>
      <c r="DH1" s="58"/>
      <c r="DI1" s="58"/>
      <c r="DJ1" s="58">
        <f>CT1+Parameters!$B$7</f>
        <v>97</v>
      </c>
      <c r="DK1" s="58"/>
      <c r="DL1" s="58"/>
      <c r="DM1" s="58"/>
      <c r="DN1" s="58"/>
      <c r="DO1" s="58"/>
      <c r="DP1" s="58"/>
      <c r="DQ1" s="58"/>
      <c r="DR1" s="58"/>
      <c r="DS1" s="58"/>
      <c r="DT1" s="58"/>
      <c r="DU1" s="58"/>
      <c r="DV1" s="58"/>
      <c r="DW1" s="58"/>
      <c r="DX1" s="58"/>
      <c r="DY1" s="58"/>
      <c r="DZ1" s="58">
        <f>DJ1+Parameters!$B$7</f>
        <v>105</v>
      </c>
      <c r="EA1" s="58"/>
      <c r="EB1" s="58"/>
      <c r="EC1" s="58"/>
      <c r="ED1" s="58"/>
      <c r="EE1" s="58"/>
      <c r="EF1" s="58"/>
      <c r="EG1" s="58"/>
      <c r="EH1" s="58"/>
      <c r="EI1" s="58"/>
      <c r="EJ1" s="58"/>
      <c r="EK1" s="58"/>
      <c r="EL1" s="58"/>
      <c r="EM1" s="58"/>
      <c r="EN1" s="58"/>
      <c r="EO1" s="58"/>
      <c r="EP1" s="58">
        <f>DZ1+Parameters!$B$7</f>
        <v>113</v>
      </c>
      <c r="EQ1" s="58"/>
      <c r="ER1" s="58"/>
      <c r="ES1" s="58"/>
      <c r="ET1" s="58"/>
      <c r="EU1" s="58"/>
      <c r="EV1" s="58"/>
      <c r="EW1" s="58"/>
      <c r="EX1" s="58"/>
      <c r="EY1" s="58"/>
      <c r="EZ1" s="58"/>
      <c r="FA1" s="58"/>
      <c r="FB1" s="58"/>
      <c r="FC1" s="58"/>
      <c r="FD1" s="58"/>
      <c r="FE1" s="58"/>
      <c r="FF1" s="58">
        <f>EP1+Parameters!$B$7</f>
        <v>121</v>
      </c>
      <c r="FG1" s="58"/>
      <c r="FH1" s="58"/>
      <c r="FI1" s="58"/>
      <c r="FJ1" s="58"/>
      <c r="FK1" s="58"/>
      <c r="FL1" s="58"/>
      <c r="FM1" s="58"/>
      <c r="FN1" s="58"/>
      <c r="FO1" s="58"/>
      <c r="FP1" s="58"/>
      <c r="FQ1" s="58"/>
      <c r="FR1" s="58"/>
      <c r="FS1" s="58"/>
      <c r="FT1" s="58"/>
      <c r="FU1" s="58"/>
      <c r="FV1" s="58">
        <f>FF1+Parameters!$B$7</f>
        <v>129</v>
      </c>
      <c r="FW1" s="58"/>
      <c r="FX1" s="58"/>
      <c r="FY1" s="58"/>
      <c r="FZ1" s="58"/>
      <c r="GA1" s="58"/>
      <c r="GB1" s="58"/>
      <c r="GC1" s="58"/>
      <c r="GD1" s="58"/>
      <c r="GE1" s="58"/>
      <c r="GF1" s="58"/>
      <c r="GG1" s="58"/>
      <c r="GH1" s="58"/>
      <c r="GI1" s="58"/>
      <c r="GJ1" s="58"/>
      <c r="GK1" s="58"/>
      <c r="GL1" s="58">
        <f>FV1+Parameters!$B$7</f>
        <v>137</v>
      </c>
      <c r="GM1" s="58"/>
      <c r="GN1" s="58"/>
      <c r="GO1" s="58"/>
      <c r="GP1" s="58"/>
      <c r="GQ1" s="58"/>
      <c r="GR1" s="58"/>
      <c r="GS1" s="58"/>
      <c r="GT1" s="58"/>
      <c r="GU1" s="58"/>
      <c r="GV1" s="58"/>
      <c r="GW1" s="58"/>
      <c r="GX1" s="58"/>
      <c r="GY1" s="58"/>
      <c r="GZ1" s="58"/>
      <c r="HA1" s="58"/>
      <c r="HB1" s="58">
        <f>GL1+Parameters!$B$7</f>
        <v>145</v>
      </c>
      <c r="HC1" s="58"/>
      <c r="HD1" s="58"/>
      <c r="HE1" s="58"/>
      <c r="HF1" s="58"/>
      <c r="HG1" s="58"/>
      <c r="HH1" s="58"/>
      <c r="HI1" s="58"/>
      <c r="HJ1" s="58"/>
      <c r="HK1" s="58"/>
      <c r="HL1" s="58"/>
      <c r="HM1" s="58"/>
      <c r="HN1" s="58"/>
      <c r="HO1" s="58"/>
      <c r="HP1" s="58"/>
      <c r="HQ1" s="58"/>
      <c r="HR1" s="58">
        <f>HB1+Parameters!$B$7</f>
        <v>153</v>
      </c>
      <c r="HS1" s="58"/>
      <c r="HT1" s="58"/>
      <c r="HU1" s="58"/>
      <c r="HV1" s="58"/>
      <c r="HW1" s="58"/>
      <c r="HX1" s="58"/>
      <c r="HY1" s="58"/>
      <c r="HZ1" s="58"/>
      <c r="IA1" s="58"/>
      <c r="IB1" s="58"/>
      <c r="IC1" s="58"/>
      <c r="ID1" s="58"/>
      <c r="IE1" s="58"/>
      <c r="IF1" s="58"/>
      <c r="IG1" s="58"/>
      <c r="IH1" s="58">
        <f>HR1+Parameters!$B$7</f>
        <v>161</v>
      </c>
      <c r="II1" s="58"/>
      <c r="IJ1" s="58"/>
      <c r="IK1" s="58"/>
      <c r="IL1" s="58"/>
      <c r="IM1" s="58"/>
      <c r="IN1" s="58"/>
      <c r="IO1" s="58"/>
      <c r="IP1" s="58"/>
      <c r="IQ1" s="58"/>
      <c r="IR1" s="58"/>
      <c r="IS1" s="58"/>
      <c r="IT1" s="58"/>
      <c r="IU1" s="58"/>
      <c r="IV1" s="58"/>
      <c r="IW1" s="58"/>
    </row>
    <row r="2" spans="1:257" x14ac:dyDescent="0.2">
      <c r="A2" s="4" t="s">
        <v>26</v>
      </c>
      <c r="B2" s="58">
        <f>1/16</f>
        <v>6.25E-2</v>
      </c>
      <c r="C2" s="58"/>
      <c r="D2" s="58"/>
      <c r="E2" s="58"/>
      <c r="F2" s="58"/>
      <c r="G2" s="58"/>
      <c r="H2" s="58"/>
      <c r="I2" s="58"/>
      <c r="J2" s="58"/>
      <c r="K2" s="58"/>
      <c r="L2" s="58"/>
      <c r="M2" s="58"/>
      <c r="N2" s="58"/>
      <c r="O2" s="58"/>
      <c r="P2" s="58"/>
      <c r="Q2" s="58"/>
      <c r="R2" s="58">
        <f>B2</f>
        <v>6.25E-2</v>
      </c>
      <c r="S2" s="58"/>
      <c r="T2" s="58"/>
      <c r="U2" s="58"/>
      <c r="V2" s="58"/>
      <c r="W2" s="58"/>
      <c r="X2" s="58"/>
      <c r="Y2" s="58"/>
      <c r="Z2" s="58"/>
      <c r="AA2" s="58"/>
      <c r="AB2" s="58"/>
      <c r="AC2" s="58"/>
      <c r="AD2" s="58"/>
      <c r="AE2" s="58"/>
      <c r="AF2" s="58"/>
      <c r="AG2" s="58"/>
      <c r="AH2" s="58">
        <f t="shared" ref="AH2" si="0">R2</f>
        <v>6.25E-2</v>
      </c>
      <c r="AI2" s="58"/>
      <c r="AJ2" s="58"/>
      <c r="AK2" s="58"/>
      <c r="AL2" s="58"/>
      <c r="AM2" s="58"/>
      <c r="AN2" s="58"/>
      <c r="AO2" s="58"/>
      <c r="AP2" s="58"/>
      <c r="AQ2" s="58"/>
      <c r="AR2" s="58"/>
      <c r="AS2" s="58"/>
      <c r="AT2" s="58"/>
      <c r="AU2" s="58"/>
      <c r="AV2" s="58"/>
      <c r="AW2" s="58"/>
      <c r="AX2" s="58">
        <f t="shared" ref="AX2" si="1">AH2</f>
        <v>6.25E-2</v>
      </c>
      <c r="AY2" s="58"/>
      <c r="AZ2" s="58"/>
      <c r="BA2" s="58"/>
      <c r="BB2" s="58"/>
      <c r="BC2" s="58"/>
      <c r="BD2" s="58"/>
      <c r="BE2" s="58"/>
      <c r="BF2" s="58"/>
      <c r="BG2" s="58"/>
      <c r="BH2" s="58"/>
      <c r="BI2" s="58"/>
      <c r="BJ2" s="58"/>
      <c r="BK2" s="58"/>
      <c r="BL2" s="58"/>
      <c r="BM2" s="58"/>
      <c r="BN2" s="58">
        <f t="shared" ref="BN2" si="2">AX2</f>
        <v>6.25E-2</v>
      </c>
      <c r="BO2" s="58"/>
      <c r="BP2" s="58"/>
      <c r="BQ2" s="58"/>
      <c r="BR2" s="58"/>
      <c r="BS2" s="58"/>
      <c r="BT2" s="58"/>
      <c r="BU2" s="58"/>
      <c r="BV2" s="58"/>
      <c r="BW2" s="58"/>
      <c r="BX2" s="58"/>
      <c r="BY2" s="58"/>
      <c r="BZ2" s="58"/>
      <c r="CA2" s="58"/>
      <c r="CB2" s="58"/>
      <c r="CC2" s="58"/>
      <c r="CD2" s="58">
        <f t="shared" ref="CD2" si="3">BN2</f>
        <v>6.25E-2</v>
      </c>
      <c r="CE2" s="58"/>
      <c r="CF2" s="58"/>
      <c r="CG2" s="58"/>
      <c r="CH2" s="58"/>
      <c r="CI2" s="58"/>
      <c r="CJ2" s="58"/>
      <c r="CK2" s="58"/>
      <c r="CL2" s="58"/>
      <c r="CM2" s="58"/>
      <c r="CN2" s="58"/>
      <c r="CO2" s="58"/>
      <c r="CP2" s="58"/>
      <c r="CQ2" s="58"/>
      <c r="CR2" s="58"/>
      <c r="CS2" s="58"/>
      <c r="CT2" s="58">
        <f t="shared" ref="CT2" si="4">CD2</f>
        <v>6.25E-2</v>
      </c>
      <c r="CU2" s="58"/>
      <c r="CV2" s="58"/>
      <c r="CW2" s="58"/>
      <c r="CX2" s="58"/>
      <c r="CY2" s="58"/>
      <c r="CZ2" s="58"/>
      <c r="DA2" s="58"/>
      <c r="DB2" s="58"/>
      <c r="DC2" s="58"/>
      <c r="DD2" s="58"/>
      <c r="DE2" s="58"/>
      <c r="DF2" s="58"/>
      <c r="DG2" s="58"/>
      <c r="DH2" s="58"/>
      <c r="DI2" s="58"/>
      <c r="DJ2" s="58">
        <f t="shared" ref="DJ2" si="5">CT2</f>
        <v>6.25E-2</v>
      </c>
      <c r="DK2" s="58"/>
      <c r="DL2" s="58"/>
      <c r="DM2" s="58"/>
      <c r="DN2" s="58"/>
      <c r="DO2" s="58"/>
      <c r="DP2" s="58"/>
      <c r="DQ2" s="58"/>
      <c r="DR2" s="58"/>
      <c r="DS2" s="58"/>
      <c r="DT2" s="58"/>
      <c r="DU2" s="58"/>
      <c r="DV2" s="58"/>
      <c r="DW2" s="58"/>
      <c r="DX2" s="58"/>
      <c r="DY2" s="58"/>
      <c r="DZ2" s="58">
        <f t="shared" ref="DZ2" si="6">DJ2</f>
        <v>6.25E-2</v>
      </c>
      <c r="EA2" s="58"/>
      <c r="EB2" s="58"/>
      <c r="EC2" s="58"/>
      <c r="ED2" s="58"/>
      <c r="EE2" s="58"/>
      <c r="EF2" s="58"/>
      <c r="EG2" s="58"/>
      <c r="EH2" s="58"/>
      <c r="EI2" s="58"/>
      <c r="EJ2" s="58"/>
      <c r="EK2" s="58"/>
      <c r="EL2" s="58"/>
      <c r="EM2" s="58"/>
      <c r="EN2" s="58"/>
      <c r="EO2" s="58"/>
      <c r="EP2" s="58">
        <f t="shared" ref="EP2" si="7">DZ2</f>
        <v>6.25E-2</v>
      </c>
      <c r="EQ2" s="58"/>
      <c r="ER2" s="58"/>
      <c r="ES2" s="58"/>
      <c r="ET2" s="58"/>
      <c r="EU2" s="58"/>
      <c r="EV2" s="58"/>
      <c r="EW2" s="58"/>
      <c r="EX2" s="58"/>
      <c r="EY2" s="58"/>
      <c r="EZ2" s="58"/>
      <c r="FA2" s="58"/>
      <c r="FB2" s="58"/>
      <c r="FC2" s="58"/>
      <c r="FD2" s="58"/>
      <c r="FE2" s="58"/>
      <c r="FF2" s="58">
        <f t="shared" ref="FF2" si="8">EP2</f>
        <v>6.25E-2</v>
      </c>
      <c r="FG2" s="58"/>
      <c r="FH2" s="58"/>
      <c r="FI2" s="58"/>
      <c r="FJ2" s="58"/>
      <c r="FK2" s="58"/>
      <c r="FL2" s="58"/>
      <c r="FM2" s="58"/>
      <c r="FN2" s="58"/>
      <c r="FO2" s="58"/>
      <c r="FP2" s="58"/>
      <c r="FQ2" s="58"/>
      <c r="FR2" s="58"/>
      <c r="FS2" s="58"/>
      <c r="FT2" s="58"/>
      <c r="FU2" s="58"/>
      <c r="FV2" s="58">
        <f t="shared" ref="FV2" si="9">FF2</f>
        <v>6.25E-2</v>
      </c>
      <c r="FW2" s="58"/>
      <c r="FX2" s="58"/>
      <c r="FY2" s="58"/>
      <c r="FZ2" s="58"/>
      <c r="GA2" s="58"/>
      <c r="GB2" s="58"/>
      <c r="GC2" s="58"/>
      <c r="GD2" s="58"/>
      <c r="GE2" s="58"/>
      <c r="GF2" s="58"/>
      <c r="GG2" s="58"/>
      <c r="GH2" s="58"/>
      <c r="GI2" s="58"/>
      <c r="GJ2" s="58"/>
      <c r="GK2" s="58"/>
      <c r="GL2" s="58">
        <f t="shared" ref="GL2" si="10">FV2</f>
        <v>6.25E-2</v>
      </c>
      <c r="GM2" s="58"/>
      <c r="GN2" s="58"/>
      <c r="GO2" s="58"/>
      <c r="GP2" s="58"/>
      <c r="GQ2" s="58"/>
      <c r="GR2" s="58"/>
      <c r="GS2" s="58"/>
      <c r="GT2" s="58"/>
      <c r="GU2" s="58"/>
      <c r="GV2" s="58"/>
      <c r="GW2" s="58"/>
      <c r="GX2" s="58"/>
      <c r="GY2" s="58"/>
      <c r="GZ2" s="58"/>
      <c r="HA2" s="58"/>
      <c r="HB2" s="58">
        <f t="shared" ref="HB2" si="11">GL2</f>
        <v>6.25E-2</v>
      </c>
      <c r="HC2" s="58"/>
      <c r="HD2" s="58"/>
      <c r="HE2" s="58"/>
      <c r="HF2" s="58"/>
      <c r="HG2" s="58"/>
      <c r="HH2" s="58"/>
      <c r="HI2" s="58"/>
      <c r="HJ2" s="58"/>
      <c r="HK2" s="58"/>
      <c r="HL2" s="58"/>
      <c r="HM2" s="58"/>
      <c r="HN2" s="58"/>
      <c r="HO2" s="58"/>
      <c r="HP2" s="58"/>
      <c r="HQ2" s="58"/>
      <c r="HR2" s="58">
        <f t="shared" ref="HR2" si="12">HB2</f>
        <v>6.25E-2</v>
      </c>
      <c r="HS2" s="58"/>
      <c r="HT2" s="58"/>
      <c r="HU2" s="58"/>
      <c r="HV2" s="58"/>
      <c r="HW2" s="58"/>
      <c r="HX2" s="58"/>
      <c r="HY2" s="58"/>
      <c r="HZ2" s="58"/>
      <c r="IA2" s="58"/>
      <c r="IB2" s="58"/>
      <c r="IC2" s="58"/>
      <c r="ID2" s="58"/>
      <c r="IE2" s="58"/>
      <c r="IF2" s="58"/>
      <c r="IG2" s="58"/>
      <c r="IH2" s="58">
        <f t="shared" ref="IH2" si="13">HR2</f>
        <v>6.25E-2</v>
      </c>
      <c r="II2" s="58"/>
      <c r="IJ2" s="58"/>
      <c r="IK2" s="58"/>
      <c r="IL2" s="58"/>
      <c r="IM2" s="58"/>
      <c r="IN2" s="58"/>
      <c r="IO2" s="58"/>
      <c r="IP2" s="58"/>
      <c r="IQ2" s="58"/>
      <c r="IR2" s="58"/>
      <c r="IS2" s="58"/>
      <c r="IT2" s="58"/>
      <c r="IU2" s="58"/>
      <c r="IV2" s="58"/>
      <c r="IW2" s="58"/>
    </row>
    <row r="3" spans="1:257" x14ac:dyDescent="0.2">
      <c r="A3" s="4" t="s">
        <v>33</v>
      </c>
      <c r="B3" s="61">
        <v>9</v>
      </c>
      <c r="C3" s="62"/>
      <c r="D3" s="62"/>
      <c r="E3" s="62"/>
      <c r="F3" s="62"/>
      <c r="G3" s="62"/>
      <c r="H3" s="62"/>
      <c r="I3" s="62"/>
      <c r="J3" s="62"/>
      <c r="K3" s="62"/>
      <c r="L3" s="62"/>
      <c r="M3" s="62"/>
      <c r="N3" s="62"/>
      <c r="O3" s="62"/>
      <c r="P3" s="62"/>
      <c r="Q3" s="63"/>
      <c r="R3" s="61">
        <v>9</v>
      </c>
      <c r="S3" s="62"/>
      <c r="T3" s="62"/>
      <c r="U3" s="62"/>
      <c r="V3" s="62"/>
      <c r="W3" s="62"/>
      <c r="X3" s="62"/>
      <c r="Y3" s="62"/>
      <c r="Z3" s="62"/>
      <c r="AA3" s="62"/>
      <c r="AB3" s="62"/>
      <c r="AC3" s="62"/>
      <c r="AD3" s="62"/>
      <c r="AE3" s="62"/>
      <c r="AF3" s="62"/>
      <c r="AG3" s="63"/>
      <c r="AH3" s="61">
        <v>9</v>
      </c>
      <c r="AI3" s="62"/>
      <c r="AJ3" s="62"/>
      <c r="AK3" s="62"/>
      <c r="AL3" s="62"/>
      <c r="AM3" s="62"/>
      <c r="AN3" s="62"/>
      <c r="AO3" s="62"/>
      <c r="AP3" s="62"/>
      <c r="AQ3" s="62"/>
      <c r="AR3" s="62"/>
      <c r="AS3" s="62"/>
      <c r="AT3" s="62"/>
      <c r="AU3" s="62"/>
      <c r="AV3" s="62"/>
      <c r="AW3" s="63"/>
      <c r="AX3" s="61">
        <v>9</v>
      </c>
      <c r="AY3" s="62"/>
      <c r="AZ3" s="62"/>
      <c r="BA3" s="62"/>
      <c r="BB3" s="62"/>
      <c r="BC3" s="62"/>
      <c r="BD3" s="62"/>
      <c r="BE3" s="62"/>
      <c r="BF3" s="62"/>
      <c r="BG3" s="62"/>
      <c r="BH3" s="62"/>
      <c r="BI3" s="62"/>
      <c r="BJ3" s="62"/>
      <c r="BK3" s="62"/>
      <c r="BL3" s="62"/>
      <c r="BM3" s="63"/>
      <c r="BN3" s="61">
        <v>17</v>
      </c>
      <c r="BO3" s="62"/>
      <c r="BP3" s="62"/>
      <c r="BQ3" s="62"/>
      <c r="BR3" s="62"/>
      <c r="BS3" s="62"/>
      <c r="BT3" s="62"/>
      <c r="BU3" s="62"/>
      <c r="BV3" s="62"/>
      <c r="BW3" s="62"/>
      <c r="BX3" s="62"/>
      <c r="BY3" s="62"/>
      <c r="BZ3" s="62"/>
      <c r="CA3" s="62"/>
      <c r="CB3" s="62"/>
      <c r="CC3" s="63"/>
      <c r="CD3" s="61">
        <v>17</v>
      </c>
      <c r="CE3" s="62"/>
      <c r="CF3" s="62"/>
      <c r="CG3" s="62"/>
      <c r="CH3" s="62"/>
      <c r="CI3" s="62"/>
      <c r="CJ3" s="62"/>
      <c r="CK3" s="62"/>
      <c r="CL3" s="62"/>
      <c r="CM3" s="62"/>
      <c r="CN3" s="62"/>
      <c r="CO3" s="62"/>
      <c r="CP3" s="62"/>
      <c r="CQ3" s="62"/>
      <c r="CR3" s="62"/>
      <c r="CS3" s="63"/>
      <c r="CT3" s="61">
        <v>17</v>
      </c>
      <c r="CU3" s="62"/>
      <c r="CV3" s="62"/>
      <c r="CW3" s="62"/>
      <c r="CX3" s="62"/>
      <c r="CY3" s="62"/>
      <c r="CZ3" s="62"/>
      <c r="DA3" s="62"/>
      <c r="DB3" s="62"/>
      <c r="DC3" s="62"/>
      <c r="DD3" s="62"/>
      <c r="DE3" s="62"/>
      <c r="DF3" s="62"/>
      <c r="DG3" s="62"/>
      <c r="DH3" s="62"/>
      <c r="DI3" s="63"/>
      <c r="DJ3" s="61">
        <v>17</v>
      </c>
      <c r="DK3" s="62"/>
      <c r="DL3" s="62"/>
      <c r="DM3" s="62"/>
      <c r="DN3" s="62"/>
      <c r="DO3" s="62"/>
      <c r="DP3" s="62"/>
      <c r="DQ3" s="62"/>
      <c r="DR3" s="62"/>
      <c r="DS3" s="62"/>
      <c r="DT3" s="62"/>
      <c r="DU3" s="62"/>
      <c r="DV3" s="62"/>
      <c r="DW3" s="62"/>
      <c r="DX3" s="62"/>
      <c r="DY3" s="63"/>
      <c r="DZ3" s="64">
        <v>25</v>
      </c>
      <c r="EA3" s="65"/>
      <c r="EB3" s="65"/>
      <c r="EC3" s="65"/>
      <c r="ED3" s="65"/>
      <c r="EE3" s="65"/>
      <c r="EF3" s="65"/>
      <c r="EG3" s="65"/>
      <c r="EH3" s="65"/>
      <c r="EI3" s="65"/>
      <c r="EJ3" s="65"/>
      <c r="EK3" s="65"/>
      <c r="EL3" s="65"/>
      <c r="EM3" s="65"/>
      <c r="EN3" s="65"/>
      <c r="EO3" s="66"/>
      <c r="EP3" s="67">
        <v>25</v>
      </c>
      <c r="EQ3" s="65"/>
      <c r="ER3" s="65"/>
      <c r="ES3" s="65"/>
      <c r="ET3" s="65"/>
      <c r="EU3" s="65"/>
      <c r="EV3" s="65"/>
      <c r="EW3" s="65"/>
      <c r="EX3" s="65"/>
      <c r="EY3" s="65"/>
      <c r="EZ3" s="65"/>
      <c r="FA3" s="65"/>
      <c r="FB3" s="65"/>
      <c r="FC3" s="65"/>
      <c r="FD3" s="65"/>
      <c r="FE3" s="66"/>
      <c r="FF3" s="67">
        <v>25</v>
      </c>
      <c r="FG3" s="65"/>
      <c r="FH3" s="65"/>
      <c r="FI3" s="65"/>
      <c r="FJ3" s="65"/>
      <c r="FK3" s="65"/>
      <c r="FL3" s="65"/>
      <c r="FM3" s="65"/>
      <c r="FN3" s="65"/>
      <c r="FO3" s="65"/>
      <c r="FP3" s="65"/>
      <c r="FQ3" s="65"/>
      <c r="FR3" s="65"/>
      <c r="FS3" s="65"/>
      <c r="FT3" s="65"/>
      <c r="FU3" s="66"/>
      <c r="FV3" s="67">
        <v>25</v>
      </c>
      <c r="FW3" s="65"/>
      <c r="FX3" s="65"/>
      <c r="FY3" s="65"/>
      <c r="FZ3" s="65"/>
      <c r="GA3" s="65"/>
      <c r="GB3" s="65"/>
      <c r="GC3" s="65"/>
      <c r="GD3" s="65"/>
      <c r="GE3" s="65"/>
      <c r="GF3" s="65"/>
      <c r="GG3" s="65"/>
      <c r="GH3" s="65"/>
      <c r="GI3" s="65"/>
      <c r="GJ3" s="65"/>
      <c r="GK3" s="66"/>
      <c r="GL3" s="67">
        <v>33</v>
      </c>
      <c r="GM3" s="65"/>
      <c r="GN3" s="65"/>
      <c r="GO3" s="65"/>
      <c r="GP3" s="65"/>
      <c r="GQ3" s="65"/>
      <c r="GR3" s="65"/>
      <c r="GS3" s="65"/>
      <c r="GT3" s="65"/>
      <c r="GU3" s="65"/>
      <c r="GV3" s="65"/>
      <c r="GW3" s="65"/>
      <c r="GX3" s="65"/>
      <c r="GY3" s="65"/>
      <c r="GZ3" s="65"/>
      <c r="HA3" s="66"/>
      <c r="HB3" s="67">
        <v>33</v>
      </c>
      <c r="HC3" s="65"/>
      <c r="HD3" s="65"/>
      <c r="HE3" s="65"/>
      <c r="HF3" s="65"/>
      <c r="HG3" s="65"/>
      <c r="HH3" s="65"/>
      <c r="HI3" s="65"/>
      <c r="HJ3" s="65"/>
      <c r="HK3" s="65"/>
      <c r="HL3" s="65"/>
      <c r="HM3" s="65"/>
      <c r="HN3" s="65"/>
      <c r="HO3" s="65"/>
      <c r="HP3" s="65"/>
      <c r="HQ3" s="66"/>
      <c r="HR3" s="67">
        <v>33</v>
      </c>
      <c r="HS3" s="65"/>
      <c r="HT3" s="65"/>
      <c r="HU3" s="65"/>
      <c r="HV3" s="65"/>
      <c r="HW3" s="65"/>
      <c r="HX3" s="65"/>
      <c r="HY3" s="65"/>
      <c r="HZ3" s="65"/>
      <c r="IA3" s="65"/>
      <c r="IB3" s="65"/>
      <c r="IC3" s="65"/>
      <c r="ID3" s="65"/>
      <c r="IE3" s="65"/>
      <c r="IF3" s="65"/>
      <c r="IG3" s="66"/>
      <c r="IH3" s="67">
        <v>33</v>
      </c>
      <c r="II3" s="65"/>
      <c r="IJ3" s="65"/>
      <c r="IK3" s="65"/>
      <c r="IL3" s="65"/>
      <c r="IM3" s="65"/>
      <c r="IN3" s="65"/>
      <c r="IO3" s="65"/>
      <c r="IP3" s="65"/>
      <c r="IQ3" s="65"/>
      <c r="IR3" s="65"/>
      <c r="IS3" s="65"/>
      <c r="IT3" s="65"/>
      <c r="IU3" s="65"/>
      <c r="IV3" s="65"/>
      <c r="IW3" s="66"/>
    </row>
    <row r="4" spans="1:257" x14ac:dyDescent="0.2">
      <c r="A4" s="4"/>
      <c r="B4" s="59" t="s">
        <v>27</v>
      </c>
      <c r="C4" s="59"/>
      <c r="D4" s="59"/>
      <c r="E4" s="59"/>
      <c r="F4" s="59"/>
      <c r="G4" s="59"/>
      <c r="H4" s="59"/>
      <c r="I4" s="59"/>
      <c r="J4" s="60" t="s">
        <v>28</v>
      </c>
      <c r="K4" s="60"/>
      <c r="L4" s="60"/>
      <c r="M4" s="60"/>
      <c r="N4" s="60"/>
      <c r="O4" s="60"/>
      <c r="P4" s="60"/>
      <c r="Q4" s="60"/>
      <c r="R4" s="59" t="s">
        <v>27</v>
      </c>
      <c r="S4" s="59"/>
      <c r="T4" s="59"/>
      <c r="U4" s="59"/>
      <c r="V4" s="59"/>
      <c r="W4" s="59"/>
      <c r="X4" s="59"/>
      <c r="Y4" s="59"/>
      <c r="Z4" s="60" t="s">
        <v>28</v>
      </c>
      <c r="AA4" s="60"/>
      <c r="AB4" s="60"/>
      <c r="AC4" s="60"/>
      <c r="AD4" s="60"/>
      <c r="AE4" s="60"/>
      <c r="AF4" s="60"/>
      <c r="AG4" s="60"/>
      <c r="AH4" s="59" t="s">
        <v>27</v>
      </c>
      <c r="AI4" s="59"/>
      <c r="AJ4" s="59"/>
      <c r="AK4" s="59"/>
      <c r="AL4" s="59"/>
      <c r="AM4" s="59"/>
      <c r="AN4" s="59"/>
      <c r="AO4" s="59"/>
      <c r="AP4" s="60" t="s">
        <v>28</v>
      </c>
      <c r="AQ4" s="60"/>
      <c r="AR4" s="60"/>
      <c r="AS4" s="60"/>
      <c r="AT4" s="60"/>
      <c r="AU4" s="60"/>
      <c r="AV4" s="60"/>
      <c r="AW4" s="60"/>
      <c r="AX4" s="59" t="s">
        <v>27</v>
      </c>
      <c r="AY4" s="59"/>
      <c r="AZ4" s="59"/>
      <c r="BA4" s="59"/>
      <c r="BB4" s="59"/>
      <c r="BC4" s="59"/>
      <c r="BD4" s="59"/>
      <c r="BE4" s="59"/>
      <c r="BF4" s="60" t="s">
        <v>28</v>
      </c>
      <c r="BG4" s="60"/>
      <c r="BH4" s="60"/>
      <c r="BI4" s="60"/>
      <c r="BJ4" s="60"/>
      <c r="BK4" s="60"/>
      <c r="BL4" s="60"/>
      <c r="BM4" s="60"/>
      <c r="BN4" s="59" t="s">
        <v>27</v>
      </c>
      <c r="BO4" s="59"/>
      <c r="BP4" s="59"/>
      <c r="BQ4" s="59"/>
      <c r="BR4" s="59"/>
      <c r="BS4" s="59"/>
      <c r="BT4" s="59"/>
      <c r="BU4" s="59"/>
      <c r="BV4" s="60" t="s">
        <v>28</v>
      </c>
      <c r="BW4" s="60"/>
      <c r="BX4" s="60"/>
      <c r="BY4" s="60"/>
      <c r="BZ4" s="60"/>
      <c r="CA4" s="60"/>
      <c r="CB4" s="60"/>
      <c r="CC4" s="60"/>
      <c r="CD4" s="59" t="s">
        <v>27</v>
      </c>
      <c r="CE4" s="59"/>
      <c r="CF4" s="59"/>
      <c r="CG4" s="59"/>
      <c r="CH4" s="59"/>
      <c r="CI4" s="59"/>
      <c r="CJ4" s="59"/>
      <c r="CK4" s="59"/>
      <c r="CL4" s="60" t="s">
        <v>28</v>
      </c>
      <c r="CM4" s="60"/>
      <c r="CN4" s="60"/>
      <c r="CO4" s="60"/>
      <c r="CP4" s="60"/>
      <c r="CQ4" s="60"/>
      <c r="CR4" s="60"/>
      <c r="CS4" s="60"/>
      <c r="CT4" s="59" t="s">
        <v>27</v>
      </c>
      <c r="CU4" s="59"/>
      <c r="CV4" s="59"/>
      <c r="CW4" s="59"/>
      <c r="CX4" s="59"/>
      <c r="CY4" s="59"/>
      <c r="CZ4" s="59"/>
      <c r="DA4" s="59"/>
      <c r="DB4" s="60" t="s">
        <v>28</v>
      </c>
      <c r="DC4" s="60"/>
      <c r="DD4" s="60"/>
      <c r="DE4" s="60"/>
      <c r="DF4" s="60"/>
      <c r="DG4" s="60"/>
      <c r="DH4" s="60"/>
      <c r="DI4" s="60"/>
      <c r="DJ4" s="59" t="s">
        <v>27</v>
      </c>
      <c r="DK4" s="59"/>
      <c r="DL4" s="59"/>
      <c r="DM4" s="59"/>
      <c r="DN4" s="59"/>
      <c r="DO4" s="59"/>
      <c r="DP4" s="59"/>
      <c r="DQ4" s="59"/>
      <c r="DR4" s="60" t="s">
        <v>28</v>
      </c>
      <c r="DS4" s="60"/>
      <c r="DT4" s="60"/>
      <c r="DU4" s="60"/>
      <c r="DV4" s="60"/>
      <c r="DW4" s="60"/>
      <c r="DX4" s="60"/>
      <c r="DY4" s="60"/>
      <c r="DZ4" s="59" t="s">
        <v>27</v>
      </c>
      <c r="EA4" s="59"/>
      <c r="EB4" s="59"/>
      <c r="EC4" s="59"/>
      <c r="ED4" s="59"/>
      <c r="EE4" s="59"/>
      <c r="EF4" s="59"/>
      <c r="EG4" s="59"/>
      <c r="EH4" s="60" t="s">
        <v>28</v>
      </c>
      <c r="EI4" s="60"/>
      <c r="EJ4" s="60"/>
      <c r="EK4" s="60"/>
      <c r="EL4" s="60"/>
      <c r="EM4" s="60"/>
      <c r="EN4" s="60"/>
      <c r="EO4" s="60"/>
      <c r="EP4" s="59" t="s">
        <v>27</v>
      </c>
      <c r="EQ4" s="59"/>
      <c r="ER4" s="59"/>
      <c r="ES4" s="59"/>
      <c r="ET4" s="59"/>
      <c r="EU4" s="59"/>
      <c r="EV4" s="59"/>
      <c r="EW4" s="59"/>
      <c r="EX4" s="60" t="s">
        <v>28</v>
      </c>
      <c r="EY4" s="60"/>
      <c r="EZ4" s="60"/>
      <c r="FA4" s="60"/>
      <c r="FB4" s="60"/>
      <c r="FC4" s="60"/>
      <c r="FD4" s="60"/>
      <c r="FE4" s="60"/>
      <c r="FF4" s="59" t="s">
        <v>27</v>
      </c>
      <c r="FG4" s="59"/>
      <c r="FH4" s="59"/>
      <c r="FI4" s="59"/>
      <c r="FJ4" s="59"/>
      <c r="FK4" s="59"/>
      <c r="FL4" s="59"/>
      <c r="FM4" s="59"/>
      <c r="FN4" s="60" t="s">
        <v>28</v>
      </c>
      <c r="FO4" s="60"/>
      <c r="FP4" s="60"/>
      <c r="FQ4" s="60"/>
      <c r="FR4" s="60"/>
      <c r="FS4" s="60"/>
      <c r="FT4" s="60"/>
      <c r="FU4" s="60"/>
      <c r="FV4" s="59" t="s">
        <v>27</v>
      </c>
      <c r="FW4" s="59"/>
      <c r="FX4" s="59"/>
      <c r="FY4" s="59"/>
      <c r="FZ4" s="59"/>
      <c r="GA4" s="59"/>
      <c r="GB4" s="59"/>
      <c r="GC4" s="59"/>
      <c r="GD4" s="60" t="s">
        <v>28</v>
      </c>
      <c r="GE4" s="60"/>
      <c r="GF4" s="60"/>
      <c r="GG4" s="60"/>
      <c r="GH4" s="60"/>
      <c r="GI4" s="60"/>
      <c r="GJ4" s="60"/>
      <c r="GK4" s="60"/>
      <c r="GL4" s="59" t="s">
        <v>27</v>
      </c>
      <c r="GM4" s="59"/>
      <c r="GN4" s="59"/>
      <c r="GO4" s="59"/>
      <c r="GP4" s="59"/>
      <c r="GQ4" s="59"/>
      <c r="GR4" s="59"/>
      <c r="GS4" s="59"/>
      <c r="GT4" s="60" t="s">
        <v>28</v>
      </c>
      <c r="GU4" s="60"/>
      <c r="GV4" s="60"/>
      <c r="GW4" s="60"/>
      <c r="GX4" s="60"/>
      <c r="GY4" s="60"/>
      <c r="GZ4" s="60"/>
      <c r="HA4" s="60"/>
      <c r="HB4" s="59" t="s">
        <v>27</v>
      </c>
      <c r="HC4" s="59"/>
      <c r="HD4" s="59"/>
      <c r="HE4" s="59"/>
      <c r="HF4" s="59"/>
      <c r="HG4" s="59"/>
      <c r="HH4" s="59"/>
      <c r="HI4" s="59"/>
      <c r="HJ4" s="60" t="s">
        <v>28</v>
      </c>
      <c r="HK4" s="60"/>
      <c r="HL4" s="60"/>
      <c r="HM4" s="60"/>
      <c r="HN4" s="60"/>
      <c r="HO4" s="60"/>
      <c r="HP4" s="60"/>
      <c r="HQ4" s="60"/>
      <c r="HR4" s="59" t="s">
        <v>27</v>
      </c>
      <c r="HS4" s="59"/>
      <c r="HT4" s="59"/>
      <c r="HU4" s="59"/>
      <c r="HV4" s="59"/>
      <c r="HW4" s="59"/>
      <c r="HX4" s="59"/>
      <c r="HY4" s="59"/>
      <c r="HZ4" s="60" t="s">
        <v>28</v>
      </c>
      <c r="IA4" s="60"/>
      <c r="IB4" s="60"/>
      <c r="IC4" s="60"/>
      <c r="ID4" s="60"/>
      <c r="IE4" s="60"/>
      <c r="IF4" s="60"/>
      <c r="IG4" s="60"/>
      <c r="IH4" s="59" t="s">
        <v>27</v>
      </c>
      <c r="II4" s="59"/>
      <c r="IJ4" s="59"/>
      <c r="IK4" s="59"/>
      <c r="IL4" s="59"/>
      <c r="IM4" s="59"/>
      <c r="IN4" s="59"/>
      <c r="IO4" s="59"/>
      <c r="IP4" s="60" t="s">
        <v>28</v>
      </c>
      <c r="IQ4" s="60"/>
      <c r="IR4" s="60"/>
      <c r="IS4" s="60"/>
      <c r="IT4" s="60"/>
      <c r="IU4" s="60"/>
      <c r="IV4" s="60"/>
      <c r="IW4" s="60"/>
    </row>
    <row r="5" spans="1:257" x14ac:dyDescent="0.2">
      <c r="A5" s="4" t="s">
        <v>17</v>
      </c>
      <c r="B5" s="5" t="str">
        <f>'Demand Stage 2'!B4</f>
        <v>ST.FERGUS</v>
      </c>
      <c r="C5" s="5" t="str">
        <f>'Demand Stage 2'!C4</f>
        <v>EASINGTON</v>
      </c>
      <c r="D5" s="5" t="str">
        <f>'Demand Stage 2'!D4</f>
        <v>TEESSIDE</v>
      </c>
      <c r="E5" s="5" t="str">
        <f>'Demand Stage 2'!E4</f>
        <v>EMDEN</v>
      </c>
      <c r="F5" s="5" t="str">
        <f>'Demand Stage 2'!F4</f>
        <v>DORNUM</v>
      </c>
      <c r="G5" s="5" t="str">
        <f>'Demand Stage 2'!G4</f>
        <v>ZEEBRUGGE</v>
      </c>
      <c r="H5" s="5" t="str">
        <f>'Demand Stage 2'!H4</f>
        <v>DUNKERQUE</v>
      </c>
      <c r="I5" s="5" t="str">
        <f>'Demand Stage 2'!I4</f>
        <v>POLAND</v>
      </c>
      <c r="J5" s="6" t="str">
        <f>'Demand Stage 2'!J4</f>
        <v>ST.FERGUS</v>
      </c>
      <c r="K5" s="6" t="str">
        <f>'Demand Stage 2'!K4</f>
        <v>EASINGTON</v>
      </c>
      <c r="L5" s="6" t="str">
        <f>'Demand Stage 2'!L4</f>
        <v>TEESSIDE</v>
      </c>
      <c r="M5" s="6" t="str">
        <f>'Demand Stage 2'!M4</f>
        <v>EMDEN</v>
      </c>
      <c r="N5" s="6" t="str">
        <f>'Demand Stage 2'!N4</f>
        <v>DORNUM</v>
      </c>
      <c r="O5" s="6" t="str">
        <f>'Demand Stage 2'!O4</f>
        <v>ZEEBRUGGE</v>
      </c>
      <c r="P5" s="6" t="str">
        <f>'Demand Stage 2'!P4</f>
        <v>DUNKERQUE</v>
      </c>
      <c r="Q5" s="6" t="str">
        <f>'Demand Stage 2'!Q4</f>
        <v>POLAND</v>
      </c>
      <c r="R5" s="5" t="str">
        <f>'Demand Stage 2'!B4</f>
        <v>ST.FERGUS</v>
      </c>
      <c r="S5" s="5" t="str">
        <f>'Demand Stage 2'!C4</f>
        <v>EASINGTON</v>
      </c>
      <c r="T5" s="5" t="str">
        <f>'Demand Stage 2'!D4</f>
        <v>TEESSIDE</v>
      </c>
      <c r="U5" s="5" t="str">
        <f>'Demand Stage 2'!E4</f>
        <v>EMDEN</v>
      </c>
      <c r="V5" s="5" t="str">
        <f>'Demand Stage 2'!F4</f>
        <v>DORNUM</v>
      </c>
      <c r="W5" s="5" t="str">
        <f>'Demand Stage 2'!G4</f>
        <v>ZEEBRUGGE</v>
      </c>
      <c r="X5" s="5" t="str">
        <f>'Demand Stage 2'!H4</f>
        <v>DUNKERQUE</v>
      </c>
      <c r="Y5" s="5" t="str">
        <f>'Demand Stage 2'!I4</f>
        <v>POLAND</v>
      </c>
      <c r="Z5" s="6" t="str">
        <f>'Demand Stage 2'!J4</f>
        <v>ST.FERGUS</v>
      </c>
      <c r="AA5" s="6" t="str">
        <f>'Demand Stage 2'!K4</f>
        <v>EASINGTON</v>
      </c>
      <c r="AB5" s="6" t="str">
        <f>'Demand Stage 2'!L4</f>
        <v>TEESSIDE</v>
      </c>
      <c r="AC5" s="6" t="str">
        <f>'Demand Stage 2'!M4</f>
        <v>EMDEN</v>
      </c>
      <c r="AD5" s="6" t="str">
        <f>'Demand Stage 2'!N4</f>
        <v>DORNUM</v>
      </c>
      <c r="AE5" s="6" t="str">
        <f>'Demand Stage 2'!O4</f>
        <v>ZEEBRUGGE</v>
      </c>
      <c r="AF5" s="6" t="str">
        <f>'Demand Stage 2'!P4</f>
        <v>DUNKERQUE</v>
      </c>
      <c r="AG5" s="6" t="str">
        <f>'Demand Stage 2'!Q4</f>
        <v>POLAND</v>
      </c>
      <c r="AH5" s="5" t="str">
        <f>'Demand Stage 2'!B4</f>
        <v>ST.FERGUS</v>
      </c>
      <c r="AI5" s="5" t="str">
        <f>'Demand Stage 2'!C4</f>
        <v>EASINGTON</v>
      </c>
      <c r="AJ5" s="5" t="str">
        <f>'Demand Stage 2'!D4</f>
        <v>TEESSIDE</v>
      </c>
      <c r="AK5" s="5" t="str">
        <f>'Demand Stage 2'!E4</f>
        <v>EMDEN</v>
      </c>
      <c r="AL5" s="5" t="str">
        <f>'Demand Stage 2'!F4</f>
        <v>DORNUM</v>
      </c>
      <c r="AM5" s="5" t="str">
        <f>'Demand Stage 2'!G4</f>
        <v>ZEEBRUGGE</v>
      </c>
      <c r="AN5" s="5" t="str">
        <f>'Demand Stage 2'!H4</f>
        <v>DUNKERQUE</v>
      </c>
      <c r="AO5" s="5" t="str">
        <f>'Demand Stage 2'!I4</f>
        <v>POLAND</v>
      </c>
      <c r="AP5" s="6" t="str">
        <f>'Demand Stage 2'!J4</f>
        <v>ST.FERGUS</v>
      </c>
      <c r="AQ5" s="6" t="str">
        <f>'Demand Stage 2'!K4</f>
        <v>EASINGTON</v>
      </c>
      <c r="AR5" s="6" t="str">
        <f>'Demand Stage 2'!L4</f>
        <v>TEESSIDE</v>
      </c>
      <c r="AS5" s="6" t="str">
        <f>'Demand Stage 2'!M4</f>
        <v>EMDEN</v>
      </c>
      <c r="AT5" s="6" t="str">
        <f>'Demand Stage 2'!N4</f>
        <v>DORNUM</v>
      </c>
      <c r="AU5" s="6" t="str">
        <f>'Demand Stage 2'!O4</f>
        <v>ZEEBRUGGE</v>
      </c>
      <c r="AV5" s="6" t="str">
        <f>'Demand Stage 2'!P4</f>
        <v>DUNKERQUE</v>
      </c>
      <c r="AW5" s="6" t="str">
        <f>'Demand Stage 2'!Q4</f>
        <v>POLAND</v>
      </c>
      <c r="AX5" s="5" t="str">
        <f>'Demand Stage 2'!B4</f>
        <v>ST.FERGUS</v>
      </c>
      <c r="AY5" s="5" t="str">
        <f>'Demand Stage 2'!C4</f>
        <v>EASINGTON</v>
      </c>
      <c r="AZ5" s="5" t="str">
        <f>'Demand Stage 2'!D4</f>
        <v>TEESSIDE</v>
      </c>
      <c r="BA5" s="5" t="str">
        <f>'Demand Stage 2'!E4</f>
        <v>EMDEN</v>
      </c>
      <c r="BB5" s="5" t="str">
        <f>'Demand Stage 2'!F4</f>
        <v>DORNUM</v>
      </c>
      <c r="BC5" s="5" t="str">
        <f>'Demand Stage 2'!G4</f>
        <v>ZEEBRUGGE</v>
      </c>
      <c r="BD5" s="5" t="str">
        <f>'Demand Stage 2'!H4</f>
        <v>DUNKERQUE</v>
      </c>
      <c r="BE5" s="5" t="str">
        <f>'Demand Stage 2'!I4</f>
        <v>POLAND</v>
      </c>
      <c r="BF5" s="6" t="str">
        <f>'Demand Stage 2'!J4</f>
        <v>ST.FERGUS</v>
      </c>
      <c r="BG5" s="6" t="str">
        <f>'Demand Stage 2'!K4</f>
        <v>EASINGTON</v>
      </c>
      <c r="BH5" s="6" t="str">
        <f>'Demand Stage 2'!L4</f>
        <v>TEESSIDE</v>
      </c>
      <c r="BI5" s="6" t="str">
        <f>'Demand Stage 2'!M4</f>
        <v>EMDEN</v>
      </c>
      <c r="BJ5" s="6" t="str">
        <f>'Demand Stage 2'!N4</f>
        <v>DORNUM</v>
      </c>
      <c r="BK5" s="6" t="str">
        <f>'Demand Stage 2'!O4</f>
        <v>ZEEBRUGGE</v>
      </c>
      <c r="BL5" s="6" t="str">
        <f>'Demand Stage 2'!P4</f>
        <v>DUNKERQUE</v>
      </c>
      <c r="BM5" s="6" t="str">
        <f>'Demand Stage 2'!Q4</f>
        <v>POLAND</v>
      </c>
      <c r="BN5" s="5" t="str">
        <f>'Demand Stage 2'!R4</f>
        <v>ST.FERGUS</v>
      </c>
      <c r="BO5" s="5" t="str">
        <f>'Demand Stage 2'!S4</f>
        <v>EASINGTON</v>
      </c>
      <c r="BP5" s="5" t="str">
        <f>'Demand Stage 2'!T4</f>
        <v>TEESSIDE</v>
      </c>
      <c r="BQ5" s="5" t="str">
        <f>'Demand Stage 2'!U4</f>
        <v>EMDEN</v>
      </c>
      <c r="BR5" s="5" t="str">
        <f>'Demand Stage 2'!V4</f>
        <v>DORNUM</v>
      </c>
      <c r="BS5" s="5" t="str">
        <f>'Demand Stage 2'!W4</f>
        <v>ZEEBRUGGE</v>
      </c>
      <c r="BT5" s="5" t="str">
        <f>'Demand Stage 2'!X4</f>
        <v>DUNKERQUE</v>
      </c>
      <c r="BU5" s="5" t="str">
        <f>'Demand Stage 2'!Y4</f>
        <v>POLAND</v>
      </c>
      <c r="BV5" s="6" t="str">
        <f>'Demand Stage 2'!Z4</f>
        <v>ST.FERGUS</v>
      </c>
      <c r="BW5" s="6" t="str">
        <f>'Demand Stage 2'!AA4</f>
        <v>EASINGTON</v>
      </c>
      <c r="BX5" s="6" t="str">
        <f>'Demand Stage 2'!AB4</f>
        <v>TEESSIDE</v>
      </c>
      <c r="BY5" s="6" t="str">
        <f>'Demand Stage 2'!AC4</f>
        <v>EMDEN</v>
      </c>
      <c r="BZ5" s="6" t="str">
        <f>'Demand Stage 2'!AD4</f>
        <v>DORNUM</v>
      </c>
      <c r="CA5" s="6" t="str">
        <f>'Demand Stage 2'!AE4</f>
        <v>ZEEBRUGGE</v>
      </c>
      <c r="CB5" s="6" t="str">
        <f>'Demand Stage 2'!AF4</f>
        <v>DUNKERQUE</v>
      </c>
      <c r="CC5" s="6" t="str">
        <f>'Demand Stage 2'!AG4</f>
        <v>POLAND</v>
      </c>
      <c r="CD5" s="5" t="str">
        <f>BN5</f>
        <v>ST.FERGUS</v>
      </c>
      <c r="CE5" s="5" t="str">
        <f t="shared" ref="CE5:CK13" si="14">BO5</f>
        <v>EASINGTON</v>
      </c>
      <c r="CF5" s="5" t="str">
        <f t="shared" si="14"/>
        <v>TEESSIDE</v>
      </c>
      <c r="CG5" s="5" t="str">
        <f t="shared" si="14"/>
        <v>EMDEN</v>
      </c>
      <c r="CH5" s="5" t="str">
        <f t="shared" si="14"/>
        <v>DORNUM</v>
      </c>
      <c r="CI5" s="5" t="str">
        <f t="shared" si="14"/>
        <v>ZEEBRUGGE</v>
      </c>
      <c r="CJ5" s="5" t="str">
        <f t="shared" si="14"/>
        <v>DUNKERQUE</v>
      </c>
      <c r="CK5" s="5" t="str">
        <f t="shared" si="14"/>
        <v>POLAND</v>
      </c>
      <c r="CL5" s="6" t="str">
        <f>BV5</f>
        <v>ST.FERGUS</v>
      </c>
      <c r="CM5" s="6" t="str">
        <f t="shared" ref="CM5:CS9" si="15">BW5</f>
        <v>EASINGTON</v>
      </c>
      <c r="CN5" s="6" t="str">
        <f t="shared" si="15"/>
        <v>TEESSIDE</v>
      </c>
      <c r="CO5" s="6" t="str">
        <f t="shared" si="15"/>
        <v>EMDEN</v>
      </c>
      <c r="CP5" s="6" t="str">
        <f t="shared" si="15"/>
        <v>DORNUM</v>
      </c>
      <c r="CQ5" s="6" t="str">
        <f t="shared" si="15"/>
        <v>ZEEBRUGGE</v>
      </c>
      <c r="CR5" s="6" t="str">
        <f t="shared" si="15"/>
        <v>DUNKERQUE</v>
      </c>
      <c r="CS5" s="6" t="str">
        <f t="shared" si="15"/>
        <v>POLAND</v>
      </c>
      <c r="CT5" s="5" t="str">
        <f>CD5</f>
        <v>ST.FERGUS</v>
      </c>
      <c r="CU5" s="5" t="str">
        <f t="shared" ref="CU5:DB13" si="16">CE5</f>
        <v>EASINGTON</v>
      </c>
      <c r="CV5" s="5" t="str">
        <f t="shared" si="16"/>
        <v>TEESSIDE</v>
      </c>
      <c r="CW5" s="5" t="str">
        <f t="shared" si="16"/>
        <v>EMDEN</v>
      </c>
      <c r="CX5" s="5" t="str">
        <f t="shared" si="16"/>
        <v>DORNUM</v>
      </c>
      <c r="CY5" s="5" t="str">
        <f t="shared" si="16"/>
        <v>ZEEBRUGGE</v>
      </c>
      <c r="CZ5" s="5" t="str">
        <f t="shared" si="16"/>
        <v>DUNKERQUE</v>
      </c>
      <c r="DA5" s="5" t="str">
        <f t="shared" si="16"/>
        <v>POLAND</v>
      </c>
      <c r="DB5" s="6" t="str">
        <f t="shared" si="16"/>
        <v>ST.FERGUS</v>
      </c>
      <c r="DC5" s="6" t="str">
        <f t="shared" ref="DC5:DC9" si="17">CM5</f>
        <v>EASINGTON</v>
      </c>
      <c r="DD5" s="6" t="str">
        <f t="shared" ref="DD5:DD9" si="18">CN5</f>
        <v>TEESSIDE</v>
      </c>
      <c r="DE5" s="6" t="str">
        <f t="shared" ref="DE5:DE9" si="19">CO5</f>
        <v>EMDEN</v>
      </c>
      <c r="DF5" s="6" t="str">
        <f t="shared" ref="DF5:DF9" si="20">CP5</f>
        <v>DORNUM</v>
      </c>
      <c r="DG5" s="6" t="str">
        <f t="shared" ref="DG5:DG9" si="21">CQ5</f>
        <v>ZEEBRUGGE</v>
      </c>
      <c r="DH5" s="6" t="str">
        <f t="shared" ref="DH5:DH9" si="22">CR5</f>
        <v>DUNKERQUE</v>
      </c>
      <c r="DI5" s="6" t="str">
        <f t="shared" ref="DI5:DI9" si="23">CS5</f>
        <v>POLAND</v>
      </c>
      <c r="DJ5" s="5" t="str">
        <f>CT5</f>
        <v>ST.FERGUS</v>
      </c>
      <c r="DK5" s="5" t="str">
        <f t="shared" ref="DK5:DQ13" si="24">CU5</f>
        <v>EASINGTON</v>
      </c>
      <c r="DL5" s="5" t="str">
        <f t="shared" si="24"/>
        <v>TEESSIDE</v>
      </c>
      <c r="DM5" s="5" t="str">
        <f t="shared" si="24"/>
        <v>EMDEN</v>
      </c>
      <c r="DN5" s="5" t="str">
        <f t="shared" si="24"/>
        <v>DORNUM</v>
      </c>
      <c r="DO5" s="5" t="str">
        <f t="shared" si="24"/>
        <v>ZEEBRUGGE</v>
      </c>
      <c r="DP5" s="5" t="str">
        <f t="shared" si="24"/>
        <v>DUNKERQUE</v>
      </c>
      <c r="DQ5" s="5" t="str">
        <f t="shared" si="24"/>
        <v>POLAND</v>
      </c>
      <c r="DR5" s="6" t="str">
        <f>DB5</f>
        <v>ST.FERGUS</v>
      </c>
      <c r="DS5" s="6" t="str">
        <f t="shared" ref="DS5:DY5" si="25">DC5</f>
        <v>EASINGTON</v>
      </c>
      <c r="DT5" s="6" t="str">
        <f t="shared" si="25"/>
        <v>TEESSIDE</v>
      </c>
      <c r="DU5" s="6" t="str">
        <f t="shared" si="25"/>
        <v>EMDEN</v>
      </c>
      <c r="DV5" s="6" t="str">
        <f t="shared" si="25"/>
        <v>DORNUM</v>
      </c>
      <c r="DW5" s="6" t="str">
        <f t="shared" si="25"/>
        <v>ZEEBRUGGE</v>
      </c>
      <c r="DX5" s="6" t="str">
        <f t="shared" si="25"/>
        <v>DUNKERQUE</v>
      </c>
      <c r="DY5" s="6" t="str">
        <f t="shared" si="25"/>
        <v>POLAND</v>
      </c>
      <c r="DZ5" s="5" t="str">
        <f>'Demand Stage 2'!AH4</f>
        <v>ST.FERGUS</v>
      </c>
      <c r="EA5" s="5" t="str">
        <f>'Demand Stage 2'!AI4</f>
        <v>EASINGTON</v>
      </c>
      <c r="EB5" s="5" t="str">
        <f>'Demand Stage 2'!AJ4</f>
        <v>TEESSIDE</v>
      </c>
      <c r="EC5" s="5" t="str">
        <f>'Demand Stage 2'!AK4</f>
        <v>EMDEN</v>
      </c>
      <c r="ED5" s="5" t="str">
        <f>'Demand Stage 2'!AL4</f>
        <v>DORNUM</v>
      </c>
      <c r="EE5" s="5" t="str">
        <f>'Demand Stage 2'!AM4</f>
        <v>ZEEBRUGGE</v>
      </c>
      <c r="EF5" s="5" t="str">
        <f>'Demand Stage 2'!AN4</f>
        <v>DUNKERQUE</v>
      </c>
      <c r="EG5" s="5" t="str">
        <f>'Demand Stage 2'!AO4</f>
        <v>POLAND</v>
      </c>
      <c r="EH5" s="6" t="str">
        <f>'Demand Stage 2'!AP4</f>
        <v>ST.FERGUS</v>
      </c>
      <c r="EI5" s="6" t="str">
        <f>'Demand Stage 2'!AQ4</f>
        <v>EASINGTON</v>
      </c>
      <c r="EJ5" s="6" t="str">
        <f>'Demand Stage 2'!AR4</f>
        <v>TEESSIDE</v>
      </c>
      <c r="EK5" s="6" t="str">
        <f>'Demand Stage 2'!AS4</f>
        <v>EMDEN</v>
      </c>
      <c r="EL5" s="6" t="str">
        <f>'Demand Stage 2'!AT4</f>
        <v>DORNUM</v>
      </c>
      <c r="EM5" s="6" t="str">
        <f>'Demand Stage 2'!AU4</f>
        <v>ZEEBRUGGE</v>
      </c>
      <c r="EN5" s="6" t="str">
        <f>'Demand Stage 2'!AV4</f>
        <v>DUNKERQUE</v>
      </c>
      <c r="EO5" s="6" t="str">
        <f>'Demand Stage 2'!AW4</f>
        <v>POLAND</v>
      </c>
      <c r="EP5" s="5" t="str">
        <f>DZ5</f>
        <v>ST.FERGUS</v>
      </c>
      <c r="EQ5" s="5" t="str">
        <f t="shared" ref="EQ5:EW13" si="26">EA5</f>
        <v>EASINGTON</v>
      </c>
      <c r="ER5" s="5" t="str">
        <f t="shared" si="26"/>
        <v>TEESSIDE</v>
      </c>
      <c r="ES5" s="5" t="str">
        <f t="shared" si="26"/>
        <v>EMDEN</v>
      </c>
      <c r="ET5" s="5" t="str">
        <f t="shared" si="26"/>
        <v>DORNUM</v>
      </c>
      <c r="EU5" s="5" t="str">
        <f t="shared" si="26"/>
        <v>ZEEBRUGGE</v>
      </c>
      <c r="EV5" s="5" t="str">
        <f t="shared" si="26"/>
        <v>DUNKERQUE</v>
      </c>
      <c r="EW5" s="5" t="str">
        <f t="shared" si="26"/>
        <v>POLAND</v>
      </c>
      <c r="EX5" s="6" t="str">
        <f>EH5</f>
        <v>ST.FERGUS</v>
      </c>
      <c r="EY5" s="6" t="str">
        <f t="shared" ref="EY5:FE9" si="27">EI5</f>
        <v>EASINGTON</v>
      </c>
      <c r="EZ5" s="6" t="str">
        <f t="shared" si="27"/>
        <v>TEESSIDE</v>
      </c>
      <c r="FA5" s="6" t="str">
        <f t="shared" si="27"/>
        <v>EMDEN</v>
      </c>
      <c r="FB5" s="6" t="str">
        <f t="shared" si="27"/>
        <v>DORNUM</v>
      </c>
      <c r="FC5" s="6" t="str">
        <f t="shared" si="27"/>
        <v>ZEEBRUGGE</v>
      </c>
      <c r="FD5" s="6" t="str">
        <f t="shared" si="27"/>
        <v>DUNKERQUE</v>
      </c>
      <c r="FE5" s="6" t="str">
        <f t="shared" si="27"/>
        <v>POLAND</v>
      </c>
      <c r="FF5" s="5" t="str">
        <f>EP5</f>
        <v>ST.FERGUS</v>
      </c>
      <c r="FG5" s="5" t="str">
        <f t="shared" ref="FG5:FM13" si="28">EQ5</f>
        <v>EASINGTON</v>
      </c>
      <c r="FH5" s="5" t="str">
        <f t="shared" si="28"/>
        <v>TEESSIDE</v>
      </c>
      <c r="FI5" s="5" t="str">
        <f t="shared" si="28"/>
        <v>EMDEN</v>
      </c>
      <c r="FJ5" s="5" t="str">
        <f t="shared" si="28"/>
        <v>DORNUM</v>
      </c>
      <c r="FK5" s="5" t="str">
        <f t="shared" si="28"/>
        <v>ZEEBRUGGE</v>
      </c>
      <c r="FL5" s="5" t="str">
        <f t="shared" si="28"/>
        <v>DUNKERQUE</v>
      </c>
      <c r="FM5" s="5" t="str">
        <f t="shared" si="28"/>
        <v>POLAND</v>
      </c>
      <c r="FN5" s="6" t="str">
        <f>EX5</f>
        <v>ST.FERGUS</v>
      </c>
      <c r="FO5" s="6" t="str">
        <f t="shared" ref="FO5:FU5" si="29">EY5</f>
        <v>EASINGTON</v>
      </c>
      <c r="FP5" s="6" t="str">
        <f t="shared" si="29"/>
        <v>TEESSIDE</v>
      </c>
      <c r="FQ5" s="6" t="str">
        <f t="shared" si="29"/>
        <v>EMDEN</v>
      </c>
      <c r="FR5" s="6" t="str">
        <f t="shared" si="29"/>
        <v>DORNUM</v>
      </c>
      <c r="FS5" s="6" t="str">
        <f t="shared" si="29"/>
        <v>ZEEBRUGGE</v>
      </c>
      <c r="FT5" s="6" t="str">
        <f t="shared" si="29"/>
        <v>DUNKERQUE</v>
      </c>
      <c r="FU5" s="6" t="str">
        <f t="shared" si="29"/>
        <v>POLAND</v>
      </c>
      <c r="FV5" s="5" t="str">
        <f>FF5</f>
        <v>ST.FERGUS</v>
      </c>
      <c r="FW5" s="5" t="str">
        <f t="shared" ref="FW5:GC13" si="30">FG5</f>
        <v>EASINGTON</v>
      </c>
      <c r="FX5" s="5" t="str">
        <f t="shared" si="30"/>
        <v>TEESSIDE</v>
      </c>
      <c r="FY5" s="5" t="str">
        <f t="shared" si="30"/>
        <v>EMDEN</v>
      </c>
      <c r="FZ5" s="5" t="str">
        <f t="shared" si="30"/>
        <v>DORNUM</v>
      </c>
      <c r="GA5" s="5" t="str">
        <f t="shared" si="30"/>
        <v>ZEEBRUGGE</v>
      </c>
      <c r="GB5" s="5" t="str">
        <f t="shared" si="30"/>
        <v>DUNKERQUE</v>
      </c>
      <c r="GC5" s="5" t="str">
        <f t="shared" si="30"/>
        <v>POLAND</v>
      </c>
      <c r="GD5" s="6" t="str">
        <f>FN5</f>
        <v>ST.FERGUS</v>
      </c>
      <c r="GE5" s="6" t="str">
        <f t="shared" ref="GE5:GK9" si="31">FO5</f>
        <v>EASINGTON</v>
      </c>
      <c r="GF5" s="6" t="str">
        <f t="shared" si="31"/>
        <v>TEESSIDE</v>
      </c>
      <c r="GG5" s="6" t="str">
        <f t="shared" si="31"/>
        <v>EMDEN</v>
      </c>
      <c r="GH5" s="6" t="str">
        <f t="shared" si="31"/>
        <v>DORNUM</v>
      </c>
      <c r="GI5" s="6" t="str">
        <f t="shared" si="31"/>
        <v>ZEEBRUGGE</v>
      </c>
      <c r="GJ5" s="6" t="str">
        <f t="shared" si="31"/>
        <v>DUNKERQUE</v>
      </c>
      <c r="GK5" s="6" t="str">
        <f t="shared" si="31"/>
        <v>POLAND</v>
      </c>
      <c r="GL5" s="5" t="str">
        <f>'Demand Stage 2'!AX4</f>
        <v>ST.FERGUS</v>
      </c>
      <c r="GM5" s="5" t="str">
        <f>'Demand Stage 2'!AY4</f>
        <v>EASINGTON</v>
      </c>
      <c r="GN5" s="5" t="str">
        <f>'Demand Stage 2'!AZ4</f>
        <v>TEESSIDE</v>
      </c>
      <c r="GO5" s="5" t="str">
        <f>'Demand Stage 2'!BA4</f>
        <v>EMDEN</v>
      </c>
      <c r="GP5" s="5" t="str">
        <f>'Demand Stage 2'!BB4</f>
        <v>DORNUM</v>
      </c>
      <c r="GQ5" s="5" t="str">
        <f>'Demand Stage 2'!BC4</f>
        <v>ZEEBRUGGE</v>
      </c>
      <c r="GR5" s="5" t="str">
        <f>'Demand Stage 2'!BD4</f>
        <v>DUNKERQUE</v>
      </c>
      <c r="GS5" s="5" t="str">
        <f>'Demand Stage 2'!BE4</f>
        <v>POLAND</v>
      </c>
      <c r="GT5" s="6" t="str">
        <f>'Demand Stage 2'!BF4</f>
        <v>EASINGTON</v>
      </c>
      <c r="GU5" s="6" t="str">
        <f>'Demand Stage 2'!BG4</f>
        <v>TEESSIDE</v>
      </c>
      <c r="GV5" s="6" t="str">
        <f>'Demand Stage 2'!BH4</f>
        <v>EMDEN</v>
      </c>
      <c r="GW5" s="6" t="str">
        <f>'Demand Stage 2'!BI4</f>
        <v>DORNUM</v>
      </c>
      <c r="GX5" s="6" t="str">
        <f>'Demand Stage 2'!BJ4</f>
        <v>ZEEBRUGGE</v>
      </c>
      <c r="GY5" s="6" t="str">
        <f>'Demand Stage 2'!BK4</f>
        <v>DUNKERQUE</v>
      </c>
      <c r="GZ5" s="6" t="str">
        <f>'Demand Stage 2'!BL4</f>
        <v>POLAND</v>
      </c>
      <c r="HA5" s="6" t="str">
        <f>'Demand Stage 2'!BM4</f>
        <v>ST.FERGUS</v>
      </c>
      <c r="HB5" s="5" t="str">
        <f>GL5</f>
        <v>ST.FERGUS</v>
      </c>
      <c r="HC5" s="5" t="str">
        <f t="shared" ref="HC5:HI13" si="32">GM5</f>
        <v>EASINGTON</v>
      </c>
      <c r="HD5" s="5" t="str">
        <f t="shared" si="32"/>
        <v>TEESSIDE</v>
      </c>
      <c r="HE5" s="5" t="str">
        <f t="shared" si="32"/>
        <v>EMDEN</v>
      </c>
      <c r="HF5" s="5" t="str">
        <f t="shared" si="32"/>
        <v>DORNUM</v>
      </c>
      <c r="HG5" s="5" t="str">
        <f t="shared" si="32"/>
        <v>ZEEBRUGGE</v>
      </c>
      <c r="HH5" s="5" t="str">
        <f t="shared" si="32"/>
        <v>DUNKERQUE</v>
      </c>
      <c r="HI5" s="5" t="str">
        <f t="shared" si="32"/>
        <v>POLAND</v>
      </c>
      <c r="HJ5" s="6" t="str">
        <f>GT5</f>
        <v>EASINGTON</v>
      </c>
      <c r="HK5" s="6" t="str">
        <f t="shared" ref="HK5:HQ5" si="33">GU5</f>
        <v>TEESSIDE</v>
      </c>
      <c r="HL5" s="6" t="str">
        <f t="shared" si="33"/>
        <v>EMDEN</v>
      </c>
      <c r="HM5" s="6" t="str">
        <f t="shared" si="33"/>
        <v>DORNUM</v>
      </c>
      <c r="HN5" s="6" t="str">
        <f t="shared" si="33"/>
        <v>ZEEBRUGGE</v>
      </c>
      <c r="HO5" s="6" t="str">
        <f t="shared" si="33"/>
        <v>DUNKERQUE</v>
      </c>
      <c r="HP5" s="6" t="str">
        <f t="shared" si="33"/>
        <v>POLAND</v>
      </c>
      <c r="HQ5" s="6" t="str">
        <f t="shared" si="33"/>
        <v>ST.FERGUS</v>
      </c>
      <c r="HR5" s="5" t="str">
        <f>HB5</f>
        <v>ST.FERGUS</v>
      </c>
      <c r="HS5" s="5" t="str">
        <f t="shared" ref="HS5:HY13" si="34">HC5</f>
        <v>EASINGTON</v>
      </c>
      <c r="HT5" s="5" t="str">
        <f t="shared" si="34"/>
        <v>TEESSIDE</v>
      </c>
      <c r="HU5" s="5" t="str">
        <f t="shared" si="34"/>
        <v>EMDEN</v>
      </c>
      <c r="HV5" s="5" t="str">
        <f t="shared" si="34"/>
        <v>DORNUM</v>
      </c>
      <c r="HW5" s="5" t="str">
        <f t="shared" si="34"/>
        <v>ZEEBRUGGE</v>
      </c>
      <c r="HX5" s="5" t="str">
        <f t="shared" si="34"/>
        <v>DUNKERQUE</v>
      </c>
      <c r="HY5" s="5" t="str">
        <f t="shared" si="34"/>
        <v>POLAND</v>
      </c>
      <c r="HZ5" s="6" t="str">
        <f>HJ5</f>
        <v>EASINGTON</v>
      </c>
      <c r="IA5" s="6" t="str">
        <f t="shared" ref="IA5:IG9" si="35">HK5</f>
        <v>TEESSIDE</v>
      </c>
      <c r="IB5" s="6" t="str">
        <f t="shared" si="35"/>
        <v>EMDEN</v>
      </c>
      <c r="IC5" s="6" t="str">
        <f t="shared" si="35"/>
        <v>DORNUM</v>
      </c>
      <c r="ID5" s="6" t="str">
        <f t="shared" si="35"/>
        <v>ZEEBRUGGE</v>
      </c>
      <c r="IE5" s="6" t="str">
        <f t="shared" si="35"/>
        <v>DUNKERQUE</v>
      </c>
      <c r="IF5" s="6" t="str">
        <f t="shared" si="35"/>
        <v>POLAND</v>
      </c>
      <c r="IG5" s="6" t="str">
        <f t="shared" si="35"/>
        <v>ST.FERGUS</v>
      </c>
      <c r="IH5" s="5" t="str">
        <f>HR5</f>
        <v>ST.FERGUS</v>
      </c>
      <c r="II5" s="5" t="str">
        <f t="shared" ref="II5:IO13" si="36">HS5</f>
        <v>EASINGTON</v>
      </c>
      <c r="IJ5" s="5" t="str">
        <f t="shared" si="36"/>
        <v>TEESSIDE</v>
      </c>
      <c r="IK5" s="5" t="str">
        <f t="shared" si="36"/>
        <v>EMDEN</v>
      </c>
      <c r="IL5" s="5" t="str">
        <f t="shared" si="36"/>
        <v>DORNUM</v>
      </c>
      <c r="IM5" s="5" t="str">
        <f t="shared" si="36"/>
        <v>ZEEBRUGGE</v>
      </c>
      <c r="IN5" s="5" t="str">
        <f t="shared" si="36"/>
        <v>DUNKERQUE</v>
      </c>
      <c r="IO5" s="5" t="str">
        <f t="shared" si="36"/>
        <v>POLAND</v>
      </c>
      <c r="IP5" s="6" t="str">
        <f>HZ5</f>
        <v>EASINGTON</v>
      </c>
      <c r="IQ5" s="6" t="str">
        <f t="shared" ref="IQ5:IW9" si="37">IA5</f>
        <v>TEESSIDE</v>
      </c>
      <c r="IR5" s="6" t="str">
        <f t="shared" si="37"/>
        <v>EMDEN</v>
      </c>
      <c r="IS5" s="6" t="str">
        <f t="shared" si="37"/>
        <v>DORNUM</v>
      </c>
      <c r="IT5" s="6" t="str">
        <f t="shared" si="37"/>
        <v>ZEEBRUGGE</v>
      </c>
      <c r="IU5" s="6" t="str">
        <f t="shared" si="37"/>
        <v>DUNKERQUE</v>
      </c>
      <c r="IV5" s="6" t="str">
        <f t="shared" si="37"/>
        <v>POLAND</v>
      </c>
      <c r="IW5" s="6" t="str">
        <f t="shared" si="37"/>
        <v>ST.FERGUS</v>
      </c>
    </row>
    <row r="6" spans="1:257" x14ac:dyDescent="0.2">
      <c r="A6" s="1">
        <v>0</v>
      </c>
      <c r="B6" s="2">
        <f>'Demand Stage 2'!B5</f>
        <v>10</v>
      </c>
      <c r="C6" s="2">
        <f>'Demand Stage 2'!C5</f>
        <v>10</v>
      </c>
      <c r="D6" s="2">
        <f>'Demand Stage 2'!D5</f>
        <v>10</v>
      </c>
      <c r="E6" s="2">
        <f>'Demand Stage 2'!E5</f>
        <v>40</v>
      </c>
      <c r="F6" s="2">
        <f>'Demand Stage 2'!F5</f>
        <v>40</v>
      </c>
      <c r="G6" s="2">
        <f>'Demand Stage 2'!G5</f>
        <v>40</v>
      </c>
      <c r="H6" s="2">
        <f>'Demand Stage 2'!H5</f>
        <v>40</v>
      </c>
      <c r="I6" s="2">
        <f>'Demand Stage 2'!I5</f>
        <v>20</v>
      </c>
      <c r="J6" s="3">
        <f>'Demand Stage 2'!J5</f>
        <v>0</v>
      </c>
      <c r="K6" s="3">
        <f>'Demand Stage 2'!K5</f>
        <v>0</v>
      </c>
      <c r="L6" s="3">
        <f>'Demand Stage 2'!L5</f>
        <v>0</v>
      </c>
      <c r="M6" s="3">
        <f>'Demand Stage 2'!M5</f>
        <v>0</v>
      </c>
      <c r="N6" s="3">
        <f>'Demand Stage 2'!N5</f>
        <v>0</v>
      </c>
      <c r="O6" s="3">
        <f>'Demand Stage 2'!O5</f>
        <v>0</v>
      </c>
      <c r="P6" s="3">
        <f>'Demand Stage 2'!P5</f>
        <v>0</v>
      </c>
      <c r="Q6" s="3">
        <f>'Demand Stage 2'!Q5</f>
        <v>0</v>
      </c>
      <c r="R6" s="2">
        <f>'Demand Stage 2'!B5</f>
        <v>10</v>
      </c>
      <c r="S6" s="2">
        <f>'Demand Stage 2'!C5</f>
        <v>10</v>
      </c>
      <c r="T6" s="2">
        <f>'Demand Stage 2'!D5</f>
        <v>10</v>
      </c>
      <c r="U6" s="2">
        <f>'Demand Stage 2'!E5</f>
        <v>40</v>
      </c>
      <c r="V6" s="2">
        <f>'Demand Stage 2'!F5</f>
        <v>40</v>
      </c>
      <c r="W6" s="2">
        <f>'Demand Stage 2'!G5</f>
        <v>40</v>
      </c>
      <c r="X6" s="2">
        <f>'Demand Stage 2'!H5</f>
        <v>40</v>
      </c>
      <c r="Y6" s="2">
        <f>'Demand Stage 2'!I5</f>
        <v>20</v>
      </c>
      <c r="Z6" s="3">
        <f>'Demand Stage 2'!J5</f>
        <v>0</v>
      </c>
      <c r="AA6" s="3">
        <f>'Demand Stage 2'!K5</f>
        <v>0</v>
      </c>
      <c r="AB6" s="3">
        <f>'Demand Stage 2'!L5</f>
        <v>0</v>
      </c>
      <c r="AC6" s="3">
        <f>'Demand Stage 2'!M5</f>
        <v>0</v>
      </c>
      <c r="AD6" s="3">
        <f>'Demand Stage 2'!N5</f>
        <v>0</v>
      </c>
      <c r="AE6" s="3">
        <f>'Demand Stage 2'!O5</f>
        <v>0</v>
      </c>
      <c r="AF6" s="3">
        <f>'Demand Stage 2'!P5</f>
        <v>0</v>
      </c>
      <c r="AG6" s="3">
        <f>'Demand Stage 2'!Q5</f>
        <v>0</v>
      </c>
      <c r="AH6" s="2">
        <f>'Demand Stage 2'!B5</f>
        <v>10</v>
      </c>
      <c r="AI6" s="2">
        <f>'Demand Stage 2'!C5</f>
        <v>10</v>
      </c>
      <c r="AJ6" s="2">
        <f>'Demand Stage 2'!D5</f>
        <v>10</v>
      </c>
      <c r="AK6" s="2">
        <f>'Demand Stage 2'!E5</f>
        <v>40</v>
      </c>
      <c r="AL6" s="2">
        <f>'Demand Stage 2'!F5</f>
        <v>40</v>
      </c>
      <c r="AM6" s="2">
        <f>'Demand Stage 2'!G5</f>
        <v>40</v>
      </c>
      <c r="AN6" s="2">
        <f>'Demand Stage 2'!H5</f>
        <v>40</v>
      </c>
      <c r="AO6" s="2">
        <f>'Demand Stage 2'!I5</f>
        <v>20</v>
      </c>
      <c r="AP6" s="3">
        <f>'Demand Stage 2'!J5</f>
        <v>0</v>
      </c>
      <c r="AQ6" s="3">
        <f>'Demand Stage 2'!K5</f>
        <v>0</v>
      </c>
      <c r="AR6" s="3">
        <f>'Demand Stage 2'!L5</f>
        <v>0</v>
      </c>
      <c r="AS6" s="3">
        <f>'Demand Stage 2'!M5</f>
        <v>0</v>
      </c>
      <c r="AT6" s="3">
        <f>'Demand Stage 2'!N5</f>
        <v>0</v>
      </c>
      <c r="AU6" s="3">
        <f>'Demand Stage 2'!O5</f>
        <v>0</v>
      </c>
      <c r="AV6" s="3">
        <f>'Demand Stage 2'!P5</f>
        <v>0</v>
      </c>
      <c r="AW6" s="3">
        <f>'Demand Stage 2'!Q5</f>
        <v>0</v>
      </c>
      <c r="AX6" s="2">
        <f>'Demand Stage 2'!B5</f>
        <v>10</v>
      </c>
      <c r="AY6" s="2">
        <f>'Demand Stage 2'!C5</f>
        <v>10</v>
      </c>
      <c r="AZ6" s="2">
        <f>'Demand Stage 2'!D5</f>
        <v>10</v>
      </c>
      <c r="BA6" s="2">
        <f>'Demand Stage 2'!E5</f>
        <v>40</v>
      </c>
      <c r="BB6" s="2">
        <f>'Demand Stage 2'!F5</f>
        <v>40</v>
      </c>
      <c r="BC6" s="2">
        <f>'Demand Stage 2'!G5</f>
        <v>40</v>
      </c>
      <c r="BD6" s="2">
        <f>'Demand Stage 2'!H5</f>
        <v>40</v>
      </c>
      <c r="BE6" s="2">
        <f>'Demand Stage 2'!I5</f>
        <v>20</v>
      </c>
      <c r="BF6" s="3">
        <f>'Demand Stage 2'!J5</f>
        <v>0</v>
      </c>
      <c r="BG6" s="3">
        <f>'Demand Stage 2'!K5</f>
        <v>0</v>
      </c>
      <c r="BH6" s="3">
        <f>'Demand Stage 2'!L5</f>
        <v>0</v>
      </c>
      <c r="BI6" s="3">
        <f>'Demand Stage 2'!M5</f>
        <v>0</v>
      </c>
      <c r="BJ6" s="3">
        <f>'Demand Stage 2'!N5</f>
        <v>0</v>
      </c>
      <c r="BK6" s="3">
        <f>'Demand Stage 2'!O5</f>
        <v>0</v>
      </c>
      <c r="BL6" s="3">
        <f>'Demand Stage 2'!P5</f>
        <v>0</v>
      </c>
      <c r="BM6" s="3">
        <f>'Demand Stage 2'!Q5</f>
        <v>0</v>
      </c>
      <c r="BN6" s="2">
        <f>'Demand Stage 2'!R5</f>
        <v>10</v>
      </c>
      <c r="BO6" s="2">
        <f>'Demand Stage 2'!S5</f>
        <v>10</v>
      </c>
      <c r="BP6" s="2">
        <f>'Demand Stage 2'!T5</f>
        <v>10</v>
      </c>
      <c r="BQ6" s="2">
        <f>'Demand Stage 2'!U5</f>
        <v>40</v>
      </c>
      <c r="BR6" s="2">
        <f>'Demand Stage 2'!V5</f>
        <v>40</v>
      </c>
      <c r="BS6" s="2">
        <f>'Demand Stage 2'!W5</f>
        <v>40</v>
      </c>
      <c r="BT6" s="2">
        <f>'Demand Stage 2'!X5</f>
        <v>40</v>
      </c>
      <c r="BU6" s="2">
        <f>'Demand Stage 2'!Y5</f>
        <v>20</v>
      </c>
      <c r="BV6" s="3">
        <f>'Demand Stage 2'!Z5</f>
        <v>0</v>
      </c>
      <c r="BW6" s="3">
        <f>'Demand Stage 2'!AA5</f>
        <v>0</v>
      </c>
      <c r="BX6" s="3">
        <f>'Demand Stage 2'!AB5</f>
        <v>0</v>
      </c>
      <c r="BY6" s="3">
        <f>'Demand Stage 2'!AC5</f>
        <v>0</v>
      </c>
      <c r="BZ6" s="3">
        <f>'Demand Stage 2'!AD5</f>
        <v>0</v>
      </c>
      <c r="CA6" s="3">
        <f>'Demand Stage 2'!AE5</f>
        <v>0</v>
      </c>
      <c r="CB6" s="3">
        <f>'Demand Stage 2'!AF5</f>
        <v>0</v>
      </c>
      <c r="CC6" s="3">
        <f>'Demand Stage 2'!AG5</f>
        <v>0</v>
      </c>
      <c r="CD6" s="2">
        <f t="shared" ref="CD6:CD13" si="38">BN6</f>
        <v>10</v>
      </c>
      <c r="CE6" s="2">
        <f t="shared" si="14"/>
        <v>10</v>
      </c>
      <c r="CF6" s="2">
        <f t="shared" si="14"/>
        <v>10</v>
      </c>
      <c r="CG6" s="2">
        <f t="shared" si="14"/>
        <v>40</v>
      </c>
      <c r="CH6" s="2">
        <f t="shared" si="14"/>
        <v>40</v>
      </c>
      <c r="CI6" s="2">
        <f t="shared" si="14"/>
        <v>40</v>
      </c>
      <c r="CJ6" s="2">
        <f t="shared" si="14"/>
        <v>40</v>
      </c>
      <c r="CK6" s="2">
        <f t="shared" si="14"/>
        <v>20</v>
      </c>
      <c r="CL6" s="3">
        <f t="shared" ref="CL6:CL9" si="39">BV6</f>
        <v>0</v>
      </c>
      <c r="CM6" s="3">
        <f t="shared" si="15"/>
        <v>0</v>
      </c>
      <c r="CN6" s="3">
        <f t="shared" si="15"/>
        <v>0</v>
      </c>
      <c r="CO6" s="3">
        <f t="shared" si="15"/>
        <v>0</v>
      </c>
      <c r="CP6" s="3">
        <f t="shared" si="15"/>
        <v>0</v>
      </c>
      <c r="CQ6" s="3">
        <f t="shared" si="15"/>
        <v>0</v>
      </c>
      <c r="CR6" s="3">
        <f t="shared" si="15"/>
        <v>0</v>
      </c>
      <c r="CS6" s="3">
        <f t="shared" si="15"/>
        <v>0</v>
      </c>
      <c r="CT6" s="2">
        <f>CD6</f>
        <v>10</v>
      </c>
      <c r="CU6" s="2">
        <f t="shared" si="16"/>
        <v>10</v>
      </c>
      <c r="CV6" s="2">
        <f t="shared" si="16"/>
        <v>10</v>
      </c>
      <c r="CW6" s="2">
        <f t="shared" si="16"/>
        <v>40</v>
      </c>
      <c r="CX6" s="2">
        <f t="shared" si="16"/>
        <v>40</v>
      </c>
      <c r="CY6" s="2">
        <f t="shared" si="16"/>
        <v>40</v>
      </c>
      <c r="CZ6" s="2">
        <f t="shared" si="16"/>
        <v>40</v>
      </c>
      <c r="DA6" s="2">
        <f t="shared" si="16"/>
        <v>20</v>
      </c>
      <c r="DB6" s="3">
        <f t="shared" si="16"/>
        <v>0</v>
      </c>
      <c r="DC6" s="3">
        <f t="shared" si="17"/>
        <v>0</v>
      </c>
      <c r="DD6" s="3">
        <f t="shared" si="18"/>
        <v>0</v>
      </c>
      <c r="DE6" s="3">
        <f t="shared" si="19"/>
        <v>0</v>
      </c>
      <c r="DF6" s="3">
        <f t="shared" si="20"/>
        <v>0</v>
      </c>
      <c r="DG6" s="3">
        <f t="shared" si="21"/>
        <v>0</v>
      </c>
      <c r="DH6" s="3">
        <f t="shared" si="22"/>
        <v>0</v>
      </c>
      <c r="DI6" s="3">
        <f t="shared" si="23"/>
        <v>0</v>
      </c>
      <c r="DJ6" s="2">
        <f t="shared" ref="DJ6:DJ13" si="40">CT6</f>
        <v>10</v>
      </c>
      <c r="DK6" s="2">
        <f t="shared" si="24"/>
        <v>10</v>
      </c>
      <c r="DL6" s="2">
        <f t="shared" si="24"/>
        <v>10</v>
      </c>
      <c r="DM6" s="2">
        <f t="shared" si="24"/>
        <v>40</v>
      </c>
      <c r="DN6" s="2">
        <f t="shared" si="24"/>
        <v>40</v>
      </c>
      <c r="DO6" s="2">
        <f t="shared" si="24"/>
        <v>40</v>
      </c>
      <c r="DP6" s="2">
        <f t="shared" si="24"/>
        <v>40</v>
      </c>
      <c r="DQ6" s="2">
        <f t="shared" si="24"/>
        <v>20</v>
      </c>
      <c r="DR6" s="3">
        <f t="shared" ref="DR6:DR9" si="41">DB6</f>
        <v>0</v>
      </c>
      <c r="DS6" s="3">
        <f t="shared" ref="DS6:DS9" si="42">DC6</f>
        <v>0</v>
      </c>
      <c r="DT6" s="3">
        <f t="shared" ref="DT6:DT9" si="43">DD6</f>
        <v>0</v>
      </c>
      <c r="DU6" s="3">
        <f t="shared" ref="DU6:DU9" si="44">DE6</f>
        <v>0</v>
      </c>
      <c r="DV6" s="3">
        <f t="shared" ref="DV6:DV9" si="45">DF6</f>
        <v>0</v>
      </c>
      <c r="DW6" s="3">
        <f t="shared" ref="DW6:DW9" si="46">DG6</f>
        <v>0</v>
      </c>
      <c r="DX6" s="3">
        <f t="shared" ref="DX6:DX9" si="47">DH6</f>
        <v>0</v>
      </c>
      <c r="DY6" s="3">
        <f t="shared" ref="DY6:DY9" si="48">DI6</f>
        <v>0</v>
      </c>
      <c r="DZ6" s="2">
        <f>'Demand Stage 2'!AH5</f>
        <v>10</v>
      </c>
      <c r="EA6" s="2">
        <f>'Demand Stage 2'!AI5</f>
        <v>10</v>
      </c>
      <c r="EB6" s="2">
        <f>'Demand Stage 2'!AJ5</f>
        <v>10</v>
      </c>
      <c r="EC6" s="2">
        <f>'Demand Stage 2'!AK5</f>
        <v>40</v>
      </c>
      <c r="ED6" s="2">
        <f>'Demand Stage 2'!AL5</f>
        <v>40</v>
      </c>
      <c r="EE6" s="2">
        <f>'Demand Stage 2'!AM5</f>
        <v>40</v>
      </c>
      <c r="EF6" s="2">
        <f>'Demand Stage 2'!AN5</f>
        <v>40</v>
      </c>
      <c r="EG6" s="2">
        <f>'Demand Stage 2'!AO5</f>
        <v>20</v>
      </c>
      <c r="EH6" s="3">
        <f>'Demand Stage 2'!AP5</f>
        <v>0</v>
      </c>
      <c r="EI6" s="3">
        <f>'Demand Stage 2'!AQ5</f>
        <v>0</v>
      </c>
      <c r="EJ6" s="3">
        <f>'Demand Stage 2'!AR5</f>
        <v>0</v>
      </c>
      <c r="EK6" s="3">
        <f>'Demand Stage 2'!AS5</f>
        <v>0</v>
      </c>
      <c r="EL6" s="3">
        <f>'Demand Stage 2'!AT5</f>
        <v>0</v>
      </c>
      <c r="EM6" s="3">
        <f>'Demand Stage 2'!AU5</f>
        <v>0</v>
      </c>
      <c r="EN6" s="3">
        <f>'Demand Stage 2'!AV5</f>
        <v>0</v>
      </c>
      <c r="EO6" s="3">
        <f>'Demand Stage 2'!AW5</f>
        <v>0</v>
      </c>
      <c r="EP6" s="2">
        <f t="shared" ref="EP6:EP13" si="49">DZ6</f>
        <v>10</v>
      </c>
      <c r="EQ6" s="2">
        <f t="shared" si="26"/>
        <v>10</v>
      </c>
      <c r="ER6" s="2">
        <f t="shared" si="26"/>
        <v>10</v>
      </c>
      <c r="ES6" s="2">
        <f t="shared" si="26"/>
        <v>40</v>
      </c>
      <c r="ET6" s="2">
        <f t="shared" si="26"/>
        <v>40</v>
      </c>
      <c r="EU6" s="2">
        <f t="shared" si="26"/>
        <v>40</v>
      </c>
      <c r="EV6" s="2">
        <f t="shared" si="26"/>
        <v>40</v>
      </c>
      <c r="EW6" s="2">
        <f t="shared" si="26"/>
        <v>20</v>
      </c>
      <c r="EX6" s="3">
        <f t="shared" ref="EX6:EX9" si="50">EH6</f>
        <v>0</v>
      </c>
      <c r="EY6" s="3">
        <f t="shared" si="27"/>
        <v>0</v>
      </c>
      <c r="EZ6" s="3">
        <f t="shared" si="27"/>
        <v>0</v>
      </c>
      <c r="FA6" s="3">
        <f t="shared" si="27"/>
        <v>0</v>
      </c>
      <c r="FB6" s="3">
        <f t="shared" si="27"/>
        <v>0</v>
      </c>
      <c r="FC6" s="3">
        <f t="shared" si="27"/>
        <v>0</v>
      </c>
      <c r="FD6" s="3">
        <f t="shared" si="27"/>
        <v>0</v>
      </c>
      <c r="FE6" s="3">
        <f t="shared" si="27"/>
        <v>0</v>
      </c>
      <c r="FF6" s="2">
        <f t="shared" ref="FF6:FF13" si="51">EP6</f>
        <v>10</v>
      </c>
      <c r="FG6" s="2">
        <f t="shared" si="28"/>
        <v>10</v>
      </c>
      <c r="FH6" s="2">
        <f t="shared" si="28"/>
        <v>10</v>
      </c>
      <c r="FI6" s="2">
        <f t="shared" si="28"/>
        <v>40</v>
      </c>
      <c r="FJ6" s="2">
        <f t="shared" si="28"/>
        <v>40</v>
      </c>
      <c r="FK6" s="2">
        <f t="shared" si="28"/>
        <v>40</v>
      </c>
      <c r="FL6" s="2">
        <f t="shared" si="28"/>
        <v>40</v>
      </c>
      <c r="FM6" s="2">
        <f t="shared" si="28"/>
        <v>20</v>
      </c>
      <c r="FN6" s="3">
        <f t="shared" ref="FN6:FN9" si="52">EX6</f>
        <v>0</v>
      </c>
      <c r="FO6" s="3">
        <f t="shared" ref="FO6:FO9" si="53">EY6</f>
        <v>0</v>
      </c>
      <c r="FP6" s="3">
        <f t="shared" ref="FP6:FP9" si="54">EZ6</f>
        <v>0</v>
      </c>
      <c r="FQ6" s="3">
        <f t="shared" ref="FQ6:FQ9" si="55">FA6</f>
        <v>0</v>
      </c>
      <c r="FR6" s="3">
        <f t="shared" ref="FR6:FR9" si="56">FB6</f>
        <v>0</v>
      </c>
      <c r="FS6" s="3">
        <f t="shared" ref="FS6:FS9" si="57">FC6</f>
        <v>0</v>
      </c>
      <c r="FT6" s="3">
        <f t="shared" ref="FT6:FT9" si="58">FD6</f>
        <v>0</v>
      </c>
      <c r="FU6" s="3">
        <f t="shared" ref="FU6:FU9" si="59">FE6</f>
        <v>0</v>
      </c>
      <c r="FV6" s="2">
        <f t="shared" ref="FV6:FV13" si="60">FF6</f>
        <v>10</v>
      </c>
      <c r="FW6" s="2">
        <f t="shared" si="30"/>
        <v>10</v>
      </c>
      <c r="FX6" s="2">
        <f t="shared" si="30"/>
        <v>10</v>
      </c>
      <c r="FY6" s="2">
        <f t="shared" si="30"/>
        <v>40</v>
      </c>
      <c r="FZ6" s="2">
        <f t="shared" si="30"/>
        <v>40</v>
      </c>
      <c r="GA6" s="2">
        <f t="shared" si="30"/>
        <v>40</v>
      </c>
      <c r="GB6" s="2">
        <f t="shared" si="30"/>
        <v>40</v>
      </c>
      <c r="GC6" s="2">
        <f t="shared" si="30"/>
        <v>20</v>
      </c>
      <c r="GD6" s="3">
        <f t="shared" ref="GD6:GD9" si="61">FN6</f>
        <v>0</v>
      </c>
      <c r="GE6" s="3">
        <f t="shared" si="31"/>
        <v>0</v>
      </c>
      <c r="GF6" s="3">
        <f t="shared" si="31"/>
        <v>0</v>
      </c>
      <c r="GG6" s="3">
        <f t="shared" si="31"/>
        <v>0</v>
      </c>
      <c r="GH6" s="3">
        <f t="shared" si="31"/>
        <v>0</v>
      </c>
      <c r="GI6" s="3">
        <f t="shared" si="31"/>
        <v>0</v>
      </c>
      <c r="GJ6" s="3">
        <f t="shared" si="31"/>
        <v>0</v>
      </c>
      <c r="GK6" s="3">
        <f t="shared" si="31"/>
        <v>0</v>
      </c>
      <c r="GL6" s="2">
        <f>'Demand Stage 2'!AX5</f>
        <v>10</v>
      </c>
      <c r="GM6" s="2">
        <f>'Demand Stage 2'!AY5</f>
        <v>10</v>
      </c>
      <c r="GN6" s="2">
        <f>'Demand Stage 2'!AZ5</f>
        <v>10</v>
      </c>
      <c r="GO6" s="2">
        <f>'Demand Stage 2'!BA5</f>
        <v>40</v>
      </c>
      <c r="GP6" s="2">
        <f>'Demand Stage 2'!BB5</f>
        <v>40</v>
      </c>
      <c r="GQ6" s="2">
        <f>'Demand Stage 2'!BC5</f>
        <v>40</v>
      </c>
      <c r="GR6" s="2">
        <f>'Demand Stage 2'!BD5</f>
        <v>40</v>
      </c>
      <c r="GS6" s="2">
        <f>'Demand Stage 2'!BE5</f>
        <v>20</v>
      </c>
      <c r="GT6" s="3">
        <f>'Demand Stage 2'!BF5</f>
        <v>0</v>
      </c>
      <c r="GU6" s="3">
        <f>'Demand Stage 2'!BG5</f>
        <v>0</v>
      </c>
      <c r="GV6" s="3">
        <f>'Demand Stage 2'!BH5</f>
        <v>0</v>
      </c>
      <c r="GW6" s="3">
        <f>'Demand Stage 2'!BI5</f>
        <v>0</v>
      </c>
      <c r="GX6" s="3">
        <f>'Demand Stage 2'!BJ5</f>
        <v>0</v>
      </c>
      <c r="GY6" s="3">
        <f>'Demand Stage 2'!BK5</f>
        <v>0</v>
      </c>
      <c r="GZ6" s="3">
        <f>'Demand Stage 2'!BL5</f>
        <v>0</v>
      </c>
      <c r="HA6" s="3">
        <f>'Demand Stage 2'!BM5</f>
        <v>0</v>
      </c>
      <c r="HB6" s="2">
        <f>GL6</f>
        <v>10</v>
      </c>
      <c r="HC6" s="2">
        <f t="shared" si="32"/>
        <v>10</v>
      </c>
      <c r="HD6" s="2">
        <f t="shared" si="32"/>
        <v>10</v>
      </c>
      <c r="HE6" s="2">
        <f t="shared" si="32"/>
        <v>40</v>
      </c>
      <c r="HF6" s="2">
        <f t="shared" si="32"/>
        <v>40</v>
      </c>
      <c r="HG6" s="2">
        <f t="shared" si="32"/>
        <v>40</v>
      </c>
      <c r="HH6" s="2">
        <f t="shared" si="32"/>
        <v>40</v>
      </c>
      <c r="HI6" s="2">
        <f t="shared" si="32"/>
        <v>20</v>
      </c>
      <c r="HJ6" s="3">
        <f t="shared" ref="HJ6:HJ9" si="62">GT6</f>
        <v>0</v>
      </c>
      <c r="HK6" s="3">
        <f t="shared" ref="HK6:HK9" si="63">GU6</f>
        <v>0</v>
      </c>
      <c r="HL6" s="3">
        <f t="shared" ref="HL6:HL9" si="64">GV6</f>
        <v>0</v>
      </c>
      <c r="HM6" s="3">
        <f t="shared" ref="HM6:HM9" si="65">GW6</f>
        <v>0</v>
      </c>
      <c r="HN6" s="3">
        <f t="shared" ref="HN6:HN9" si="66">GX6</f>
        <v>0</v>
      </c>
      <c r="HO6" s="3">
        <f t="shared" ref="HO6:HO9" si="67">GY6</f>
        <v>0</v>
      </c>
      <c r="HP6" s="3">
        <f t="shared" ref="HP6:HP9" si="68">GZ6</f>
        <v>0</v>
      </c>
      <c r="HQ6" s="3">
        <f t="shared" ref="HQ6:HQ9" si="69">HA6</f>
        <v>0</v>
      </c>
      <c r="HR6" s="2">
        <f t="shared" ref="HR6:HR13" si="70">HB6</f>
        <v>10</v>
      </c>
      <c r="HS6" s="2">
        <f t="shared" si="34"/>
        <v>10</v>
      </c>
      <c r="HT6" s="2">
        <f t="shared" si="34"/>
        <v>10</v>
      </c>
      <c r="HU6" s="2">
        <f t="shared" si="34"/>
        <v>40</v>
      </c>
      <c r="HV6" s="2">
        <f t="shared" si="34"/>
        <v>40</v>
      </c>
      <c r="HW6" s="2">
        <f t="shared" si="34"/>
        <v>40</v>
      </c>
      <c r="HX6" s="2">
        <f t="shared" si="34"/>
        <v>40</v>
      </c>
      <c r="HY6" s="2">
        <f t="shared" si="34"/>
        <v>20</v>
      </c>
      <c r="HZ6" s="3">
        <f t="shared" ref="HZ6:HZ9" si="71">HJ6</f>
        <v>0</v>
      </c>
      <c r="IA6" s="3">
        <f t="shared" si="35"/>
        <v>0</v>
      </c>
      <c r="IB6" s="3">
        <f t="shared" si="35"/>
        <v>0</v>
      </c>
      <c r="IC6" s="3">
        <f t="shared" si="35"/>
        <v>0</v>
      </c>
      <c r="ID6" s="3">
        <f t="shared" si="35"/>
        <v>0</v>
      </c>
      <c r="IE6" s="3">
        <f t="shared" si="35"/>
        <v>0</v>
      </c>
      <c r="IF6" s="3">
        <f t="shared" si="35"/>
        <v>0</v>
      </c>
      <c r="IG6" s="3">
        <f t="shared" si="35"/>
        <v>0</v>
      </c>
      <c r="IH6" s="2">
        <f t="shared" ref="IH6:IH13" si="72">HR6</f>
        <v>10</v>
      </c>
      <c r="II6" s="2">
        <f t="shared" si="36"/>
        <v>10</v>
      </c>
      <c r="IJ6" s="2">
        <f t="shared" si="36"/>
        <v>10</v>
      </c>
      <c r="IK6" s="2">
        <f t="shared" si="36"/>
        <v>40</v>
      </c>
      <c r="IL6" s="2">
        <f t="shared" si="36"/>
        <v>40</v>
      </c>
      <c r="IM6" s="2">
        <f t="shared" si="36"/>
        <v>40</v>
      </c>
      <c r="IN6" s="2">
        <f t="shared" si="36"/>
        <v>40</v>
      </c>
      <c r="IO6" s="2">
        <f t="shared" si="36"/>
        <v>20</v>
      </c>
      <c r="IP6" s="3">
        <f t="shared" ref="IP6:IP9" si="73">HZ6</f>
        <v>0</v>
      </c>
      <c r="IQ6" s="3">
        <f t="shared" si="37"/>
        <v>0</v>
      </c>
      <c r="IR6" s="3">
        <f t="shared" si="37"/>
        <v>0</v>
      </c>
      <c r="IS6" s="3">
        <f t="shared" si="37"/>
        <v>0</v>
      </c>
      <c r="IT6" s="3">
        <f t="shared" si="37"/>
        <v>0</v>
      </c>
      <c r="IU6" s="3">
        <f t="shared" si="37"/>
        <v>0</v>
      </c>
      <c r="IV6" s="3">
        <f t="shared" si="37"/>
        <v>0</v>
      </c>
      <c r="IW6" s="3">
        <f t="shared" si="37"/>
        <v>0</v>
      </c>
    </row>
    <row r="7" spans="1:257" x14ac:dyDescent="0.2">
      <c r="A7" s="1">
        <v>1</v>
      </c>
      <c r="B7" s="2">
        <f>'Demand Stage 2'!B6</f>
        <v>10</v>
      </c>
      <c r="C7" s="2">
        <f>'Demand Stage 2'!C6</f>
        <v>10</v>
      </c>
      <c r="D7" s="2">
        <f>'Demand Stage 2'!D6</f>
        <v>10</v>
      </c>
      <c r="E7" s="2">
        <f>'Demand Stage 2'!E6</f>
        <v>40</v>
      </c>
      <c r="F7" s="2">
        <f>'Demand Stage 2'!F6</f>
        <v>40</v>
      </c>
      <c r="G7" s="2">
        <f>'Demand Stage 2'!G6</f>
        <v>40</v>
      </c>
      <c r="H7" s="2">
        <f>'Demand Stage 2'!H6</f>
        <v>40</v>
      </c>
      <c r="I7" s="2">
        <f>'Demand Stage 2'!I6</f>
        <v>20</v>
      </c>
      <c r="J7" s="3">
        <f>'Demand Stage 2'!J6</f>
        <v>0</v>
      </c>
      <c r="K7" s="3">
        <f>'Demand Stage 2'!K6</f>
        <v>0</v>
      </c>
      <c r="L7" s="3">
        <f>'Demand Stage 2'!L6</f>
        <v>0</v>
      </c>
      <c r="M7" s="3">
        <f>'Demand Stage 2'!M6</f>
        <v>0</v>
      </c>
      <c r="N7" s="3">
        <f>'Demand Stage 2'!N6</f>
        <v>0</v>
      </c>
      <c r="O7" s="3">
        <f>'Demand Stage 2'!O6</f>
        <v>0</v>
      </c>
      <c r="P7" s="3">
        <f>'Demand Stage 2'!P6</f>
        <v>0</v>
      </c>
      <c r="Q7" s="3">
        <f>'Demand Stage 2'!Q6</f>
        <v>0</v>
      </c>
      <c r="R7" s="2">
        <f>'Demand Stage 2'!B6</f>
        <v>10</v>
      </c>
      <c r="S7" s="2">
        <f>'Demand Stage 2'!C6</f>
        <v>10</v>
      </c>
      <c r="T7" s="2">
        <f>'Demand Stage 2'!D6</f>
        <v>10</v>
      </c>
      <c r="U7" s="2">
        <f>'Demand Stage 2'!E6</f>
        <v>40</v>
      </c>
      <c r="V7" s="2">
        <f>'Demand Stage 2'!F6</f>
        <v>40</v>
      </c>
      <c r="W7" s="2">
        <f>'Demand Stage 2'!G6</f>
        <v>40</v>
      </c>
      <c r="X7" s="2">
        <f>'Demand Stage 2'!H6</f>
        <v>40</v>
      </c>
      <c r="Y7" s="2">
        <f>'Demand Stage 2'!I6</f>
        <v>20</v>
      </c>
      <c r="Z7" s="3">
        <f>'Demand Stage 2'!J6</f>
        <v>0</v>
      </c>
      <c r="AA7" s="3">
        <f>'Demand Stage 2'!K6</f>
        <v>0</v>
      </c>
      <c r="AB7" s="3">
        <f>'Demand Stage 2'!L6</f>
        <v>0</v>
      </c>
      <c r="AC7" s="3">
        <f>'Demand Stage 2'!M6</f>
        <v>0</v>
      </c>
      <c r="AD7" s="3">
        <f>'Demand Stage 2'!N6</f>
        <v>0</v>
      </c>
      <c r="AE7" s="3">
        <f>'Demand Stage 2'!O6</f>
        <v>0</v>
      </c>
      <c r="AF7" s="3">
        <f>'Demand Stage 2'!P6</f>
        <v>0</v>
      </c>
      <c r="AG7" s="3">
        <f>'Demand Stage 2'!Q6</f>
        <v>0</v>
      </c>
      <c r="AH7" s="2">
        <f>'Demand Stage 2'!B6</f>
        <v>10</v>
      </c>
      <c r="AI7" s="2">
        <f>'Demand Stage 2'!C6</f>
        <v>10</v>
      </c>
      <c r="AJ7" s="2">
        <f>'Demand Stage 2'!D6</f>
        <v>10</v>
      </c>
      <c r="AK7" s="2">
        <f>'Demand Stage 2'!E6</f>
        <v>40</v>
      </c>
      <c r="AL7" s="2">
        <f>'Demand Stage 2'!F6</f>
        <v>40</v>
      </c>
      <c r="AM7" s="2">
        <f>'Demand Stage 2'!G6</f>
        <v>40</v>
      </c>
      <c r="AN7" s="2">
        <f>'Demand Stage 2'!H6</f>
        <v>40</v>
      </c>
      <c r="AO7" s="2">
        <f>'Demand Stage 2'!I6</f>
        <v>20</v>
      </c>
      <c r="AP7" s="3">
        <f>'Demand Stage 2'!J6</f>
        <v>0</v>
      </c>
      <c r="AQ7" s="3">
        <f>'Demand Stage 2'!K6</f>
        <v>0</v>
      </c>
      <c r="AR7" s="3">
        <f>'Demand Stage 2'!L6</f>
        <v>0</v>
      </c>
      <c r="AS7" s="3">
        <f>'Demand Stage 2'!M6</f>
        <v>0</v>
      </c>
      <c r="AT7" s="3">
        <f>'Demand Stage 2'!N6</f>
        <v>0</v>
      </c>
      <c r="AU7" s="3">
        <f>'Demand Stage 2'!O6</f>
        <v>0</v>
      </c>
      <c r="AV7" s="3">
        <f>'Demand Stage 2'!P6</f>
        <v>0</v>
      </c>
      <c r="AW7" s="3">
        <f>'Demand Stage 2'!Q6</f>
        <v>0</v>
      </c>
      <c r="AX7" s="2">
        <f>'Demand Stage 2'!B6</f>
        <v>10</v>
      </c>
      <c r="AY7" s="2">
        <f>'Demand Stage 2'!C6</f>
        <v>10</v>
      </c>
      <c r="AZ7" s="2">
        <f>'Demand Stage 2'!D6</f>
        <v>10</v>
      </c>
      <c r="BA7" s="2">
        <f>'Demand Stage 2'!E6</f>
        <v>40</v>
      </c>
      <c r="BB7" s="2">
        <f>'Demand Stage 2'!F6</f>
        <v>40</v>
      </c>
      <c r="BC7" s="2">
        <f>'Demand Stage 2'!G6</f>
        <v>40</v>
      </c>
      <c r="BD7" s="2">
        <f>'Demand Stage 2'!H6</f>
        <v>40</v>
      </c>
      <c r="BE7" s="2">
        <f>'Demand Stage 2'!I6</f>
        <v>20</v>
      </c>
      <c r="BF7" s="3">
        <f>'Demand Stage 2'!J6</f>
        <v>0</v>
      </c>
      <c r="BG7" s="3">
        <f>'Demand Stage 2'!K6</f>
        <v>0</v>
      </c>
      <c r="BH7" s="3">
        <f>'Demand Stage 2'!L6</f>
        <v>0</v>
      </c>
      <c r="BI7" s="3">
        <f>'Demand Stage 2'!M6</f>
        <v>0</v>
      </c>
      <c r="BJ7" s="3">
        <f>'Demand Stage 2'!N6</f>
        <v>0</v>
      </c>
      <c r="BK7" s="3">
        <f>'Demand Stage 2'!O6</f>
        <v>0</v>
      </c>
      <c r="BL7" s="3">
        <f>'Demand Stage 2'!P6</f>
        <v>0</v>
      </c>
      <c r="BM7" s="3">
        <f>'Demand Stage 2'!Q6</f>
        <v>0</v>
      </c>
      <c r="BN7" s="2">
        <f>'Demand Stage 2'!R6</f>
        <v>10</v>
      </c>
      <c r="BO7" s="2">
        <f>'Demand Stage 2'!S6</f>
        <v>10</v>
      </c>
      <c r="BP7" s="2">
        <f>'Demand Stage 2'!T6</f>
        <v>10</v>
      </c>
      <c r="BQ7" s="2">
        <f>'Demand Stage 2'!U6</f>
        <v>40</v>
      </c>
      <c r="BR7" s="2">
        <f>'Demand Stage 2'!V6</f>
        <v>40</v>
      </c>
      <c r="BS7" s="2">
        <f>'Demand Stage 2'!W6</f>
        <v>40</v>
      </c>
      <c r="BT7" s="2">
        <f>'Demand Stage 2'!X6</f>
        <v>40</v>
      </c>
      <c r="BU7" s="2">
        <f>'Demand Stage 2'!Y6</f>
        <v>20</v>
      </c>
      <c r="BV7" s="3">
        <f>'Demand Stage 2'!Z6</f>
        <v>0</v>
      </c>
      <c r="BW7" s="3">
        <f>'Demand Stage 2'!AA6</f>
        <v>0</v>
      </c>
      <c r="BX7" s="3">
        <f>'Demand Stage 2'!AB6</f>
        <v>0</v>
      </c>
      <c r="BY7" s="3">
        <f>'Demand Stage 2'!AC6</f>
        <v>0</v>
      </c>
      <c r="BZ7" s="3">
        <f>'Demand Stage 2'!AD6</f>
        <v>0</v>
      </c>
      <c r="CA7" s="3">
        <f>'Demand Stage 2'!AE6</f>
        <v>0</v>
      </c>
      <c r="CB7" s="3">
        <f>'Demand Stage 2'!AF6</f>
        <v>0</v>
      </c>
      <c r="CC7" s="3">
        <f>'Demand Stage 2'!AG6</f>
        <v>0</v>
      </c>
      <c r="CD7" s="2">
        <f t="shared" si="38"/>
        <v>10</v>
      </c>
      <c r="CE7" s="2">
        <f t="shared" si="14"/>
        <v>10</v>
      </c>
      <c r="CF7" s="2">
        <f t="shared" si="14"/>
        <v>10</v>
      </c>
      <c r="CG7" s="2">
        <f t="shared" si="14"/>
        <v>40</v>
      </c>
      <c r="CH7" s="2">
        <f t="shared" si="14"/>
        <v>40</v>
      </c>
      <c r="CI7" s="2">
        <f t="shared" si="14"/>
        <v>40</v>
      </c>
      <c r="CJ7" s="2">
        <f t="shared" si="14"/>
        <v>40</v>
      </c>
      <c r="CK7" s="2">
        <f t="shared" si="14"/>
        <v>20</v>
      </c>
      <c r="CL7" s="3">
        <f t="shared" si="39"/>
        <v>0</v>
      </c>
      <c r="CM7" s="3">
        <f t="shared" si="15"/>
        <v>0</v>
      </c>
      <c r="CN7" s="3">
        <f t="shared" si="15"/>
        <v>0</v>
      </c>
      <c r="CO7" s="3">
        <f t="shared" si="15"/>
        <v>0</v>
      </c>
      <c r="CP7" s="3">
        <f t="shared" si="15"/>
        <v>0</v>
      </c>
      <c r="CQ7" s="3">
        <f t="shared" si="15"/>
        <v>0</v>
      </c>
      <c r="CR7" s="3">
        <f t="shared" si="15"/>
        <v>0</v>
      </c>
      <c r="CS7" s="3">
        <f t="shared" si="15"/>
        <v>0</v>
      </c>
      <c r="CT7" s="2">
        <f t="shared" ref="CT7:CT13" si="74">CD7</f>
        <v>10</v>
      </c>
      <c r="CU7" s="2">
        <f t="shared" si="16"/>
        <v>10</v>
      </c>
      <c r="CV7" s="2">
        <f t="shared" si="16"/>
        <v>10</v>
      </c>
      <c r="CW7" s="2">
        <f t="shared" si="16"/>
        <v>40</v>
      </c>
      <c r="CX7" s="2">
        <f t="shared" si="16"/>
        <v>40</v>
      </c>
      <c r="CY7" s="2">
        <f t="shared" si="16"/>
        <v>40</v>
      </c>
      <c r="CZ7" s="2">
        <f t="shared" si="16"/>
        <v>40</v>
      </c>
      <c r="DA7" s="2">
        <f t="shared" si="16"/>
        <v>20</v>
      </c>
      <c r="DB7" s="3">
        <f t="shared" si="16"/>
        <v>0</v>
      </c>
      <c r="DC7" s="3">
        <f t="shared" si="17"/>
        <v>0</v>
      </c>
      <c r="DD7" s="3">
        <f t="shared" si="18"/>
        <v>0</v>
      </c>
      <c r="DE7" s="3">
        <f t="shared" si="19"/>
        <v>0</v>
      </c>
      <c r="DF7" s="3">
        <f t="shared" si="20"/>
        <v>0</v>
      </c>
      <c r="DG7" s="3">
        <f t="shared" si="21"/>
        <v>0</v>
      </c>
      <c r="DH7" s="3">
        <f t="shared" si="22"/>
        <v>0</v>
      </c>
      <c r="DI7" s="3">
        <f t="shared" si="23"/>
        <v>0</v>
      </c>
      <c r="DJ7" s="2">
        <f t="shared" si="40"/>
        <v>10</v>
      </c>
      <c r="DK7" s="2">
        <f t="shared" si="24"/>
        <v>10</v>
      </c>
      <c r="DL7" s="2">
        <f t="shared" si="24"/>
        <v>10</v>
      </c>
      <c r="DM7" s="2">
        <f t="shared" si="24"/>
        <v>40</v>
      </c>
      <c r="DN7" s="2">
        <f t="shared" si="24"/>
        <v>40</v>
      </c>
      <c r="DO7" s="2">
        <f t="shared" si="24"/>
        <v>40</v>
      </c>
      <c r="DP7" s="2">
        <f t="shared" si="24"/>
        <v>40</v>
      </c>
      <c r="DQ7" s="2">
        <f t="shared" si="24"/>
        <v>20</v>
      </c>
      <c r="DR7" s="3">
        <f t="shared" si="41"/>
        <v>0</v>
      </c>
      <c r="DS7" s="3">
        <f t="shared" si="42"/>
        <v>0</v>
      </c>
      <c r="DT7" s="3">
        <f t="shared" si="43"/>
        <v>0</v>
      </c>
      <c r="DU7" s="3">
        <f t="shared" si="44"/>
        <v>0</v>
      </c>
      <c r="DV7" s="3">
        <f t="shared" si="45"/>
        <v>0</v>
      </c>
      <c r="DW7" s="3">
        <f t="shared" si="46"/>
        <v>0</v>
      </c>
      <c r="DX7" s="3">
        <f t="shared" si="47"/>
        <v>0</v>
      </c>
      <c r="DY7" s="3">
        <f t="shared" si="48"/>
        <v>0</v>
      </c>
      <c r="DZ7" s="2">
        <f>'Demand Stage 2'!AH6</f>
        <v>10</v>
      </c>
      <c r="EA7" s="2">
        <f>'Demand Stage 2'!AI6</f>
        <v>10</v>
      </c>
      <c r="EB7" s="2">
        <f>'Demand Stage 2'!AJ6</f>
        <v>10</v>
      </c>
      <c r="EC7" s="2">
        <f>'Demand Stage 2'!AK6</f>
        <v>40</v>
      </c>
      <c r="ED7" s="2">
        <f>'Demand Stage 2'!AL6</f>
        <v>40</v>
      </c>
      <c r="EE7" s="2">
        <f>'Demand Stage 2'!AM6</f>
        <v>40</v>
      </c>
      <c r="EF7" s="2">
        <f>'Demand Stage 2'!AN6</f>
        <v>40</v>
      </c>
      <c r="EG7" s="2">
        <f>'Demand Stage 2'!AO6</f>
        <v>20</v>
      </c>
      <c r="EH7" s="3">
        <f>'Demand Stage 2'!AP6</f>
        <v>0</v>
      </c>
      <c r="EI7" s="3">
        <f>'Demand Stage 2'!AQ6</f>
        <v>0</v>
      </c>
      <c r="EJ7" s="3">
        <f>'Demand Stage 2'!AR6</f>
        <v>0</v>
      </c>
      <c r="EK7" s="3">
        <f>'Demand Stage 2'!AS6</f>
        <v>0</v>
      </c>
      <c r="EL7" s="3">
        <f>'Demand Stage 2'!AT6</f>
        <v>0</v>
      </c>
      <c r="EM7" s="3">
        <f>'Demand Stage 2'!AU6</f>
        <v>0</v>
      </c>
      <c r="EN7" s="3">
        <f>'Demand Stage 2'!AV6</f>
        <v>0</v>
      </c>
      <c r="EO7" s="3">
        <f>'Demand Stage 2'!AW6</f>
        <v>0</v>
      </c>
      <c r="EP7" s="2">
        <f t="shared" si="49"/>
        <v>10</v>
      </c>
      <c r="EQ7" s="2">
        <f t="shared" si="26"/>
        <v>10</v>
      </c>
      <c r="ER7" s="2">
        <f t="shared" si="26"/>
        <v>10</v>
      </c>
      <c r="ES7" s="2">
        <f t="shared" si="26"/>
        <v>40</v>
      </c>
      <c r="ET7" s="2">
        <f t="shared" si="26"/>
        <v>40</v>
      </c>
      <c r="EU7" s="2">
        <f t="shared" si="26"/>
        <v>40</v>
      </c>
      <c r="EV7" s="2">
        <f t="shared" si="26"/>
        <v>40</v>
      </c>
      <c r="EW7" s="2">
        <f t="shared" si="26"/>
        <v>20</v>
      </c>
      <c r="EX7" s="3">
        <f t="shared" si="50"/>
        <v>0</v>
      </c>
      <c r="EY7" s="3">
        <f t="shared" si="27"/>
        <v>0</v>
      </c>
      <c r="EZ7" s="3">
        <f t="shared" si="27"/>
        <v>0</v>
      </c>
      <c r="FA7" s="3">
        <f t="shared" si="27"/>
        <v>0</v>
      </c>
      <c r="FB7" s="3">
        <f t="shared" si="27"/>
        <v>0</v>
      </c>
      <c r="FC7" s="3">
        <f t="shared" si="27"/>
        <v>0</v>
      </c>
      <c r="FD7" s="3">
        <f t="shared" si="27"/>
        <v>0</v>
      </c>
      <c r="FE7" s="3">
        <f t="shared" si="27"/>
        <v>0</v>
      </c>
      <c r="FF7" s="2">
        <f t="shared" si="51"/>
        <v>10</v>
      </c>
      <c r="FG7" s="2">
        <f t="shared" si="28"/>
        <v>10</v>
      </c>
      <c r="FH7" s="2">
        <f t="shared" si="28"/>
        <v>10</v>
      </c>
      <c r="FI7" s="2">
        <f t="shared" si="28"/>
        <v>40</v>
      </c>
      <c r="FJ7" s="2">
        <f t="shared" si="28"/>
        <v>40</v>
      </c>
      <c r="FK7" s="2">
        <f t="shared" si="28"/>
        <v>40</v>
      </c>
      <c r="FL7" s="2">
        <f t="shared" si="28"/>
        <v>40</v>
      </c>
      <c r="FM7" s="2">
        <f t="shared" si="28"/>
        <v>20</v>
      </c>
      <c r="FN7" s="3">
        <f t="shared" si="52"/>
        <v>0</v>
      </c>
      <c r="FO7" s="3">
        <f t="shared" si="53"/>
        <v>0</v>
      </c>
      <c r="FP7" s="3">
        <f t="shared" si="54"/>
        <v>0</v>
      </c>
      <c r="FQ7" s="3">
        <f t="shared" si="55"/>
        <v>0</v>
      </c>
      <c r="FR7" s="3">
        <f t="shared" si="56"/>
        <v>0</v>
      </c>
      <c r="FS7" s="3">
        <f t="shared" si="57"/>
        <v>0</v>
      </c>
      <c r="FT7" s="3">
        <f t="shared" si="58"/>
        <v>0</v>
      </c>
      <c r="FU7" s="3">
        <f t="shared" si="59"/>
        <v>0</v>
      </c>
      <c r="FV7" s="2">
        <f t="shared" si="60"/>
        <v>10</v>
      </c>
      <c r="FW7" s="2">
        <f t="shared" si="30"/>
        <v>10</v>
      </c>
      <c r="FX7" s="2">
        <f t="shared" si="30"/>
        <v>10</v>
      </c>
      <c r="FY7" s="2">
        <f t="shared" si="30"/>
        <v>40</v>
      </c>
      <c r="FZ7" s="2">
        <f t="shared" si="30"/>
        <v>40</v>
      </c>
      <c r="GA7" s="2">
        <f t="shared" si="30"/>
        <v>40</v>
      </c>
      <c r="GB7" s="2">
        <f t="shared" si="30"/>
        <v>40</v>
      </c>
      <c r="GC7" s="2">
        <f t="shared" si="30"/>
        <v>20</v>
      </c>
      <c r="GD7" s="3">
        <f t="shared" si="61"/>
        <v>0</v>
      </c>
      <c r="GE7" s="3">
        <f t="shared" si="31"/>
        <v>0</v>
      </c>
      <c r="GF7" s="3">
        <f t="shared" si="31"/>
        <v>0</v>
      </c>
      <c r="GG7" s="3">
        <f t="shared" si="31"/>
        <v>0</v>
      </c>
      <c r="GH7" s="3">
        <f t="shared" si="31"/>
        <v>0</v>
      </c>
      <c r="GI7" s="3">
        <f t="shared" si="31"/>
        <v>0</v>
      </c>
      <c r="GJ7" s="3">
        <f t="shared" si="31"/>
        <v>0</v>
      </c>
      <c r="GK7" s="3">
        <f t="shared" si="31"/>
        <v>0</v>
      </c>
      <c r="GL7" s="2">
        <f>'Demand Stage 2'!AX6</f>
        <v>10</v>
      </c>
      <c r="GM7" s="2">
        <f>'Demand Stage 2'!AY6</f>
        <v>10</v>
      </c>
      <c r="GN7" s="2">
        <f>'Demand Stage 2'!AZ6</f>
        <v>10</v>
      </c>
      <c r="GO7" s="2">
        <f>'Demand Stage 2'!BA6</f>
        <v>40</v>
      </c>
      <c r="GP7" s="2">
        <f>'Demand Stage 2'!BB6</f>
        <v>40</v>
      </c>
      <c r="GQ7" s="2">
        <f>'Demand Stage 2'!BC6</f>
        <v>40</v>
      </c>
      <c r="GR7" s="2">
        <f>'Demand Stage 2'!BD6</f>
        <v>40</v>
      </c>
      <c r="GS7" s="2">
        <f>'Demand Stage 2'!BE6</f>
        <v>20</v>
      </c>
      <c r="GT7" s="3">
        <f>'Demand Stage 2'!BF6</f>
        <v>0</v>
      </c>
      <c r="GU7" s="3">
        <f>'Demand Stage 2'!BG6</f>
        <v>0</v>
      </c>
      <c r="GV7" s="3">
        <f>'Demand Stage 2'!BH6</f>
        <v>0</v>
      </c>
      <c r="GW7" s="3">
        <f>'Demand Stage 2'!BI6</f>
        <v>0</v>
      </c>
      <c r="GX7" s="3">
        <f>'Demand Stage 2'!BJ6</f>
        <v>0</v>
      </c>
      <c r="GY7" s="3">
        <f>'Demand Stage 2'!BK6</f>
        <v>0</v>
      </c>
      <c r="GZ7" s="3">
        <f>'Demand Stage 2'!BL6</f>
        <v>0</v>
      </c>
      <c r="HA7" s="3">
        <f>'Demand Stage 2'!BM6</f>
        <v>0</v>
      </c>
      <c r="HB7" s="2">
        <f t="shared" ref="HB7:HB13" si="75">GL7</f>
        <v>10</v>
      </c>
      <c r="HC7" s="2">
        <f t="shared" si="32"/>
        <v>10</v>
      </c>
      <c r="HD7" s="2">
        <f t="shared" si="32"/>
        <v>10</v>
      </c>
      <c r="HE7" s="2">
        <f t="shared" si="32"/>
        <v>40</v>
      </c>
      <c r="HF7" s="2">
        <f t="shared" si="32"/>
        <v>40</v>
      </c>
      <c r="HG7" s="2">
        <f t="shared" si="32"/>
        <v>40</v>
      </c>
      <c r="HH7" s="2">
        <f t="shared" si="32"/>
        <v>40</v>
      </c>
      <c r="HI7" s="2">
        <f t="shared" si="32"/>
        <v>20</v>
      </c>
      <c r="HJ7" s="3">
        <f t="shared" si="62"/>
        <v>0</v>
      </c>
      <c r="HK7" s="3">
        <f t="shared" si="63"/>
        <v>0</v>
      </c>
      <c r="HL7" s="3">
        <f t="shared" si="64"/>
        <v>0</v>
      </c>
      <c r="HM7" s="3">
        <f t="shared" si="65"/>
        <v>0</v>
      </c>
      <c r="HN7" s="3">
        <f t="shared" si="66"/>
        <v>0</v>
      </c>
      <c r="HO7" s="3">
        <f t="shared" si="67"/>
        <v>0</v>
      </c>
      <c r="HP7" s="3">
        <f t="shared" si="68"/>
        <v>0</v>
      </c>
      <c r="HQ7" s="3">
        <f t="shared" si="69"/>
        <v>0</v>
      </c>
      <c r="HR7" s="2">
        <f t="shared" si="70"/>
        <v>10</v>
      </c>
      <c r="HS7" s="2">
        <f t="shared" si="34"/>
        <v>10</v>
      </c>
      <c r="HT7" s="2">
        <f t="shared" si="34"/>
        <v>10</v>
      </c>
      <c r="HU7" s="2">
        <f t="shared" si="34"/>
        <v>40</v>
      </c>
      <c r="HV7" s="2">
        <f t="shared" si="34"/>
        <v>40</v>
      </c>
      <c r="HW7" s="2">
        <f t="shared" si="34"/>
        <v>40</v>
      </c>
      <c r="HX7" s="2">
        <f t="shared" si="34"/>
        <v>40</v>
      </c>
      <c r="HY7" s="2">
        <f t="shared" si="34"/>
        <v>20</v>
      </c>
      <c r="HZ7" s="3">
        <f t="shared" si="71"/>
        <v>0</v>
      </c>
      <c r="IA7" s="3">
        <f t="shared" si="35"/>
        <v>0</v>
      </c>
      <c r="IB7" s="3">
        <f t="shared" si="35"/>
        <v>0</v>
      </c>
      <c r="IC7" s="3">
        <f t="shared" si="35"/>
        <v>0</v>
      </c>
      <c r="ID7" s="3">
        <f t="shared" si="35"/>
        <v>0</v>
      </c>
      <c r="IE7" s="3">
        <f t="shared" si="35"/>
        <v>0</v>
      </c>
      <c r="IF7" s="3">
        <f t="shared" si="35"/>
        <v>0</v>
      </c>
      <c r="IG7" s="3">
        <f t="shared" si="35"/>
        <v>0</v>
      </c>
      <c r="IH7" s="2">
        <f t="shared" si="72"/>
        <v>10</v>
      </c>
      <c r="II7" s="2">
        <f t="shared" si="36"/>
        <v>10</v>
      </c>
      <c r="IJ7" s="2">
        <f t="shared" si="36"/>
        <v>10</v>
      </c>
      <c r="IK7" s="2">
        <f t="shared" si="36"/>
        <v>40</v>
      </c>
      <c r="IL7" s="2">
        <f t="shared" si="36"/>
        <v>40</v>
      </c>
      <c r="IM7" s="2">
        <f t="shared" si="36"/>
        <v>40</v>
      </c>
      <c r="IN7" s="2">
        <f t="shared" si="36"/>
        <v>40</v>
      </c>
      <c r="IO7" s="2">
        <f t="shared" si="36"/>
        <v>20</v>
      </c>
      <c r="IP7" s="3">
        <f t="shared" si="73"/>
        <v>0</v>
      </c>
      <c r="IQ7" s="3">
        <f t="shared" si="37"/>
        <v>0</v>
      </c>
      <c r="IR7" s="3">
        <f t="shared" si="37"/>
        <v>0</v>
      </c>
      <c r="IS7" s="3">
        <f t="shared" si="37"/>
        <v>0</v>
      </c>
      <c r="IT7" s="3">
        <f t="shared" si="37"/>
        <v>0</v>
      </c>
      <c r="IU7" s="3">
        <f t="shared" si="37"/>
        <v>0</v>
      </c>
      <c r="IV7" s="3">
        <f t="shared" si="37"/>
        <v>0</v>
      </c>
      <c r="IW7" s="3">
        <f t="shared" si="37"/>
        <v>0</v>
      </c>
    </row>
    <row r="8" spans="1:257" x14ac:dyDescent="0.2">
      <c r="A8" s="1">
        <v>2</v>
      </c>
      <c r="B8" s="2">
        <f>'Demand Stage 2'!B7</f>
        <v>10</v>
      </c>
      <c r="C8" s="2">
        <f>'Demand Stage 2'!C7</f>
        <v>10</v>
      </c>
      <c r="D8" s="2">
        <f>'Demand Stage 2'!D7</f>
        <v>10</v>
      </c>
      <c r="E8" s="2">
        <f>'Demand Stage 2'!E7</f>
        <v>40</v>
      </c>
      <c r="F8" s="2">
        <f>'Demand Stage 2'!F7</f>
        <v>40</v>
      </c>
      <c r="G8" s="2">
        <f>'Demand Stage 2'!G7</f>
        <v>40</v>
      </c>
      <c r="H8" s="2">
        <f>'Demand Stage 2'!H7</f>
        <v>40</v>
      </c>
      <c r="I8" s="2">
        <f>'Demand Stage 2'!I7</f>
        <v>20</v>
      </c>
      <c r="J8" s="3">
        <f>'Demand Stage 2'!J7</f>
        <v>0</v>
      </c>
      <c r="K8" s="3">
        <f>'Demand Stage 2'!K7</f>
        <v>0</v>
      </c>
      <c r="L8" s="3">
        <f>'Demand Stage 2'!L7</f>
        <v>0</v>
      </c>
      <c r="M8" s="3">
        <f>'Demand Stage 2'!M7</f>
        <v>0</v>
      </c>
      <c r="N8" s="3">
        <f>'Demand Stage 2'!N7</f>
        <v>0</v>
      </c>
      <c r="O8" s="3">
        <f>'Demand Stage 2'!O7</f>
        <v>0</v>
      </c>
      <c r="P8" s="3">
        <f>'Demand Stage 2'!P7</f>
        <v>0</v>
      </c>
      <c r="Q8" s="3">
        <f>'Demand Stage 2'!Q7</f>
        <v>0</v>
      </c>
      <c r="R8" s="2">
        <f>'Demand Stage 2'!B7</f>
        <v>10</v>
      </c>
      <c r="S8" s="2">
        <f>'Demand Stage 2'!C7</f>
        <v>10</v>
      </c>
      <c r="T8" s="2">
        <f>'Demand Stage 2'!D7</f>
        <v>10</v>
      </c>
      <c r="U8" s="2">
        <f>'Demand Stage 2'!E7</f>
        <v>40</v>
      </c>
      <c r="V8" s="2">
        <f>'Demand Stage 2'!F7</f>
        <v>40</v>
      </c>
      <c r="W8" s="2">
        <f>'Demand Stage 2'!G7</f>
        <v>40</v>
      </c>
      <c r="X8" s="2">
        <f>'Demand Stage 2'!H7</f>
        <v>40</v>
      </c>
      <c r="Y8" s="2">
        <f>'Demand Stage 2'!I7</f>
        <v>20</v>
      </c>
      <c r="Z8" s="3">
        <f>'Demand Stage 2'!J7</f>
        <v>0</v>
      </c>
      <c r="AA8" s="3">
        <f>'Demand Stage 2'!K7</f>
        <v>0</v>
      </c>
      <c r="AB8" s="3">
        <f>'Demand Stage 2'!L7</f>
        <v>0</v>
      </c>
      <c r="AC8" s="3">
        <f>'Demand Stage 2'!M7</f>
        <v>0</v>
      </c>
      <c r="AD8" s="3">
        <f>'Demand Stage 2'!N7</f>
        <v>0</v>
      </c>
      <c r="AE8" s="3">
        <f>'Demand Stage 2'!O7</f>
        <v>0</v>
      </c>
      <c r="AF8" s="3">
        <f>'Demand Stage 2'!P7</f>
        <v>0</v>
      </c>
      <c r="AG8" s="3">
        <f>'Demand Stage 2'!Q7</f>
        <v>0</v>
      </c>
      <c r="AH8" s="2">
        <f>'Demand Stage 2'!B7</f>
        <v>10</v>
      </c>
      <c r="AI8" s="2">
        <f>'Demand Stage 2'!C7</f>
        <v>10</v>
      </c>
      <c r="AJ8" s="2">
        <f>'Demand Stage 2'!D7</f>
        <v>10</v>
      </c>
      <c r="AK8" s="2">
        <f>'Demand Stage 2'!E7</f>
        <v>40</v>
      </c>
      <c r="AL8" s="2">
        <f>'Demand Stage 2'!F7</f>
        <v>40</v>
      </c>
      <c r="AM8" s="2">
        <f>'Demand Stage 2'!G7</f>
        <v>40</v>
      </c>
      <c r="AN8" s="2">
        <f>'Demand Stage 2'!H7</f>
        <v>40</v>
      </c>
      <c r="AO8" s="2">
        <f>'Demand Stage 2'!I7</f>
        <v>20</v>
      </c>
      <c r="AP8" s="3">
        <f>'Demand Stage 2'!J7</f>
        <v>0</v>
      </c>
      <c r="AQ8" s="3">
        <f>'Demand Stage 2'!K7</f>
        <v>0</v>
      </c>
      <c r="AR8" s="3">
        <f>'Demand Stage 2'!L7</f>
        <v>0</v>
      </c>
      <c r="AS8" s="3">
        <f>'Demand Stage 2'!M7</f>
        <v>0</v>
      </c>
      <c r="AT8" s="3">
        <f>'Demand Stage 2'!N7</f>
        <v>0</v>
      </c>
      <c r="AU8" s="3">
        <f>'Demand Stage 2'!O7</f>
        <v>0</v>
      </c>
      <c r="AV8" s="3">
        <f>'Demand Stage 2'!P7</f>
        <v>0</v>
      </c>
      <c r="AW8" s="3">
        <f>'Demand Stage 2'!Q7</f>
        <v>0</v>
      </c>
      <c r="AX8" s="2">
        <f>'Demand Stage 2'!B7</f>
        <v>10</v>
      </c>
      <c r="AY8" s="2">
        <f>'Demand Stage 2'!C7</f>
        <v>10</v>
      </c>
      <c r="AZ8" s="2">
        <f>'Demand Stage 2'!D7</f>
        <v>10</v>
      </c>
      <c r="BA8" s="2">
        <f>'Demand Stage 2'!E7</f>
        <v>40</v>
      </c>
      <c r="BB8" s="2">
        <f>'Demand Stage 2'!F7</f>
        <v>40</v>
      </c>
      <c r="BC8" s="2">
        <f>'Demand Stage 2'!G7</f>
        <v>40</v>
      </c>
      <c r="BD8" s="2">
        <f>'Demand Stage 2'!H7</f>
        <v>40</v>
      </c>
      <c r="BE8" s="2">
        <f>'Demand Stage 2'!I7</f>
        <v>20</v>
      </c>
      <c r="BF8" s="3">
        <f>'Demand Stage 2'!J7</f>
        <v>0</v>
      </c>
      <c r="BG8" s="3">
        <f>'Demand Stage 2'!K7</f>
        <v>0</v>
      </c>
      <c r="BH8" s="3">
        <f>'Demand Stage 2'!L7</f>
        <v>0</v>
      </c>
      <c r="BI8" s="3">
        <f>'Demand Stage 2'!M7</f>
        <v>0</v>
      </c>
      <c r="BJ8" s="3">
        <f>'Demand Stage 2'!N7</f>
        <v>0</v>
      </c>
      <c r="BK8" s="3">
        <f>'Demand Stage 2'!O7</f>
        <v>0</v>
      </c>
      <c r="BL8" s="3">
        <f>'Demand Stage 2'!P7</f>
        <v>0</v>
      </c>
      <c r="BM8" s="3">
        <f>'Demand Stage 2'!Q7</f>
        <v>0</v>
      </c>
      <c r="BN8" s="2">
        <f>'Demand Stage 2'!R7</f>
        <v>10</v>
      </c>
      <c r="BO8" s="2">
        <f>'Demand Stage 2'!S7</f>
        <v>10</v>
      </c>
      <c r="BP8" s="2">
        <f>'Demand Stage 2'!T7</f>
        <v>10</v>
      </c>
      <c r="BQ8" s="2">
        <f>'Demand Stage 2'!U7</f>
        <v>40</v>
      </c>
      <c r="BR8" s="2">
        <f>'Demand Stage 2'!V7</f>
        <v>40</v>
      </c>
      <c r="BS8" s="2">
        <f>'Demand Stage 2'!W7</f>
        <v>40</v>
      </c>
      <c r="BT8" s="2">
        <f>'Demand Stage 2'!X7</f>
        <v>40</v>
      </c>
      <c r="BU8" s="2">
        <f>'Demand Stage 2'!Y7</f>
        <v>20</v>
      </c>
      <c r="BV8" s="3">
        <f>'Demand Stage 2'!Z7</f>
        <v>0</v>
      </c>
      <c r="BW8" s="3">
        <f>'Demand Stage 2'!AA7</f>
        <v>0</v>
      </c>
      <c r="BX8" s="3">
        <f>'Demand Stage 2'!AB7</f>
        <v>0</v>
      </c>
      <c r="BY8" s="3">
        <f>'Demand Stage 2'!AC7</f>
        <v>0</v>
      </c>
      <c r="BZ8" s="3">
        <f>'Demand Stage 2'!AD7</f>
        <v>0</v>
      </c>
      <c r="CA8" s="3">
        <f>'Demand Stage 2'!AE7</f>
        <v>0</v>
      </c>
      <c r="CB8" s="3">
        <f>'Demand Stage 2'!AF7</f>
        <v>0</v>
      </c>
      <c r="CC8" s="3">
        <f>'Demand Stage 2'!AG7</f>
        <v>0</v>
      </c>
      <c r="CD8" s="2">
        <f t="shared" si="38"/>
        <v>10</v>
      </c>
      <c r="CE8" s="2">
        <f t="shared" si="14"/>
        <v>10</v>
      </c>
      <c r="CF8" s="2">
        <f t="shared" si="14"/>
        <v>10</v>
      </c>
      <c r="CG8" s="2">
        <f t="shared" si="14"/>
        <v>40</v>
      </c>
      <c r="CH8" s="2">
        <f t="shared" si="14"/>
        <v>40</v>
      </c>
      <c r="CI8" s="2">
        <f t="shared" si="14"/>
        <v>40</v>
      </c>
      <c r="CJ8" s="2">
        <f t="shared" si="14"/>
        <v>40</v>
      </c>
      <c r="CK8" s="2">
        <f t="shared" si="14"/>
        <v>20</v>
      </c>
      <c r="CL8" s="3">
        <f t="shared" si="39"/>
        <v>0</v>
      </c>
      <c r="CM8" s="3">
        <f t="shared" si="15"/>
        <v>0</v>
      </c>
      <c r="CN8" s="3">
        <f t="shared" si="15"/>
        <v>0</v>
      </c>
      <c r="CO8" s="3">
        <f t="shared" si="15"/>
        <v>0</v>
      </c>
      <c r="CP8" s="3">
        <f t="shared" si="15"/>
        <v>0</v>
      </c>
      <c r="CQ8" s="3">
        <f t="shared" si="15"/>
        <v>0</v>
      </c>
      <c r="CR8" s="3">
        <f t="shared" si="15"/>
        <v>0</v>
      </c>
      <c r="CS8" s="3">
        <f t="shared" si="15"/>
        <v>0</v>
      </c>
      <c r="CT8" s="2">
        <f t="shared" si="74"/>
        <v>10</v>
      </c>
      <c r="CU8" s="2">
        <f t="shared" si="16"/>
        <v>10</v>
      </c>
      <c r="CV8" s="2">
        <f t="shared" si="16"/>
        <v>10</v>
      </c>
      <c r="CW8" s="2">
        <f t="shared" si="16"/>
        <v>40</v>
      </c>
      <c r="CX8" s="2">
        <f t="shared" si="16"/>
        <v>40</v>
      </c>
      <c r="CY8" s="2">
        <f t="shared" si="16"/>
        <v>40</v>
      </c>
      <c r="CZ8" s="2">
        <f t="shared" si="16"/>
        <v>40</v>
      </c>
      <c r="DA8" s="2">
        <f t="shared" si="16"/>
        <v>20</v>
      </c>
      <c r="DB8" s="3">
        <f t="shared" si="16"/>
        <v>0</v>
      </c>
      <c r="DC8" s="3">
        <f t="shared" si="17"/>
        <v>0</v>
      </c>
      <c r="DD8" s="3">
        <f t="shared" si="18"/>
        <v>0</v>
      </c>
      <c r="DE8" s="3">
        <f t="shared" si="19"/>
        <v>0</v>
      </c>
      <c r="DF8" s="3">
        <f t="shared" si="20"/>
        <v>0</v>
      </c>
      <c r="DG8" s="3">
        <f t="shared" si="21"/>
        <v>0</v>
      </c>
      <c r="DH8" s="3">
        <f t="shared" si="22"/>
        <v>0</v>
      </c>
      <c r="DI8" s="3">
        <f t="shared" si="23"/>
        <v>0</v>
      </c>
      <c r="DJ8" s="2">
        <f t="shared" si="40"/>
        <v>10</v>
      </c>
      <c r="DK8" s="2">
        <f t="shared" si="24"/>
        <v>10</v>
      </c>
      <c r="DL8" s="2">
        <f t="shared" si="24"/>
        <v>10</v>
      </c>
      <c r="DM8" s="2">
        <f t="shared" si="24"/>
        <v>40</v>
      </c>
      <c r="DN8" s="2">
        <f t="shared" si="24"/>
        <v>40</v>
      </c>
      <c r="DO8" s="2">
        <f t="shared" si="24"/>
        <v>40</v>
      </c>
      <c r="DP8" s="2">
        <f t="shared" si="24"/>
        <v>40</v>
      </c>
      <c r="DQ8" s="2">
        <f t="shared" si="24"/>
        <v>20</v>
      </c>
      <c r="DR8" s="3">
        <f t="shared" si="41"/>
        <v>0</v>
      </c>
      <c r="DS8" s="3">
        <f t="shared" si="42"/>
        <v>0</v>
      </c>
      <c r="DT8" s="3">
        <f t="shared" si="43"/>
        <v>0</v>
      </c>
      <c r="DU8" s="3">
        <f t="shared" si="44"/>
        <v>0</v>
      </c>
      <c r="DV8" s="3">
        <f t="shared" si="45"/>
        <v>0</v>
      </c>
      <c r="DW8" s="3">
        <f t="shared" si="46"/>
        <v>0</v>
      </c>
      <c r="DX8" s="3">
        <f t="shared" si="47"/>
        <v>0</v>
      </c>
      <c r="DY8" s="3">
        <f t="shared" si="48"/>
        <v>0</v>
      </c>
      <c r="DZ8" s="2">
        <f>'Demand Stage 2'!AH7</f>
        <v>10</v>
      </c>
      <c r="EA8" s="2">
        <f>'Demand Stage 2'!AI7</f>
        <v>10</v>
      </c>
      <c r="EB8" s="2">
        <f>'Demand Stage 2'!AJ7</f>
        <v>10</v>
      </c>
      <c r="EC8" s="2">
        <f>'Demand Stage 2'!AK7</f>
        <v>40</v>
      </c>
      <c r="ED8" s="2">
        <f>'Demand Stage 2'!AL7</f>
        <v>40</v>
      </c>
      <c r="EE8" s="2">
        <f>'Demand Stage 2'!AM7</f>
        <v>40</v>
      </c>
      <c r="EF8" s="2">
        <f>'Demand Stage 2'!AN7</f>
        <v>40</v>
      </c>
      <c r="EG8" s="2">
        <f>'Demand Stage 2'!AO7</f>
        <v>20</v>
      </c>
      <c r="EH8" s="3">
        <f>'Demand Stage 2'!AP7</f>
        <v>0</v>
      </c>
      <c r="EI8" s="3">
        <f>'Demand Stage 2'!AQ7</f>
        <v>0</v>
      </c>
      <c r="EJ8" s="3">
        <f>'Demand Stage 2'!AR7</f>
        <v>0</v>
      </c>
      <c r="EK8" s="3">
        <f>'Demand Stage 2'!AS7</f>
        <v>0</v>
      </c>
      <c r="EL8" s="3">
        <f>'Demand Stage 2'!AT7</f>
        <v>0</v>
      </c>
      <c r="EM8" s="3">
        <f>'Demand Stage 2'!AU7</f>
        <v>0</v>
      </c>
      <c r="EN8" s="3">
        <f>'Demand Stage 2'!AV7</f>
        <v>0</v>
      </c>
      <c r="EO8" s="3">
        <f>'Demand Stage 2'!AW7</f>
        <v>0</v>
      </c>
      <c r="EP8" s="2">
        <f t="shared" si="49"/>
        <v>10</v>
      </c>
      <c r="EQ8" s="2">
        <f t="shared" si="26"/>
        <v>10</v>
      </c>
      <c r="ER8" s="2">
        <f t="shared" si="26"/>
        <v>10</v>
      </c>
      <c r="ES8" s="2">
        <f t="shared" si="26"/>
        <v>40</v>
      </c>
      <c r="ET8" s="2">
        <f t="shared" si="26"/>
        <v>40</v>
      </c>
      <c r="EU8" s="2">
        <f t="shared" si="26"/>
        <v>40</v>
      </c>
      <c r="EV8" s="2">
        <f t="shared" si="26"/>
        <v>40</v>
      </c>
      <c r="EW8" s="2">
        <f t="shared" si="26"/>
        <v>20</v>
      </c>
      <c r="EX8" s="3">
        <f t="shared" si="50"/>
        <v>0</v>
      </c>
      <c r="EY8" s="3">
        <f t="shared" si="27"/>
        <v>0</v>
      </c>
      <c r="EZ8" s="3">
        <f t="shared" si="27"/>
        <v>0</v>
      </c>
      <c r="FA8" s="3">
        <f t="shared" si="27"/>
        <v>0</v>
      </c>
      <c r="FB8" s="3">
        <f t="shared" si="27"/>
        <v>0</v>
      </c>
      <c r="FC8" s="3">
        <f t="shared" si="27"/>
        <v>0</v>
      </c>
      <c r="FD8" s="3">
        <f t="shared" si="27"/>
        <v>0</v>
      </c>
      <c r="FE8" s="3">
        <f t="shared" si="27"/>
        <v>0</v>
      </c>
      <c r="FF8" s="2">
        <f t="shared" si="51"/>
        <v>10</v>
      </c>
      <c r="FG8" s="2">
        <f t="shared" si="28"/>
        <v>10</v>
      </c>
      <c r="FH8" s="2">
        <f t="shared" si="28"/>
        <v>10</v>
      </c>
      <c r="FI8" s="2">
        <f t="shared" si="28"/>
        <v>40</v>
      </c>
      <c r="FJ8" s="2">
        <f t="shared" si="28"/>
        <v>40</v>
      </c>
      <c r="FK8" s="2">
        <f t="shared" si="28"/>
        <v>40</v>
      </c>
      <c r="FL8" s="2">
        <f t="shared" si="28"/>
        <v>40</v>
      </c>
      <c r="FM8" s="2">
        <f t="shared" si="28"/>
        <v>20</v>
      </c>
      <c r="FN8" s="3">
        <f t="shared" si="52"/>
        <v>0</v>
      </c>
      <c r="FO8" s="3">
        <f t="shared" si="53"/>
        <v>0</v>
      </c>
      <c r="FP8" s="3">
        <f t="shared" si="54"/>
        <v>0</v>
      </c>
      <c r="FQ8" s="3">
        <f t="shared" si="55"/>
        <v>0</v>
      </c>
      <c r="FR8" s="3">
        <f t="shared" si="56"/>
        <v>0</v>
      </c>
      <c r="FS8" s="3">
        <f t="shared" si="57"/>
        <v>0</v>
      </c>
      <c r="FT8" s="3">
        <f t="shared" si="58"/>
        <v>0</v>
      </c>
      <c r="FU8" s="3">
        <f t="shared" si="59"/>
        <v>0</v>
      </c>
      <c r="FV8" s="2">
        <f t="shared" si="60"/>
        <v>10</v>
      </c>
      <c r="FW8" s="2">
        <f t="shared" si="30"/>
        <v>10</v>
      </c>
      <c r="FX8" s="2">
        <f t="shared" si="30"/>
        <v>10</v>
      </c>
      <c r="FY8" s="2">
        <f t="shared" si="30"/>
        <v>40</v>
      </c>
      <c r="FZ8" s="2">
        <f t="shared" si="30"/>
        <v>40</v>
      </c>
      <c r="GA8" s="2">
        <f t="shared" si="30"/>
        <v>40</v>
      </c>
      <c r="GB8" s="2">
        <f t="shared" si="30"/>
        <v>40</v>
      </c>
      <c r="GC8" s="2">
        <f t="shared" si="30"/>
        <v>20</v>
      </c>
      <c r="GD8" s="3">
        <f t="shared" si="61"/>
        <v>0</v>
      </c>
      <c r="GE8" s="3">
        <f t="shared" si="31"/>
        <v>0</v>
      </c>
      <c r="GF8" s="3">
        <f t="shared" si="31"/>
        <v>0</v>
      </c>
      <c r="GG8" s="3">
        <f t="shared" si="31"/>
        <v>0</v>
      </c>
      <c r="GH8" s="3">
        <f t="shared" si="31"/>
        <v>0</v>
      </c>
      <c r="GI8" s="3">
        <f t="shared" si="31"/>
        <v>0</v>
      </c>
      <c r="GJ8" s="3">
        <f t="shared" si="31"/>
        <v>0</v>
      </c>
      <c r="GK8" s="3">
        <f t="shared" si="31"/>
        <v>0</v>
      </c>
      <c r="GL8" s="2">
        <f>'Demand Stage 2'!AX7</f>
        <v>10</v>
      </c>
      <c r="GM8" s="2">
        <f>'Demand Stage 2'!AY7</f>
        <v>10</v>
      </c>
      <c r="GN8" s="2">
        <f>'Demand Stage 2'!AZ7</f>
        <v>10</v>
      </c>
      <c r="GO8" s="2">
        <f>'Demand Stage 2'!BA7</f>
        <v>40</v>
      </c>
      <c r="GP8" s="2">
        <f>'Demand Stage 2'!BB7</f>
        <v>40</v>
      </c>
      <c r="GQ8" s="2">
        <f>'Demand Stage 2'!BC7</f>
        <v>40</v>
      </c>
      <c r="GR8" s="2">
        <f>'Demand Stage 2'!BD7</f>
        <v>40</v>
      </c>
      <c r="GS8" s="2">
        <f>'Demand Stage 2'!BE7</f>
        <v>20</v>
      </c>
      <c r="GT8" s="3">
        <f>'Demand Stage 2'!BF7</f>
        <v>0</v>
      </c>
      <c r="GU8" s="3">
        <f>'Demand Stage 2'!BG7</f>
        <v>0</v>
      </c>
      <c r="GV8" s="3">
        <f>'Demand Stage 2'!BH7</f>
        <v>0</v>
      </c>
      <c r="GW8" s="3">
        <f>'Demand Stage 2'!BI7</f>
        <v>0</v>
      </c>
      <c r="GX8" s="3">
        <f>'Demand Stage 2'!BJ7</f>
        <v>0</v>
      </c>
      <c r="GY8" s="3">
        <f>'Demand Stage 2'!BK7</f>
        <v>0</v>
      </c>
      <c r="GZ8" s="3">
        <f>'Demand Stage 2'!BL7</f>
        <v>0</v>
      </c>
      <c r="HA8" s="3">
        <f>'Demand Stage 2'!BM7</f>
        <v>0</v>
      </c>
      <c r="HB8" s="2">
        <f t="shared" si="75"/>
        <v>10</v>
      </c>
      <c r="HC8" s="2">
        <f t="shared" si="32"/>
        <v>10</v>
      </c>
      <c r="HD8" s="2">
        <f t="shared" si="32"/>
        <v>10</v>
      </c>
      <c r="HE8" s="2">
        <f t="shared" si="32"/>
        <v>40</v>
      </c>
      <c r="HF8" s="2">
        <f t="shared" si="32"/>
        <v>40</v>
      </c>
      <c r="HG8" s="2">
        <f t="shared" si="32"/>
        <v>40</v>
      </c>
      <c r="HH8" s="2">
        <f t="shared" si="32"/>
        <v>40</v>
      </c>
      <c r="HI8" s="2">
        <f t="shared" si="32"/>
        <v>20</v>
      </c>
      <c r="HJ8" s="3">
        <f t="shared" si="62"/>
        <v>0</v>
      </c>
      <c r="HK8" s="3">
        <f t="shared" si="63"/>
        <v>0</v>
      </c>
      <c r="HL8" s="3">
        <f t="shared" si="64"/>
        <v>0</v>
      </c>
      <c r="HM8" s="3">
        <f t="shared" si="65"/>
        <v>0</v>
      </c>
      <c r="HN8" s="3">
        <f t="shared" si="66"/>
        <v>0</v>
      </c>
      <c r="HO8" s="3">
        <f t="shared" si="67"/>
        <v>0</v>
      </c>
      <c r="HP8" s="3">
        <f t="shared" si="68"/>
        <v>0</v>
      </c>
      <c r="HQ8" s="3">
        <f t="shared" si="69"/>
        <v>0</v>
      </c>
      <c r="HR8" s="2">
        <f t="shared" si="70"/>
        <v>10</v>
      </c>
      <c r="HS8" s="2">
        <f t="shared" si="34"/>
        <v>10</v>
      </c>
      <c r="HT8" s="2">
        <f t="shared" si="34"/>
        <v>10</v>
      </c>
      <c r="HU8" s="2">
        <f t="shared" si="34"/>
        <v>40</v>
      </c>
      <c r="HV8" s="2">
        <f t="shared" si="34"/>
        <v>40</v>
      </c>
      <c r="HW8" s="2">
        <f t="shared" si="34"/>
        <v>40</v>
      </c>
      <c r="HX8" s="2">
        <f t="shared" si="34"/>
        <v>40</v>
      </c>
      <c r="HY8" s="2">
        <f t="shared" si="34"/>
        <v>20</v>
      </c>
      <c r="HZ8" s="3">
        <f t="shared" si="71"/>
        <v>0</v>
      </c>
      <c r="IA8" s="3">
        <f t="shared" si="35"/>
        <v>0</v>
      </c>
      <c r="IB8" s="3">
        <f t="shared" si="35"/>
        <v>0</v>
      </c>
      <c r="IC8" s="3">
        <f t="shared" si="35"/>
        <v>0</v>
      </c>
      <c r="ID8" s="3">
        <f t="shared" si="35"/>
        <v>0</v>
      </c>
      <c r="IE8" s="3">
        <f t="shared" si="35"/>
        <v>0</v>
      </c>
      <c r="IF8" s="3">
        <f t="shared" si="35"/>
        <v>0</v>
      </c>
      <c r="IG8" s="3">
        <f t="shared" si="35"/>
        <v>0</v>
      </c>
      <c r="IH8" s="2">
        <f t="shared" si="72"/>
        <v>10</v>
      </c>
      <c r="II8" s="2">
        <f t="shared" si="36"/>
        <v>10</v>
      </c>
      <c r="IJ8" s="2">
        <f t="shared" si="36"/>
        <v>10</v>
      </c>
      <c r="IK8" s="2">
        <f t="shared" si="36"/>
        <v>40</v>
      </c>
      <c r="IL8" s="2">
        <f t="shared" si="36"/>
        <v>40</v>
      </c>
      <c r="IM8" s="2">
        <f t="shared" si="36"/>
        <v>40</v>
      </c>
      <c r="IN8" s="2">
        <f t="shared" si="36"/>
        <v>40</v>
      </c>
      <c r="IO8" s="2">
        <f t="shared" si="36"/>
        <v>20</v>
      </c>
      <c r="IP8" s="3">
        <f t="shared" si="73"/>
        <v>0</v>
      </c>
      <c r="IQ8" s="3">
        <f t="shared" si="37"/>
        <v>0</v>
      </c>
      <c r="IR8" s="3">
        <f t="shared" si="37"/>
        <v>0</v>
      </c>
      <c r="IS8" s="3">
        <f t="shared" si="37"/>
        <v>0</v>
      </c>
      <c r="IT8" s="3">
        <f t="shared" si="37"/>
        <v>0</v>
      </c>
      <c r="IU8" s="3">
        <f t="shared" si="37"/>
        <v>0</v>
      </c>
      <c r="IV8" s="3">
        <f t="shared" si="37"/>
        <v>0</v>
      </c>
      <c r="IW8" s="3">
        <f t="shared" si="37"/>
        <v>0</v>
      </c>
    </row>
    <row r="9" spans="1:257" x14ac:dyDescent="0.2">
      <c r="A9" s="1">
        <v>3</v>
      </c>
      <c r="B9" s="2">
        <f>'Demand Stage 2'!B8</f>
        <v>10</v>
      </c>
      <c r="C9" s="2">
        <f>'Demand Stage 2'!C8</f>
        <v>10</v>
      </c>
      <c r="D9" s="2">
        <f>'Demand Stage 2'!D8</f>
        <v>10</v>
      </c>
      <c r="E9" s="2">
        <f>'Demand Stage 2'!E8</f>
        <v>40</v>
      </c>
      <c r="F9" s="2">
        <f>'Demand Stage 2'!F8</f>
        <v>40</v>
      </c>
      <c r="G9" s="2">
        <f>'Demand Stage 2'!G8</f>
        <v>40</v>
      </c>
      <c r="H9" s="2">
        <f>'Demand Stage 2'!H8</f>
        <v>40</v>
      </c>
      <c r="I9" s="2">
        <f>'Demand Stage 2'!I8</f>
        <v>20</v>
      </c>
      <c r="J9" s="3">
        <f>'Demand Stage 2'!J8</f>
        <v>0</v>
      </c>
      <c r="K9" s="3">
        <f>'Demand Stage 2'!K8</f>
        <v>0</v>
      </c>
      <c r="L9" s="3">
        <f>'Demand Stage 2'!L8</f>
        <v>0</v>
      </c>
      <c r="M9" s="3">
        <f>'Demand Stage 2'!M8</f>
        <v>0</v>
      </c>
      <c r="N9" s="3">
        <f>'Demand Stage 2'!N8</f>
        <v>0</v>
      </c>
      <c r="O9" s="3">
        <f>'Demand Stage 2'!O8</f>
        <v>0</v>
      </c>
      <c r="P9" s="3">
        <f>'Demand Stage 2'!P8</f>
        <v>0</v>
      </c>
      <c r="Q9" s="3">
        <f>'Demand Stage 2'!Q8</f>
        <v>0</v>
      </c>
      <c r="R9" s="2">
        <f>'Demand Stage 2'!B8</f>
        <v>10</v>
      </c>
      <c r="S9" s="2">
        <f>'Demand Stage 2'!C8</f>
        <v>10</v>
      </c>
      <c r="T9" s="2">
        <f>'Demand Stage 2'!D8</f>
        <v>10</v>
      </c>
      <c r="U9" s="2">
        <f>'Demand Stage 2'!E8</f>
        <v>40</v>
      </c>
      <c r="V9" s="2">
        <f>'Demand Stage 2'!F8</f>
        <v>40</v>
      </c>
      <c r="W9" s="2">
        <f>'Demand Stage 2'!G8</f>
        <v>40</v>
      </c>
      <c r="X9" s="2">
        <f>'Demand Stage 2'!H8</f>
        <v>40</v>
      </c>
      <c r="Y9" s="2">
        <f>'Demand Stage 2'!I8</f>
        <v>20</v>
      </c>
      <c r="Z9" s="3">
        <f>'Demand Stage 2'!J8</f>
        <v>0</v>
      </c>
      <c r="AA9" s="3">
        <f>'Demand Stage 2'!K8</f>
        <v>0</v>
      </c>
      <c r="AB9" s="3">
        <f>'Demand Stage 2'!L8</f>
        <v>0</v>
      </c>
      <c r="AC9" s="3">
        <f>'Demand Stage 2'!M8</f>
        <v>0</v>
      </c>
      <c r="AD9" s="3">
        <f>'Demand Stage 2'!N8</f>
        <v>0</v>
      </c>
      <c r="AE9" s="3">
        <f>'Demand Stage 2'!O8</f>
        <v>0</v>
      </c>
      <c r="AF9" s="3">
        <f>'Demand Stage 2'!P8</f>
        <v>0</v>
      </c>
      <c r="AG9" s="3">
        <f>'Demand Stage 2'!Q8</f>
        <v>0</v>
      </c>
      <c r="AH9" s="2">
        <f>'Demand Stage 2'!B8</f>
        <v>10</v>
      </c>
      <c r="AI9" s="2">
        <f>'Demand Stage 2'!C8</f>
        <v>10</v>
      </c>
      <c r="AJ9" s="2">
        <f>'Demand Stage 2'!D8</f>
        <v>10</v>
      </c>
      <c r="AK9" s="2">
        <f>'Demand Stage 2'!E8</f>
        <v>40</v>
      </c>
      <c r="AL9" s="2">
        <f>'Demand Stage 2'!F8</f>
        <v>40</v>
      </c>
      <c r="AM9" s="2">
        <f>'Demand Stage 2'!G8</f>
        <v>40</v>
      </c>
      <c r="AN9" s="2">
        <f>'Demand Stage 2'!H8</f>
        <v>40</v>
      </c>
      <c r="AO9" s="2">
        <f>'Demand Stage 2'!I8</f>
        <v>20</v>
      </c>
      <c r="AP9" s="3">
        <f>'Demand Stage 2'!J8</f>
        <v>0</v>
      </c>
      <c r="AQ9" s="3">
        <f>'Demand Stage 2'!K8</f>
        <v>0</v>
      </c>
      <c r="AR9" s="3">
        <f>'Demand Stage 2'!L8</f>
        <v>0</v>
      </c>
      <c r="AS9" s="3">
        <f>'Demand Stage 2'!M8</f>
        <v>0</v>
      </c>
      <c r="AT9" s="3">
        <f>'Demand Stage 2'!N8</f>
        <v>0</v>
      </c>
      <c r="AU9" s="3">
        <f>'Demand Stage 2'!O8</f>
        <v>0</v>
      </c>
      <c r="AV9" s="3">
        <f>'Demand Stage 2'!P8</f>
        <v>0</v>
      </c>
      <c r="AW9" s="3">
        <f>'Demand Stage 2'!Q8</f>
        <v>0</v>
      </c>
      <c r="AX9" s="2">
        <f>'Demand Stage 2'!B8</f>
        <v>10</v>
      </c>
      <c r="AY9" s="2">
        <f>'Demand Stage 2'!C8</f>
        <v>10</v>
      </c>
      <c r="AZ9" s="2">
        <f>'Demand Stage 2'!D8</f>
        <v>10</v>
      </c>
      <c r="BA9" s="2">
        <f>'Demand Stage 2'!E8</f>
        <v>40</v>
      </c>
      <c r="BB9" s="2">
        <f>'Demand Stage 2'!F8</f>
        <v>40</v>
      </c>
      <c r="BC9" s="2">
        <f>'Demand Stage 2'!G8</f>
        <v>40</v>
      </c>
      <c r="BD9" s="2">
        <f>'Demand Stage 2'!H8</f>
        <v>40</v>
      </c>
      <c r="BE9" s="2">
        <f>'Demand Stage 2'!I8</f>
        <v>20</v>
      </c>
      <c r="BF9" s="3">
        <f>'Demand Stage 2'!J8</f>
        <v>0</v>
      </c>
      <c r="BG9" s="3">
        <f>'Demand Stage 2'!K8</f>
        <v>0</v>
      </c>
      <c r="BH9" s="3">
        <f>'Demand Stage 2'!L8</f>
        <v>0</v>
      </c>
      <c r="BI9" s="3">
        <f>'Demand Stage 2'!M8</f>
        <v>0</v>
      </c>
      <c r="BJ9" s="3">
        <f>'Demand Stage 2'!N8</f>
        <v>0</v>
      </c>
      <c r="BK9" s="3">
        <f>'Demand Stage 2'!O8</f>
        <v>0</v>
      </c>
      <c r="BL9" s="3">
        <f>'Demand Stage 2'!P8</f>
        <v>0</v>
      </c>
      <c r="BM9" s="3">
        <f>'Demand Stage 2'!Q8</f>
        <v>0</v>
      </c>
      <c r="BN9" s="2">
        <f>'Demand Stage 2'!R8</f>
        <v>10</v>
      </c>
      <c r="BO9" s="2">
        <f>'Demand Stage 2'!S8</f>
        <v>10</v>
      </c>
      <c r="BP9" s="2">
        <f>'Demand Stage 2'!T8</f>
        <v>10</v>
      </c>
      <c r="BQ9" s="2">
        <f>'Demand Stage 2'!U8</f>
        <v>40</v>
      </c>
      <c r="BR9" s="2">
        <f>'Demand Stage 2'!V8</f>
        <v>40</v>
      </c>
      <c r="BS9" s="2">
        <f>'Demand Stage 2'!W8</f>
        <v>40</v>
      </c>
      <c r="BT9" s="2">
        <f>'Demand Stage 2'!X8</f>
        <v>40</v>
      </c>
      <c r="BU9" s="2">
        <f>'Demand Stage 2'!Y8</f>
        <v>20</v>
      </c>
      <c r="BV9" s="3">
        <f>'Demand Stage 2'!Z8</f>
        <v>0</v>
      </c>
      <c r="BW9" s="3">
        <f>'Demand Stage 2'!AA8</f>
        <v>0</v>
      </c>
      <c r="BX9" s="3">
        <f>'Demand Stage 2'!AB8</f>
        <v>0</v>
      </c>
      <c r="BY9" s="3">
        <f>'Demand Stage 2'!AC8</f>
        <v>0</v>
      </c>
      <c r="BZ9" s="3">
        <f>'Demand Stage 2'!AD8</f>
        <v>0</v>
      </c>
      <c r="CA9" s="3">
        <f>'Demand Stage 2'!AE8</f>
        <v>0</v>
      </c>
      <c r="CB9" s="3">
        <f>'Demand Stage 2'!AF8</f>
        <v>0</v>
      </c>
      <c r="CC9" s="3">
        <f>'Demand Stage 2'!AG8</f>
        <v>0</v>
      </c>
      <c r="CD9" s="2">
        <f t="shared" si="38"/>
        <v>10</v>
      </c>
      <c r="CE9" s="2">
        <f t="shared" si="14"/>
        <v>10</v>
      </c>
      <c r="CF9" s="2">
        <f t="shared" si="14"/>
        <v>10</v>
      </c>
      <c r="CG9" s="2">
        <f t="shared" si="14"/>
        <v>40</v>
      </c>
      <c r="CH9" s="2">
        <f t="shared" si="14"/>
        <v>40</v>
      </c>
      <c r="CI9" s="2">
        <f t="shared" si="14"/>
        <v>40</v>
      </c>
      <c r="CJ9" s="2">
        <f t="shared" si="14"/>
        <v>40</v>
      </c>
      <c r="CK9" s="2">
        <f t="shared" si="14"/>
        <v>20</v>
      </c>
      <c r="CL9" s="3">
        <f t="shared" si="39"/>
        <v>0</v>
      </c>
      <c r="CM9" s="3">
        <f t="shared" si="15"/>
        <v>0</v>
      </c>
      <c r="CN9" s="3">
        <f t="shared" si="15"/>
        <v>0</v>
      </c>
      <c r="CO9" s="3">
        <f t="shared" si="15"/>
        <v>0</v>
      </c>
      <c r="CP9" s="3">
        <f t="shared" si="15"/>
        <v>0</v>
      </c>
      <c r="CQ9" s="3">
        <f t="shared" si="15"/>
        <v>0</v>
      </c>
      <c r="CR9" s="3">
        <f t="shared" si="15"/>
        <v>0</v>
      </c>
      <c r="CS9" s="3">
        <f t="shared" si="15"/>
        <v>0</v>
      </c>
      <c r="CT9" s="2">
        <f t="shared" si="74"/>
        <v>10</v>
      </c>
      <c r="CU9" s="2">
        <f t="shared" si="16"/>
        <v>10</v>
      </c>
      <c r="CV9" s="2">
        <f t="shared" si="16"/>
        <v>10</v>
      </c>
      <c r="CW9" s="2">
        <f t="shared" si="16"/>
        <v>40</v>
      </c>
      <c r="CX9" s="2">
        <f t="shared" si="16"/>
        <v>40</v>
      </c>
      <c r="CY9" s="2">
        <f t="shared" si="16"/>
        <v>40</v>
      </c>
      <c r="CZ9" s="2">
        <f t="shared" si="16"/>
        <v>40</v>
      </c>
      <c r="DA9" s="2">
        <f t="shared" si="16"/>
        <v>20</v>
      </c>
      <c r="DB9" s="3">
        <f>CL9</f>
        <v>0</v>
      </c>
      <c r="DC9" s="3">
        <f t="shared" si="17"/>
        <v>0</v>
      </c>
      <c r="DD9" s="3">
        <f t="shared" si="18"/>
        <v>0</v>
      </c>
      <c r="DE9" s="3">
        <f t="shared" si="19"/>
        <v>0</v>
      </c>
      <c r="DF9" s="3">
        <f t="shared" si="20"/>
        <v>0</v>
      </c>
      <c r="DG9" s="3">
        <f t="shared" si="21"/>
        <v>0</v>
      </c>
      <c r="DH9" s="3">
        <f t="shared" si="22"/>
        <v>0</v>
      </c>
      <c r="DI9" s="3">
        <f t="shared" si="23"/>
        <v>0</v>
      </c>
      <c r="DJ9" s="2">
        <f t="shared" si="40"/>
        <v>10</v>
      </c>
      <c r="DK9" s="2">
        <f t="shared" si="24"/>
        <v>10</v>
      </c>
      <c r="DL9" s="2">
        <f t="shared" si="24"/>
        <v>10</v>
      </c>
      <c r="DM9" s="2">
        <f t="shared" si="24"/>
        <v>40</v>
      </c>
      <c r="DN9" s="2">
        <f t="shared" si="24"/>
        <v>40</v>
      </c>
      <c r="DO9" s="2">
        <f t="shared" si="24"/>
        <v>40</v>
      </c>
      <c r="DP9" s="2">
        <f t="shared" si="24"/>
        <v>40</v>
      </c>
      <c r="DQ9" s="2">
        <f t="shared" si="24"/>
        <v>20</v>
      </c>
      <c r="DR9" s="3">
        <f t="shared" si="41"/>
        <v>0</v>
      </c>
      <c r="DS9" s="3">
        <f t="shared" si="42"/>
        <v>0</v>
      </c>
      <c r="DT9" s="3">
        <f t="shared" si="43"/>
        <v>0</v>
      </c>
      <c r="DU9" s="3">
        <f t="shared" si="44"/>
        <v>0</v>
      </c>
      <c r="DV9" s="3">
        <f t="shared" si="45"/>
        <v>0</v>
      </c>
      <c r="DW9" s="3">
        <f t="shared" si="46"/>
        <v>0</v>
      </c>
      <c r="DX9" s="3">
        <f t="shared" si="47"/>
        <v>0</v>
      </c>
      <c r="DY9" s="3">
        <f t="shared" si="48"/>
        <v>0</v>
      </c>
      <c r="DZ9" s="2">
        <f>'Demand Stage 2'!AH8</f>
        <v>10</v>
      </c>
      <c r="EA9" s="2">
        <f>'Demand Stage 2'!AI8</f>
        <v>10</v>
      </c>
      <c r="EB9" s="2">
        <f>'Demand Stage 2'!AJ8</f>
        <v>10</v>
      </c>
      <c r="EC9" s="2">
        <f>'Demand Stage 2'!AK8</f>
        <v>40</v>
      </c>
      <c r="ED9" s="2">
        <f>'Demand Stage 2'!AL8</f>
        <v>40</v>
      </c>
      <c r="EE9" s="2">
        <f>'Demand Stage 2'!AM8</f>
        <v>40</v>
      </c>
      <c r="EF9" s="2">
        <f>'Demand Stage 2'!AN8</f>
        <v>40</v>
      </c>
      <c r="EG9" s="2">
        <f>'Demand Stage 2'!AO8</f>
        <v>20</v>
      </c>
      <c r="EH9" s="3">
        <f>'Demand Stage 2'!AP8</f>
        <v>0</v>
      </c>
      <c r="EI9" s="3">
        <f>'Demand Stage 2'!AQ8</f>
        <v>0</v>
      </c>
      <c r="EJ9" s="3">
        <f>'Demand Stage 2'!AR8</f>
        <v>0</v>
      </c>
      <c r="EK9" s="3">
        <f>'Demand Stage 2'!AS8</f>
        <v>0</v>
      </c>
      <c r="EL9" s="3">
        <f>'Demand Stage 2'!AT8</f>
        <v>0</v>
      </c>
      <c r="EM9" s="3">
        <f>'Demand Stage 2'!AU8</f>
        <v>0</v>
      </c>
      <c r="EN9" s="3">
        <f>'Demand Stage 2'!AV8</f>
        <v>0</v>
      </c>
      <c r="EO9" s="3">
        <f>'Demand Stage 2'!AW8</f>
        <v>0</v>
      </c>
      <c r="EP9" s="2">
        <f t="shared" si="49"/>
        <v>10</v>
      </c>
      <c r="EQ9" s="2">
        <f t="shared" si="26"/>
        <v>10</v>
      </c>
      <c r="ER9" s="2">
        <f t="shared" si="26"/>
        <v>10</v>
      </c>
      <c r="ES9" s="2">
        <f t="shared" si="26"/>
        <v>40</v>
      </c>
      <c r="ET9" s="2">
        <f t="shared" si="26"/>
        <v>40</v>
      </c>
      <c r="EU9" s="2">
        <f t="shared" si="26"/>
        <v>40</v>
      </c>
      <c r="EV9" s="2">
        <f t="shared" si="26"/>
        <v>40</v>
      </c>
      <c r="EW9" s="2">
        <f t="shared" si="26"/>
        <v>20</v>
      </c>
      <c r="EX9" s="3">
        <f t="shared" si="50"/>
        <v>0</v>
      </c>
      <c r="EY9" s="3">
        <f t="shared" si="27"/>
        <v>0</v>
      </c>
      <c r="EZ9" s="3">
        <f t="shared" si="27"/>
        <v>0</v>
      </c>
      <c r="FA9" s="3">
        <f t="shared" si="27"/>
        <v>0</v>
      </c>
      <c r="FB9" s="3">
        <f t="shared" si="27"/>
        <v>0</v>
      </c>
      <c r="FC9" s="3">
        <f t="shared" si="27"/>
        <v>0</v>
      </c>
      <c r="FD9" s="3">
        <f t="shared" si="27"/>
        <v>0</v>
      </c>
      <c r="FE9" s="3">
        <f t="shared" si="27"/>
        <v>0</v>
      </c>
      <c r="FF9" s="2">
        <f t="shared" si="51"/>
        <v>10</v>
      </c>
      <c r="FG9" s="2">
        <f t="shared" si="28"/>
        <v>10</v>
      </c>
      <c r="FH9" s="2">
        <f t="shared" si="28"/>
        <v>10</v>
      </c>
      <c r="FI9" s="2">
        <f t="shared" si="28"/>
        <v>40</v>
      </c>
      <c r="FJ9" s="2">
        <f t="shared" si="28"/>
        <v>40</v>
      </c>
      <c r="FK9" s="2">
        <f t="shared" si="28"/>
        <v>40</v>
      </c>
      <c r="FL9" s="2">
        <f t="shared" si="28"/>
        <v>40</v>
      </c>
      <c r="FM9" s="2">
        <f t="shared" si="28"/>
        <v>20</v>
      </c>
      <c r="FN9" s="3">
        <f t="shared" si="52"/>
        <v>0</v>
      </c>
      <c r="FO9" s="3">
        <f t="shared" si="53"/>
        <v>0</v>
      </c>
      <c r="FP9" s="3">
        <f t="shared" si="54"/>
        <v>0</v>
      </c>
      <c r="FQ9" s="3">
        <f t="shared" si="55"/>
        <v>0</v>
      </c>
      <c r="FR9" s="3">
        <f t="shared" si="56"/>
        <v>0</v>
      </c>
      <c r="FS9" s="3">
        <f t="shared" si="57"/>
        <v>0</v>
      </c>
      <c r="FT9" s="3">
        <f t="shared" si="58"/>
        <v>0</v>
      </c>
      <c r="FU9" s="3">
        <f t="shared" si="59"/>
        <v>0</v>
      </c>
      <c r="FV9" s="2">
        <f t="shared" si="60"/>
        <v>10</v>
      </c>
      <c r="FW9" s="2">
        <f t="shared" si="30"/>
        <v>10</v>
      </c>
      <c r="FX9" s="2">
        <f t="shared" si="30"/>
        <v>10</v>
      </c>
      <c r="FY9" s="2">
        <f t="shared" si="30"/>
        <v>40</v>
      </c>
      <c r="FZ9" s="2">
        <f t="shared" si="30"/>
        <v>40</v>
      </c>
      <c r="GA9" s="2">
        <f t="shared" si="30"/>
        <v>40</v>
      </c>
      <c r="GB9" s="2">
        <f t="shared" si="30"/>
        <v>40</v>
      </c>
      <c r="GC9" s="2">
        <f t="shared" si="30"/>
        <v>20</v>
      </c>
      <c r="GD9" s="3">
        <f t="shared" si="61"/>
        <v>0</v>
      </c>
      <c r="GE9" s="3">
        <f t="shared" si="31"/>
        <v>0</v>
      </c>
      <c r="GF9" s="3">
        <f t="shared" si="31"/>
        <v>0</v>
      </c>
      <c r="GG9" s="3">
        <f t="shared" si="31"/>
        <v>0</v>
      </c>
      <c r="GH9" s="3">
        <f t="shared" si="31"/>
        <v>0</v>
      </c>
      <c r="GI9" s="3">
        <f t="shared" si="31"/>
        <v>0</v>
      </c>
      <c r="GJ9" s="3">
        <f t="shared" si="31"/>
        <v>0</v>
      </c>
      <c r="GK9" s="3">
        <f t="shared" si="31"/>
        <v>0</v>
      </c>
      <c r="GL9" s="2">
        <f>'Demand Stage 2'!AX8</f>
        <v>10</v>
      </c>
      <c r="GM9" s="2">
        <f>'Demand Stage 2'!AY8</f>
        <v>10</v>
      </c>
      <c r="GN9" s="2">
        <f>'Demand Stage 2'!AZ8</f>
        <v>10</v>
      </c>
      <c r="GO9" s="2">
        <f>'Demand Stage 2'!BA8</f>
        <v>40</v>
      </c>
      <c r="GP9" s="2">
        <f>'Demand Stage 2'!BB8</f>
        <v>40</v>
      </c>
      <c r="GQ9" s="2">
        <f>'Demand Stage 2'!BC8</f>
        <v>40</v>
      </c>
      <c r="GR9" s="2">
        <f>'Demand Stage 2'!BD8</f>
        <v>40</v>
      </c>
      <c r="GS9" s="2">
        <f>'Demand Stage 2'!BE8</f>
        <v>20</v>
      </c>
      <c r="GT9" s="3">
        <f>'Demand Stage 2'!BF8</f>
        <v>0</v>
      </c>
      <c r="GU9" s="3">
        <f>'Demand Stage 2'!BG8</f>
        <v>0</v>
      </c>
      <c r="GV9" s="3">
        <f>'Demand Stage 2'!BH8</f>
        <v>0</v>
      </c>
      <c r="GW9" s="3">
        <f>'Demand Stage 2'!BI8</f>
        <v>0</v>
      </c>
      <c r="GX9" s="3">
        <f>'Demand Stage 2'!BJ8</f>
        <v>0</v>
      </c>
      <c r="GY9" s="3">
        <f>'Demand Stage 2'!BK8</f>
        <v>0</v>
      </c>
      <c r="GZ9" s="3">
        <f>'Demand Stage 2'!BL8</f>
        <v>0</v>
      </c>
      <c r="HA9" s="3">
        <f>'Demand Stage 2'!BM8</f>
        <v>0</v>
      </c>
      <c r="HB9" s="2">
        <f t="shared" si="75"/>
        <v>10</v>
      </c>
      <c r="HC9" s="2">
        <f t="shared" si="32"/>
        <v>10</v>
      </c>
      <c r="HD9" s="2">
        <f t="shared" si="32"/>
        <v>10</v>
      </c>
      <c r="HE9" s="2">
        <f t="shared" si="32"/>
        <v>40</v>
      </c>
      <c r="HF9" s="2">
        <f t="shared" si="32"/>
        <v>40</v>
      </c>
      <c r="HG9" s="2">
        <f t="shared" si="32"/>
        <v>40</v>
      </c>
      <c r="HH9" s="2">
        <f t="shared" si="32"/>
        <v>40</v>
      </c>
      <c r="HI9" s="2">
        <f t="shared" si="32"/>
        <v>20</v>
      </c>
      <c r="HJ9" s="3">
        <f t="shared" si="62"/>
        <v>0</v>
      </c>
      <c r="HK9" s="3">
        <f t="shared" si="63"/>
        <v>0</v>
      </c>
      <c r="HL9" s="3">
        <f t="shared" si="64"/>
        <v>0</v>
      </c>
      <c r="HM9" s="3">
        <f t="shared" si="65"/>
        <v>0</v>
      </c>
      <c r="HN9" s="3">
        <f t="shared" si="66"/>
        <v>0</v>
      </c>
      <c r="HO9" s="3">
        <f t="shared" si="67"/>
        <v>0</v>
      </c>
      <c r="HP9" s="3">
        <f t="shared" si="68"/>
        <v>0</v>
      </c>
      <c r="HQ9" s="3">
        <f t="shared" si="69"/>
        <v>0</v>
      </c>
      <c r="HR9" s="2">
        <f t="shared" si="70"/>
        <v>10</v>
      </c>
      <c r="HS9" s="2">
        <f t="shared" si="34"/>
        <v>10</v>
      </c>
      <c r="HT9" s="2">
        <f t="shared" si="34"/>
        <v>10</v>
      </c>
      <c r="HU9" s="2">
        <f t="shared" si="34"/>
        <v>40</v>
      </c>
      <c r="HV9" s="2">
        <f t="shared" si="34"/>
        <v>40</v>
      </c>
      <c r="HW9" s="2">
        <f t="shared" si="34"/>
        <v>40</v>
      </c>
      <c r="HX9" s="2">
        <f t="shared" si="34"/>
        <v>40</v>
      </c>
      <c r="HY9" s="2">
        <f t="shared" si="34"/>
        <v>20</v>
      </c>
      <c r="HZ9" s="3">
        <f t="shared" si="71"/>
        <v>0</v>
      </c>
      <c r="IA9" s="3">
        <f t="shared" si="35"/>
        <v>0</v>
      </c>
      <c r="IB9" s="3">
        <f t="shared" si="35"/>
        <v>0</v>
      </c>
      <c r="IC9" s="3">
        <f t="shared" si="35"/>
        <v>0</v>
      </c>
      <c r="ID9" s="3">
        <f t="shared" si="35"/>
        <v>0</v>
      </c>
      <c r="IE9" s="3">
        <f t="shared" si="35"/>
        <v>0</v>
      </c>
      <c r="IF9" s="3">
        <f t="shared" si="35"/>
        <v>0</v>
      </c>
      <c r="IG9" s="3">
        <f t="shared" si="35"/>
        <v>0</v>
      </c>
      <c r="IH9" s="2">
        <f t="shared" si="72"/>
        <v>10</v>
      </c>
      <c r="II9" s="2">
        <f t="shared" si="36"/>
        <v>10</v>
      </c>
      <c r="IJ9" s="2">
        <f t="shared" si="36"/>
        <v>10</v>
      </c>
      <c r="IK9" s="2">
        <f t="shared" si="36"/>
        <v>40</v>
      </c>
      <c r="IL9" s="2">
        <f t="shared" si="36"/>
        <v>40</v>
      </c>
      <c r="IM9" s="2">
        <f t="shared" si="36"/>
        <v>40</v>
      </c>
      <c r="IN9" s="2">
        <f t="shared" si="36"/>
        <v>40</v>
      </c>
      <c r="IO9" s="2">
        <f t="shared" si="36"/>
        <v>20</v>
      </c>
      <c r="IP9" s="3">
        <f t="shared" si="73"/>
        <v>0</v>
      </c>
      <c r="IQ9" s="3">
        <f t="shared" si="37"/>
        <v>0</v>
      </c>
      <c r="IR9" s="3">
        <f t="shared" si="37"/>
        <v>0</v>
      </c>
      <c r="IS9" s="3">
        <f t="shared" si="37"/>
        <v>0</v>
      </c>
      <c r="IT9" s="3">
        <f t="shared" si="37"/>
        <v>0</v>
      </c>
      <c r="IU9" s="3">
        <f t="shared" si="37"/>
        <v>0</v>
      </c>
      <c r="IV9" s="3">
        <f t="shared" si="37"/>
        <v>0</v>
      </c>
      <c r="IW9" s="3">
        <f t="shared" si="37"/>
        <v>0</v>
      </c>
    </row>
    <row r="10" spans="1:257" x14ac:dyDescent="0.2">
      <c r="A10" s="1">
        <v>4</v>
      </c>
      <c r="B10" s="2">
        <f>'Demand Stage 2'!B9</f>
        <v>10</v>
      </c>
      <c r="C10" s="2">
        <f>'Demand Stage 2'!C9</f>
        <v>10</v>
      </c>
      <c r="D10" s="2">
        <f>'Demand Stage 2'!D9</f>
        <v>10</v>
      </c>
      <c r="E10" s="2">
        <f>'Demand Stage 2'!E9</f>
        <v>50</v>
      </c>
      <c r="F10" s="2">
        <f>'Demand Stage 2'!F9</f>
        <v>50</v>
      </c>
      <c r="G10" s="2">
        <f>'Demand Stage 2'!G9</f>
        <v>40</v>
      </c>
      <c r="H10" s="2">
        <f>'Demand Stage 2'!H9</f>
        <v>50</v>
      </c>
      <c r="I10" s="2">
        <f>'Demand Stage 2'!I9</f>
        <v>20</v>
      </c>
      <c r="J10" s="3"/>
      <c r="K10" s="3"/>
      <c r="L10" s="3"/>
      <c r="M10" s="3"/>
      <c r="N10" s="3"/>
      <c r="O10" s="3"/>
      <c r="P10" s="3"/>
      <c r="Q10" s="3"/>
      <c r="R10" s="2">
        <f>'Demand Stage 2'!B9</f>
        <v>10</v>
      </c>
      <c r="S10" s="2">
        <f>'Demand Stage 2'!C9</f>
        <v>10</v>
      </c>
      <c r="T10" s="2">
        <f>'Demand Stage 2'!D9</f>
        <v>10</v>
      </c>
      <c r="U10" s="2">
        <f>'Demand Stage 2'!E9</f>
        <v>50</v>
      </c>
      <c r="V10" s="2">
        <f>'Demand Stage 2'!F9</f>
        <v>50</v>
      </c>
      <c r="W10" s="2">
        <f>'Demand Stage 2'!G9</f>
        <v>40</v>
      </c>
      <c r="X10" s="2">
        <f>'Demand Stage 2'!H9</f>
        <v>50</v>
      </c>
      <c r="Y10" s="2">
        <f>'Demand Stage 2'!I9</f>
        <v>20</v>
      </c>
      <c r="Z10" s="3"/>
      <c r="AA10" s="3"/>
      <c r="AB10" s="3"/>
      <c r="AC10" s="3"/>
      <c r="AD10" s="3"/>
      <c r="AE10" s="3"/>
      <c r="AF10" s="3"/>
      <c r="AG10" s="3"/>
      <c r="AH10" s="2">
        <f>'Demand Stage 2'!B9</f>
        <v>10</v>
      </c>
      <c r="AI10" s="2">
        <f>'Demand Stage 2'!C9</f>
        <v>10</v>
      </c>
      <c r="AJ10" s="2">
        <f>'Demand Stage 2'!D9</f>
        <v>10</v>
      </c>
      <c r="AK10" s="2">
        <f>'Demand Stage 2'!E9</f>
        <v>50</v>
      </c>
      <c r="AL10" s="2">
        <f>'Demand Stage 2'!F9</f>
        <v>50</v>
      </c>
      <c r="AM10" s="2">
        <f>'Demand Stage 2'!G9</f>
        <v>40</v>
      </c>
      <c r="AN10" s="2">
        <f>'Demand Stage 2'!H9</f>
        <v>50</v>
      </c>
      <c r="AO10" s="2">
        <f>'Demand Stage 2'!I9</f>
        <v>20</v>
      </c>
      <c r="AP10" s="3"/>
      <c r="AQ10" s="3"/>
      <c r="AR10" s="3"/>
      <c r="AS10" s="3"/>
      <c r="AT10" s="3"/>
      <c r="AU10" s="3"/>
      <c r="AV10" s="3"/>
      <c r="AW10" s="3"/>
      <c r="AX10" s="2">
        <f>'Demand Stage 2'!B9</f>
        <v>10</v>
      </c>
      <c r="AY10" s="2">
        <f>'Demand Stage 2'!C9</f>
        <v>10</v>
      </c>
      <c r="AZ10" s="2">
        <f>'Demand Stage 2'!D9</f>
        <v>10</v>
      </c>
      <c r="BA10" s="2">
        <f>'Demand Stage 2'!E9</f>
        <v>50</v>
      </c>
      <c r="BB10" s="2">
        <f>'Demand Stage 2'!F9</f>
        <v>50</v>
      </c>
      <c r="BC10" s="2">
        <f>'Demand Stage 2'!G9</f>
        <v>40</v>
      </c>
      <c r="BD10" s="2">
        <f>'Demand Stage 2'!H9</f>
        <v>50</v>
      </c>
      <c r="BE10" s="2">
        <f>'Demand Stage 2'!I9</f>
        <v>20</v>
      </c>
      <c r="BF10" s="3"/>
      <c r="BG10" s="3"/>
      <c r="BH10" s="3"/>
      <c r="BI10" s="3"/>
      <c r="BJ10" s="3"/>
      <c r="BK10" s="3"/>
      <c r="BL10" s="3"/>
      <c r="BM10" s="3"/>
      <c r="BN10" s="2">
        <f>'Demand Stage 2'!R9</f>
        <v>10</v>
      </c>
      <c r="BO10" s="2">
        <f>'Demand Stage 2'!S9</f>
        <v>10</v>
      </c>
      <c r="BP10" s="2">
        <f>'Demand Stage 2'!T9</f>
        <v>10</v>
      </c>
      <c r="BQ10" s="2">
        <f>'Demand Stage 2'!U9</f>
        <v>50</v>
      </c>
      <c r="BR10" s="2">
        <f>'Demand Stage 2'!V9</f>
        <v>50</v>
      </c>
      <c r="BS10" s="2">
        <f>'Demand Stage 2'!W9</f>
        <v>40</v>
      </c>
      <c r="BT10" s="2">
        <f>'Demand Stage 2'!X9</f>
        <v>40</v>
      </c>
      <c r="BU10" s="2">
        <f>'Demand Stage 2'!Y9</f>
        <v>20</v>
      </c>
      <c r="BV10" s="3"/>
      <c r="BW10" s="3"/>
      <c r="BX10" s="3"/>
      <c r="BY10" s="3"/>
      <c r="BZ10" s="3"/>
      <c r="CA10" s="3"/>
      <c r="CB10" s="3"/>
      <c r="CC10" s="3"/>
      <c r="CD10" s="2">
        <f t="shared" si="38"/>
        <v>10</v>
      </c>
      <c r="CE10" s="2">
        <f t="shared" si="14"/>
        <v>10</v>
      </c>
      <c r="CF10" s="2">
        <f t="shared" si="14"/>
        <v>10</v>
      </c>
      <c r="CG10" s="2">
        <f t="shared" si="14"/>
        <v>50</v>
      </c>
      <c r="CH10" s="2">
        <f t="shared" si="14"/>
        <v>50</v>
      </c>
      <c r="CI10" s="2">
        <f t="shared" si="14"/>
        <v>40</v>
      </c>
      <c r="CJ10" s="2">
        <f t="shared" si="14"/>
        <v>40</v>
      </c>
      <c r="CK10" s="2">
        <f t="shared" si="14"/>
        <v>20</v>
      </c>
      <c r="CL10" s="3"/>
      <c r="CM10" s="3"/>
      <c r="CN10" s="3"/>
      <c r="CO10" s="3"/>
      <c r="CP10" s="3"/>
      <c r="CQ10" s="3"/>
      <c r="CR10" s="3"/>
      <c r="CS10" s="3"/>
      <c r="CT10" s="2">
        <f t="shared" si="74"/>
        <v>10</v>
      </c>
      <c r="CU10" s="2">
        <f t="shared" si="16"/>
        <v>10</v>
      </c>
      <c r="CV10" s="2">
        <f t="shared" si="16"/>
        <v>10</v>
      </c>
      <c r="CW10" s="2">
        <f t="shared" si="16"/>
        <v>50</v>
      </c>
      <c r="CX10" s="2">
        <f t="shared" si="16"/>
        <v>50</v>
      </c>
      <c r="CY10" s="2">
        <f t="shared" si="16"/>
        <v>40</v>
      </c>
      <c r="CZ10" s="2">
        <f t="shared" si="16"/>
        <v>40</v>
      </c>
      <c r="DA10" s="2">
        <f t="shared" si="16"/>
        <v>20</v>
      </c>
      <c r="DB10" s="3"/>
      <c r="DC10" s="3"/>
      <c r="DD10" s="3"/>
      <c r="DE10" s="3"/>
      <c r="DF10" s="3"/>
      <c r="DG10" s="3"/>
      <c r="DH10" s="3"/>
      <c r="DI10" s="3"/>
      <c r="DJ10" s="2">
        <f t="shared" si="40"/>
        <v>10</v>
      </c>
      <c r="DK10" s="2">
        <f t="shared" si="24"/>
        <v>10</v>
      </c>
      <c r="DL10" s="2">
        <f t="shared" si="24"/>
        <v>10</v>
      </c>
      <c r="DM10" s="2">
        <f t="shared" si="24"/>
        <v>50</v>
      </c>
      <c r="DN10" s="2">
        <f t="shared" si="24"/>
        <v>50</v>
      </c>
      <c r="DO10" s="2">
        <f t="shared" si="24"/>
        <v>40</v>
      </c>
      <c r="DP10" s="2">
        <f t="shared" si="24"/>
        <v>40</v>
      </c>
      <c r="DQ10" s="2">
        <f t="shared" si="24"/>
        <v>20</v>
      </c>
      <c r="DR10" s="3"/>
      <c r="DS10" s="3"/>
      <c r="DT10" s="3"/>
      <c r="DU10" s="3"/>
      <c r="DV10" s="3"/>
      <c r="DW10" s="3"/>
      <c r="DX10" s="3"/>
      <c r="DY10" s="3"/>
      <c r="DZ10" s="2">
        <f>'Demand Stage 2'!AH9</f>
        <v>10</v>
      </c>
      <c r="EA10" s="2">
        <f>'Demand Stage 2'!AI9</f>
        <v>10</v>
      </c>
      <c r="EB10" s="2">
        <f>'Demand Stage 2'!AJ9</f>
        <v>10</v>
      </c>
      <c r="EC10" s="2">
        <f>'Demand Stage 2'!AK9</f>
        <v>40</v>
      </c>
      <c r="ED10" s="2">
        <f>'Demand Stage 2'!AL9</f>
        <v>40</v>
      </c>
      <c r="EE10" s="2">
        <f>'Demand Stage 2'!AM9</f>
        <v>40</v>
      </c>
      <c r="EF10" s="2">
        <f>'Demand Stage 2'!AN9</f>
        <v>50</v>
      </c>
      <c r="EG10" s="2">
        <f>'Demand Stage 2'!AO9</f>
        <v>20</v>
      </c>
      <c r="EH10" s="3"/>
      <c r="EI10" s="3"/>
      <c r="EJ10" s="3"/>
      <c r="EK10" s="3"/>
      <c r="EL10" s="3"/>
      <c r="EM10" s="3"/>
      <c r="EN10" s="3"/>
      <c r="EO10" s="3"/>
      <c r="EP10" s="2">
        <f t="shared" si="49"/>
        <v>10</v>
      </c>
      <c r="EQ10" s="2">
        <f t="shared" si="26"/>
        <v>10</v>
      </c>
      <c r="ER10" s="2">
        <f t="shared" si="26"/>
        <v>10</v>
      </c>
      <c r="ES10" s="2">
        <f t="shared" si="26"/>
        <v>40</v>
      </c>
      <c r="ET10" s="2">
        <f t="shared" si="26"/>
        <v>40</v>
      </c>
      <c r="EU10" s="2">
        <f t="shared" si="26"/>
        <v>40</v>
      </c>
      <c r="EV10" s="2">
        <f t="shared" si="26"/>
        <v>50</v>
      </c>
      <c r="EW10" s="2">
        <f t="shared" si="26"/>
        <v>20</v>
      </c>
      <c r="EX10" s="3"/>
      <c r="EY10" s="3"/>
      <c r="EZ10" s="3"/>
      <c r="FA10" s="3"/>
      <c r="FB10" s="3"/>
      <c r="FC10" s="3"/>
      <c r="FD10" s="3"/>
      <c r="FE10" s="3"/>
      <c r="FF10" s="2">
        <f t="shared" si="51"/>
        <v>10</v>
      </c>
      <c r="FG10" s="2">
        <f t="shared" si="28"/>
        <v>10</v>
      </c>
      <c r="FH10" s="2">
        <f t="shared" si="28"/>
        <v>10</v>
      </c>
      <c r="FI10" s="2">
        <f t="shared" si="28"/>
        <v>40</v>
      </c>
      <c r="FJ10" s="2">
        <f t="shared" si="28"/>
        <v>40</v>
      </c>
      <c r="FK10" s="2">
        <f t="shared" si="28"/>
        <v>40</v>
      </c>
      <c r="FL10" s="2">
        <f t="shared" si="28"/>
        <v>50</v>
      </c>
      <c r="FM10" s="2">
        <f t="shared" si="28"/>
        <v>20</v>
      </c>
      <c r="FN10" s="3"/>
      <c r="FO10" s="3"/>
      <c r="FP10" s="3"/>
      <c r="FQ10" s="3"/>
      <c r="FR10" s="3"/>
      <c r="FS10" s="3"/>
      <c r="FT10" s="3"/>
      <c r="FU10" s="3"/>
      <c r="FV10" s="2">
        <f t="shared" si="60"/>
        <v>10</v>
      </c>
      <c r="FW10" s="2">
        <f t="shared" si="30"/>
        <v>10</v>
      </c>
      <c r="FX10" s="2">
        <f t="shared" si="30"/>
        <v>10</v>
      </c>
      <c r="FY10" s="2">
        <f t="shared" si="30"/>
        <v>40</v>
      </c>
      <c r="FZ10" s="2">
        <f t="shared" si="30"/>
        <v>40</v>
      </c>
      <c r="GA10" s="2">
        <f t="shared" si="30"/>
        <v>40</v>
      </c>
      <c r="GB10" s="2">
        <f t="shared" si="30"/>
        <v>50</v>
      </c>
      <c r="GC10" s="2">
        <f t="shared" si="30"/>
        <v>20</v>
      </c>
      <c r="GD10" s="3"/>
      <c r="GE10" s="3"/>
      <c r="GF10" s="3"/>
      <c r="GG10" s="3"/>
      <c r="GH10" s="3"/>
      <c r="GI10" s="3"/>
      <c r="GJ10" s="3"/>
      <c r="GK10" s="3"/>
      <c r="GL10" s="2">
        <f>'Demand Stage 2'!AX9</f>
        <v>10</v>
      </c>
      <c r="GM10" s="2">
        <f>'Demand Stage 2'!AY9</f>
        <v>10</v>
      </c>
      <c r="GN10" s="2">
        <f>'Demand Stage 2'!AZ9</f>
        <v>10</v>
      </c>
      <c r="GO10" s="2">
        <f>'Demand Stage 2'!BA9</f>
        <v>40</v>
      </c>
      <c r="GP10" s="2">
        <f>'Demand Stage 2'!BB9</f>
        <v>40</v>
      </c>
      <c r="GQ10" s="2">
        <f>'Demand Stage 2'!BC9</f>
        <v>40</v>
      </c>
      <c r="GR10" s="2">
        <f>'Demand Stage 2'!BD9</f>
        <v>40</v>
      </c>
      <c r="GS10" s="2">
        <f>'Demand Stage 2'!BE9</f>
        <v>20</v>
      </c>
      <c r="GT10" s="3"/>
      <c r="GU10" s="3"/>
      <c r="GV10" s="3"/>
      <c r="GW10" s="3"/>
      <c r="GX10" s="3"/>
      <c r="GY10" s="3"/>
      <c r="GZ10" s="3"/>
      <c r="HA10" s="3"/>
      <c r="HB10" s="2">
        <f t="shared" si="75"/>
        <v>10</v>
      </c>
      <c r="HC10" s="2">
        <f t="shared" si="32"/>
        <v>10</v>
      </c>
      <c r="HD10" s="2">
        <f t="shared" si="32"/>
        <v>10</v>
      </c>
      <c r="HE10" s="2">
        <f t="shared" si="32"/>
        <v>40</v>
      </c>
      <c r="HF10" s="2">
        <f t="shared" si="32"/>
        <v>40</v>
      </c>
      <c r="HG10" s="2">
        <f t="shared" si="32"/>
        <v>40</v>
      </c>
      <c r="HH10" s="2">
        <f t="shared" si="32"/>
        <v>40</v>
      </c>
      <c r="HI10" s="2">
        <f t="shared" si="32"/>
        <v>20</v>
      </c>
      <c r="HJ10" s="3"/>
      <c r="HK10" s="3"/>
      <c r="HL10" s="3"/>
      <c r="HM10" s="3"/>
      <c r="HN10" s="3"/>
      <c r="HO10" s="3"/>
      <c r="HP10" s="3"/>
      <c r="HQ10" s="3"/>
      <c r="HR10" s="2">
        <f t="shared" si="70"/>
        <v>10</v>
      </c>
      <c r="HS10" s="2">
        <f t="shared" si="34"/>
        <v>10</v>
      </c>
      <c r="HT10" s="2">
        <f t="shared" si="34"/>
        <v>10</v>
      </c>
      <c r="HU10" s="2">
        <f t="shared" si="34"/>
        <v>40</v>
      </c>
      <c r="HV10" s="2">
        <f t="shared" si="34"/>
        <v>40</v>
      </c>
      <c r="HW10" s="2">
        <f t="shared" si="34"/>
        <v>40</v>
      </c>
      <c r="HX10" s="2">
        <f t="shared" si="34"/>
        <v>40</v>
      </c>
      <c r="HY10" s="2">
        <f t="shared" si="34"/>
        <v>20</v>
      </c>
      <c r="HZ10" s="3"/>
      <c r="IA10" s="3"/>
      <c r="IB10" s="3"/>
      <c r="IC10" s="3"/>
      <c r="ID10" s="3"/>
      <c r="IE10" s="3"/>
      <c r="IF10" s="3"/>
      <c r="IG10" s="3"/>
      <c r="IH10" s="2">
        <f t="shared" si="72"/>
        <v>10</v>
      </c>
      <c r="II10" s="2">
        <f t="shared" si="36"/>
        <v>10</v>
      </c>
      <c r="IJ10" s="2">
        <f t="shared" si="36"/>
        <v>10</v>
      </c>
      <c r="IK10" s="2">
        <f t="shared" si="36"/>
        <v>40</v>
      </c>
      <c r="IL10" s="2">
        <f t="shared" si="36"/>
        <v>40</v>
      </c>
      <c r="IM10" s="2">
        <f t="shared" si="36"/>
        <v>40</v>
      </c>
      <c r="IN10" s="2">
        <f t="shared" si="36"/>
        <v>40</v>
      </c>
      <c r="IO10" s="2">
        <f t="shared" si="36"/>
        <v>20</v>
      </c>
      <c r="IP10" s="3"/>
      <c r="IQ10" s="3"/>
      <c r="IR10" s="3"/>
      <c r="IS10" s="3"/>
      <c r="IT10" s="3"/>
      <c r="IU10" s="3"/>
      <c r="IV10" s="3"/>
      <c r="IW10" s="3"/>
    </row>
    <row r="11" spans="1:257" x14ac:dyDescent="0.2">
      <c r="A11" s="1">
        <v>5</v>
      </c>
      <c r="B11" s="2">
        <f>'Demand Stage 2'!B10</f>
        <v>10</v>
      </c>
      <c r="C11" s="2">
        <f>'Demand Stage 2'!C10</f>
        <v>10</v>
      </c>
      <c r="D11" s="2">
        <f>'Demand Stage 2'!D10</f>
        <v>10</v>
      </c>
      <c r="E11" s="2">
        <f>'Demand Stage 2'!E10</f>
        <v>40</v>
      </c>
      <c r="F11" s="2">
        <f>'Demand Stage 2'!F10</f>
        <v>40</v>
      </c>
      <c r="G11" s="2">
        <f>'Demand Stage 2'!G10</f>
        <v>40</v>
      </c>
      <c r="H11" s="2">
        <f>'Demand Stage 2'!H10</f>
        <v>35</v>
      </c>
      <c r="I11" s="2">
        <f>'Demand Stage 2'!I10</f>
        <v>20</v>
      </c>
      <c r="J11" s="3"/>
      <c r="K11" s="3"/>
      <c r="L11" s="3"/>
      <c r="M11" s="3"/>
      <c r="N11" s="3"/>
      <c r="O11" s="3"/>
      <c r="P11" s="3"/>
      <c r="Q11" s="3"/>
      <c r="R11" s="2">
        <f>'Demand Stage 2'!B10</f>
        <v>10</v>
      </c>
      <c r="S11" s="2">
        <f>'Demand Stage 2'!C10</f>
        <v>10</v>
      </c>
      <c r="T11" s="2">
        <f>'Demand Stage 2'!D10</f>
        <v>10</v>
      </c>
      <c r="U11" s="2">
        <f>'Demand Stage 2'!E10</f>
        <v>40</v>
      </c>
      <c r="V11" s="2">
        <f>'Demand Stage 2'!F10</f>
        <v>40</v>
      </c>
      <c r="W11" s="2">
        <f>'Demand Stage 2'!G10</f>
        <v>40</v>
      </c>
      <c r="X11" s="2">
        <f>'Demand Stage 2'!H10</f>
        <v>35</v>
      </c>
      <c r="Y11" s="2">
        <f>'Demand Stage 2'!I10</f>
        <v>20</v>
      </c>
      <c r="Z11" s="3"/>
      <c r="AA11" s="3"/>
      <c r="AB11" s="3"/>
      <c r="AC11" s="3"/>
      <c r="AD11" s="3"/>
      <c r="AE11" s="3"/>
      <c r="AF11" s="3"/>
      <c r="AG11" s="3"/>
      <c r="AH11" s="2">
        <f>'Demand Stage 2'!B10</f>
        <v>10</v>
      </c>
      <c r="AI11" s="2">
        <f>'Demand Stage 2'!C10</f>
        <v>10</v>
      </c>
      <c r="AJ11" s="2">
        <f>'Demand Stage 2'!D10</f>
        <v>10</v>
      </c>
      <c r="AK11" s="2">
        <f>'Demand Stage 2'!E10</f>
        <v>40</v>
      </c>
      <c r="AL11" s="2">
        <f>'Demand Stage 2'!F10</f>
        <v>40</v>
      </c>
      <c r="AM11" s="2">
        <f>'Demand Stage 2'!G10</f>
        <v>40</v>
      </c>
      <c r="AN11" s="2">
        <f>'Demand Stage 2'!H10</f>
        <v>35</v>
      </c>
      <c r="AO11" s="2">
        <f>'Demand Stage 2'!I10</f>
        <v>20</v>
      </c>
      <c r="AP11" s="3"/>
      <c r="AQ11" s="3"/>
      <c r="AR11" s="3"/>
      <c r="AS11" s="3"/>
      <c r="AT11" s="3"/>
      <c r="AU11" s="3"/>
      <c r="AV11" s="3"/>
      <c r="AW11" s="3"/>
      <c r="AX11" s="2">
        <f>'Demand Stage 2'!B10</f>
        <v>10</v>
      </c>
      <c r="AY11" s="2">
        <f>'Demand Stage 2'!C10</f>
        <v>10</v>
      </c>
      <c r="AZ11" s="2">
        <f>'Demand Stage 2'!D10</f>
        <v>10</v>
      </c>
      <c r="BA11" s="2">
        <f>'Demand Stage 2'!E10</f>
        <v>40</v>
      </c>
      <c r="BB11" s="2">
        <f>'Demand Stage 2'!F10</f>
        <v>40</v>
      </c>
      <c r="BC11" s="2">
        <f>'Demand Stage 2'!G10</f>
        <v>40</v>
      </c>
      <c r="BD11" s="2">
        <f>'Demand Stage 2'!H10</f>
        <v>35</v>
      </c>
      <c r="BE11" s="2">
        <f>'Demand Stage 2'!I10</f>
        <v>20</v>
      </c>
      <c r="BF11" s="3"/>
      <c r="BG11" s="3"/>
      <c r="BH11" s="3"/>
      <c r="BI11" s="3"/>
      <c r="BJ11" s="3"/>
      <c r="BK11" s="3"/>
      <c r="BL11" s="3"/>
      <c r="BM11" s="3"/>
      <c r="BN11" s="2">
        <f>'Demand Stage 2'!R10</f>
        <v>10</v>
      </c>
      <c r="BO11" s="2">
        <f>'Demand Stage 2'!S10</f>
        <v>10</v>
      </c>
      <c r="BP11" s="2">
        <f>'Demand Stage 2'!T10</f>
        <v>10</v>
      </c>
      <c r="BQ11" s="2">
        <f>'Demand Stage 2'!U10</f>
        <v>40</v>
      </c>
      <c r="BR11" s="2">
        <f>'Demand Stage 2'!V10</f>
        <v>40</v>
      </c>
      <c r="BS11" s="2">
        <f>'Demand Stage 2'!W10</f>
        <v>40</v>
      </c>
      <c r="BT11" s="2">
        <f>'Demand Stage 2'!X10</f>
        <v>35</v>
      </c>
      <c r="BU11" s="2">
        <f>'Demand Stage 2'!Y10</f>
        <v>20</v>
      </c>
      <c r="BV11" s="3"/>
      <c r="BW11" s="3"/>
      <c r="BX11" s="3"/>
      <c r="BY11" s="3"/>
      <c r="BZ11" s="3"/>
      <c r="CA11" s="3"/>
      <c r="CB11" s="3"/>
      <c r="CC11" s="3"/>
      <c r="CD11" s="2">
        <f t="shared" si="38"/>
        <v>10</v>
      </c>
      <c r="CE11" s="2">
        <f t="shared" si="14"/>
        <v>10</v>
      </c>
      <c r="CF11" s="2">
        <f t="shared" si="14"/>
        <v>10</v>
      </c>
      <c r="CG11" s="2">
        <f t="shared" si="14"/>
        <v>40</v>
      </c>
      <c r="CH11" s="2">
        <f t="shared" si="14"/>
        <v>40</v>
      </c>
      <c r="CI11" s="2">
        <f t="shared" si="14"/>
        <v>40</v>
      </c>
      <c r="CJ11" s="2">
        <f t="shared" si="14"/>
        <v>35</v>
      </c>
      <c r="CK11" s="2">
        <f t="shared" si="14"/>
        <v>20</v>
      </c>
      <c r="CL11" s="3"/>
      <c r="CM11" s="3"/>
      <c r="CN11" s="3"/>
      <c r="CO11" s="3"/>
      <c r="CP11" s="3"/>
      <c r="CQ11" s="3"/>
      <c r="CR11" s="3"/>
      <c r="CS11" s="3"/>
      <c r="CT11" s="2">
        <f t="shared" si="74"/>
        <v>10</v>
      </c>
      <c r="CU11" s="2">
        <f t="shared" si="16"/>
        <v>10</v>
      </c>
      <c r="CV11" s="2">
        <f t="shared" si="16"/>
        <v>10</v>
      </c>
      <c r="CW11" s="2">
        <f t="shared" si="16"/>
        <v>40</v>
      </c>
      <c r="CX11" s="2">
        <f t="shared" si="16"/>
        <v>40</v>
      </c>
      <c r="CY11" s="2">
        <f t="shared" si="16"/>
        <v>40</v>
      </c>
      <c r="CZ11" s="2">
        <f t="shared" si="16"/>
        <v>35</v>
      </c>
      <c r="DA11" s="2">
        <f t="shared" si="16"/>
        <v>20</v>
      </c>
      <c r="DB11" s="3"/>
      <c r="DC11" s="3"/>
      <c r="DD11" s="3"/>
      <c r="DE11" s="3"/>
      <c r="DF11" s="3"/>
      <c r="DG11" s="3"/>
      <c r="DH11" s="3"/>
      <c r="DI11" s="3"/>
      <c r="DJ11" s="2">
        <f t="shared" si="40"/>
        <v>10</v>
      </c>
      <c r="DK11" s="2">
        <f t="shared" si="24"/>
        <v>10</v>
      </c>
      <c r="DL11" s="2">
        <f t="shared" si="24"/>
        <v>10</v>
      </c>
      <c r="DM11" s="2">
        <f t="shared" si="24"/>
        <v>40</v>
      </c>
      <c r="DN11" s="2">
        <f t="shared" si="24"/>
        <v>40</v>
      </c>
      <c r="DO11" s="2">
        <f t="shared" si="24"/>
        <v>40</v>
      </c>
      <c r="DP11" s="2">
        <f t="shared" si="24"/>
        <v>35</v>
      </c>
      <c r="DQ11" s="2">
        <f t="shared" si="24"/>
        <v>20</v>
      </c>
      <c r="DR11" s="3"/>
      <c r="DS11" s="3"/>
      <c r="DT11" s="3"/>
      <c r="DU11" s="3"/>
      <c r="DV11" s="3"/>
      <c r="DW11" s="3"/>
      <c r="DX11" s="3"/>
      <c r="DY11" s="3"/>
      <c r="DZ11" s="2">
        <f>'Demand Stage 2'!AH10</f>
        <v>10</v>
      </c>
      <c r="EA11" s="2">
        <f>'Demand Stage 2'!AI10</f>
        <v>10</v>
      </c>
      <c r="EB11" s="2">
        <f>'Demand Stage 2'!AJ10</f>
        <v>10</v>
      </c>
      <c r="EC11" s="2">
        <f>'Demand Stage 2'!AK10</f>
        <v>40</v>
      </c>
      <c r="ED11" s="2">
        <f>'Demand Stage 2'!AL10</f>
        <v>40</v>
      </c>
      <c r="EE11" s="2">
        <f>'Demand Stage 2'!AM10</f>
        <v>40</v>
      </c>
      <c r="EF11" s="2">
        <f>'Demand Stage 2'!AN10</f>
        <v>35</v>
      </c>
      <c r="EG11" s="2">
        <f>'Demand Stage 2'!AO10</f>
        <v>20</v>
      </c>
      <c r="EH11" s="3"/>
      <c r="EI11" s="3"/>
      <c r="EJ11" s="3"/>
      <c r="EK11" s="3"/>
      <c r="EL11" s="3"/>
      <c r="EM11" s="3"/>
      <c r="EN11" s="3"/>
      <c r="EO11" s="3"/>
      <c r="EP11" s="2">
        <f t="shared" si="49"/>
        <v>10</v>
      </c>
      <c r="EQ11" s="2">
        <f t="shared" si="26"/>
        <v>10</v>
      </c>
      <c r="ER11" s="2">
        <f t="shared" si="26"/>
        <v>10</v>
      </c>
      <c r="ES11" s="2">
        <f t="shared" si="26"/>
        <v>40</v>
      </c>
      <c r="ET11" s="2">
        <f t="shared" si="26"/>
        <v>40</v>
      </c>
      <c r="EU11" s="2">
        <f t="shared" si="26"/>
        <v>40</v>
      </c>
      <c r="EV11" s="2">
        <f t="shared" si="26"/>
        <v>35</v>
      </c>
      <c r="EW11" s="2">
        <f t="shared" si="26"/>
        <v>20</v>
      </c>
      <c r="EX11" s="3"/>
      <c r="EY11" s="3"/>
      <c r="EZ11" s="3"/>
      <c r="FA11" s="3"/>
      <c r="FB11" s="3"/>
      <c r="FC11" s="3"/>
      <c r="FD11" s="3"/>
      <c r="FE11" s="3"/>
      <c r="FF11" s="2">
        <f t="shared" si="51"/>
        <v>10</v>
      </c>
      <c r="FG11" s="2">
        <f t="shared" si="28"/>
        <v>10</v>
      </c>
      <c r="FH11" s="2">
        <f t="shared" si="28"/>
        <v>10</v>
      </c>
      <c r="FI11" s="2">
        <f t="shared" si="28"/>
        <v>40</v>
      </c>
      <c r="FJ11" s="2">
        <f t="shared" si="28"/>
        <v>40</v>
      </c>
      <c r="FK11" s="2">
        <f t="shared" si="28"/>
        <v>40</v>
      </c>
      <c r="FL11" s="2">
        <f t="shared" si="28"/>
        <v>35</v>
      </c>
      <c r="FM11" s="2">
        <f t="shared" si="28"/>
        <v>20</v>
      </c>
      <c r="FN11" s="3"/>
      <c r="FO11" s="3"/>
      <c r="FP11" s="3"/>
      <c r="FQ11" s="3"/>
      <c r="FR11" s="3"/>
      <c r="FS11" s="3"/>
      <c r="FT11" s="3"/>
      <c r="FU11" s="3"/>
      <c r="FV11" s="2">
        <f t="shared" si="60"/>
        <v>10</v>
      </c>
      <c r="FW11" s="2">
        <f t="shared" si="30"/>
        <v>10</v>
      </c>
      <c r="FX11" s="2">
        <f t="shared" si="30"/>
        <v>10</v>
      </c>
      <c r="FY11" s="2">
        <f t="shared" si="30"/>
        <v>40</v>
      </c>
      <c r="FZ11" s="2">
        <f t="shared" si="30"/>
        <v>40</v>
      </c>
      <c r="GA11" s="2">
        <f t="shared" si="30"/>
        <v>40</v>
      </c>
      <c r="GB11" s="2">
        <f t="shared" si="30"/>
        <v>35</v>
      </c>
      <c r="GC11" s="2">
        <f t="shared" si="30"/>
        <v>20</v>
      </c>
      <c r="GD11" s="3"/>
      <c r="GE11" s="3"/>
      <c r="GF11" s="3"/>
      <c r="GG11" s="3"/>
      <c r="GH11" s="3"/>
      <c r="GI11" s="3"/>
      <c r="GJ11" s="3"/>
      <c r="GK11" s="3"/>
      <c r="GL11" s="2">
        <f>'Demand Stage 2'!AX10</f>
        <v>10</v>
      </c>
      <c r="GM11" s="2">
        <f>'Demand Stage 2'!AY10</f>
        <v>10</v>
      </c>
      <c r="GN11" s="2">
        <f>'Demand Stage 2'!AZ10</f>
        <v>10</v>
      </c>
      <c r="GO11" s="2">
        <f>'Demand Stage 2'!BA10</f>
        <v>40</v>
      </c>
      <c r="GP11" s="2">
        <f>'Demand Stage 2'!BB10</f>
        <v>40</v>
      </c>
      <c r="GQ11" s="2">
        <f>'Demand Stage 2'!BC10</f>
        <v>40</v>
      </c>
      <c r="GR11" s="2">
        <f>'Demand Stage 2'!BD10</f>
        <v>35</v>
      </c>
      <c r="GS11" s="2">
        <f>'Demand Stage 2'!BE10</f>
        <v>20</v>
      </c>
      <c r="GT11" s="3"/>
      <c r="GU11" s="3"/>
      <c r="GV11" s="3"/>
      <c r="GW11" s="3"/>
      <c r="GX11" s="3"/>
      <c r="GY11" s="3"/>
      <c r="GZ11" s="3"/>
      <c r="HA11" s="3"/>
      <c r="HB11" s="2">
        <f t="shared" si="75"/>
        <v>10</v>
      </c>
      <c r="HC11" s="2">
        <f t="shared" si="32"/>
        <v>10</v>
      </c>
      <c r="HD11" s="2">
        <f t="shared" si="32"/>
        <v>10</v>
      </c>
      <c r="HE11" s="2">
        <f t="shared" si="32"/>
        <v>40</v>
      </c>
      <c r="HF11" s="2">
        <f t="shared" si="32"/>
        <v>40</v>
      </c>
      <c r="HG11" s="2">
        <f t="shared" si="32"/>
        <v>40</v>
      </c>
      <c r="HH11" s="2">
        <f t="shared" si="32"/>
        <v>35</v>
      </c>
      <c r="HI11" s="2">
        <f t="shared" si="32"/>
        <v>20</v>
      </c>
      <c r="HJ11" s="3"/>
      <c r="HK11" s="3"/>
      <c r="HL11" s="3"/>
      <c r="HM11" s="3"/>
      <c r="HN11" s="3"/>
      <c r="HO11" s="3"/>
      <c r="HP11" s="3"/>
      <c r="HQ11" s="3"/>
      <c r="HR11" s="2">
        <f t="shared" si="70"/>
        <v>10</v>
      </c>
      <c r="HS11" s="2">
        <f t="shared" si="34"/>
        <v>10</v>
      </c>
      <c r="HT11" s="2">
        <f t="shared" si="34"/>
        <v>10</v>
      </c>
      <c r="HU11" s="2">
        <f t="shared" si="34"/>
        <v>40</v>
      </c>
      <c r="HV11" s="2">
        <f t="shared" si="34"/>
        <v>40</v>
      </c>
      <c r="HW11" s="2">
        <f t="shared" si="34"/>
        <v>40</v>
      </c>
      <c r="HX11" s="2">
        <f t="shared" si="34"/>
        <v>35</v>
      </c>
      <c r="HY11" s="2">
        <f t="shared" si="34"/>
        <v>20</v>
      </c>
      <c r="HZ11" s="3"/>
      <c r="IA11" s="3"/>
      <c r="IB11" s="3"/>
      <c r="IC11" s="3"/>
      <c r="ID11" s="3"/>
      <c r="IE11" s="3"/>
      <c r="IF11" s="3"/>
      <c r="IG11" s="3"/>
      <c r="IH11" s="2">
        <f t="shared" si="72"/>
        <v>10</v>
      </c>
      <c r="II11" s="2">
        <f t="shared" si="36"/>
        <v>10</v>
      </c>
      <c r="IJ11" s="2">
        <f t="shared" si="36"/>
        <v>10</v>
      </c>
      <c r="IK11" s="2">
        <f t="shared" si="36"/>
        <v>40</v>
      </c>
      <c r="IL11" s="2">
        <f t="shared" si="36"/>
        <v>40</v>
      </c>
      <c r="IM11" s="2">
        <f t="shared" si="36"/>
        <v>40</v>
      </c>
      <c r="IN11" s="2">
        <f t="shared" si="36"/>
        <v>35</v>
      </c>
      <c r="IO11" s="2">
        <f t="shared" si="36"/>
        <v>20</v>
      </c>
      <c r="IP11" s="3"/>
      <c r="IQ11" s="3"/>
      <c r="IR11" s="3"/>
      <c r="IS11" s="3"/>
      <c r="IT11" s="3"/>
      <c r="IU11" s="3"/>
      <c r="IV11" s="3"/>
      <c r="IW11" s="3"/>
    </row>
    <row r="12" spans="1:257" x14ac:dyDescent="0.2">
      <c r="A12" s="1">
        <v>6</v>
      </c>
      <c r="B12" s="2">
        <f>'Demand Stage 2'!B11</f>
        <v>10</v>
      </c>
      <c r="C12" s="2">
        <f>'Demand Stage 2'!C11</f>
        <v>10</v>
      </c>
      <c r="D12" s="2">
        <f>'Demand Stage 2'!D11</f>
        <v>10</v>
      </c>
      <c r="E12" s="2">
        <f>'Demand Stage 2'!E11</f>
        <v>40</v>
      </c>
      <c r="F12" s="2">
        <f>'Demand Stage 2'!F11</f>
        <v>40</v>
      </c>
      <c r="G12" s="2">
        <f>'Demand Stage 2'!G11</f>
        <v>40</v>
      </c>
      <c r="H12" s="2">
        <f>'Demand Stage 2'!H11</f>
        <v>35</v>
      </c>
      <c r="I12" s="2">
        <f>'Demand Stage 2'!I11</f>
        <v>20</v>
      </c>
      <c r="J12" s="3"/>
      <c r="K12" s="3"/>
      <c r="L12" s="3"/>
      <c r="M12" s="3"/>
      <c r="N12" s="3"/>
      <c r="O12" s="3"/>
      <c r="P12" s="3"/>
      <c r="Q12" s="3"/>
      <c r="R12" s="2">
        <f>'Demand Stage 2'!B11</f>
        <v>10</v>
      </c>
      <c r="S12" s="2">
        <f>'Demand Stage 2'!C11</f>
        <v>10</v>
      </c>
      <c r="T12" s="2">
        <f>'Demand Stage 2'!D11</f>
        <v>10</v>
      </c>
      <c r="U12" s="2">
        <f>'Demand Stage 2'!E11</f>
        <v>40</v>
      </c>
      <c r="V12" s="2">
        <f>'Demand Stage 2'!F11</f>
        <v>40</v>
      </c>
      <c r="W12" s="2">
        <f>'Demand Stage 2'!G11</f>
        <v>40</v>
      </c>
      <c r="X12" s="2">
        <f>'Demand Stage 2'!H11</f>
        <v>35</v>
      </c>
      <c r="Y12" s="2">
        <f>'Demand Stage 2'!I11</f>
        <v>20</v>
      </c>
      <c r="Z12" s="3"/>
      <c r="AA12" s="3"/>
      <c r="AB12" s="3"/>
      <c r="AC12" s="3"/>
      <c r="AD12" s="3"/>
      <c r="AE12" s="3"/>
      <c r="AF12" s="3"/>
      <c r="AG12" s="3"/>
      <c r="AH12" s="2">
        <f>'Demand Stage 2'!B11</f>
        <v>10</v>
      </c>
      <c r="AI12" s="2">
        <f>'Demand Stage 2'!C11</f>
        <v>10</v>
      </c>
      <c r="AJ12" s="2">
        <f>'Demand Stage 2'!D11</f>
        <v>10</v>
      </c>
      <c r="AK12" s="2">
        <f>'Demand Stage 2'!E11</f>
        <v>40</v>
      </c>
      <c r="AL12" s="2">
        <f>'Demand Stage 2'!F11</f>
        <v>40</v>
      </c>
      <c r="AM12" s="2">
        <f>'Demand Stage 2'!G11</f>
        <v>40</v>
      </c>
      <c r="AN12" s="2">
        <f>'Demand Stage 2'!H11</f>
        <v>35</v>
      </c>
      <c r="AO12" s="2">
        <f>'Demand Stage 2'!I11</f>
        <v>20</v>
      </c>
      <c r="AP12" s="3"/>
      <c r="AQ12" s="3"/>
      <c r="AR12" s="3"/>
      <c r="AS12" s="3"/>
      <c r="AT12" s="3"/>
      <c r="AU12" s="3"/>
      <c r="AV12" s="3"/>
      <c r="AW12" s="3"/>
      <c r="AX12" s="2">
        <f>'Demand Stage 2'!B11</f>
        <v>10</v>
      </c>
      <c r="AY12" s="2">
        <f>'Demand Stage 2'!C11</f>
        <v>10</v>
      </c>
      <c r="AZ12" s="2">
        <f>'Demand Stage 2'!D11</f>
        <v>10</v>
      </c>
      <c r="BA12" s="2">
        <f>'Demand Stage 2'!E11</f>
        <v>40</v>
      </c>
      <c r="BB12" s="2">
        <f>'Demand Stage 2'!F11</f>
        <v>40</v>
      </c>
      <c r="BC12" s="2">
        <f>'Demand Stage 2'!G11</f>
        <v>40</v>
      </c>
      <c r="BD12" s="2">
        <f>'Demand Stage 2'!H11</f>
        <v>35</v>
      </c>
      <c r="BE12" s="2">
        <f>'Demand Stage 2'!I11</f>
        <v>20</v>
      </c>
      <c r="BF12" s="3"/>
      <c r="BG12" s="3"/>
      <c r="BH12" s="3"/>
      <c r="BI12" s="3"/>
      <c r="BJ12" s="3"/>
      <c r="BK12" s="3"/>
      <c r="BL12" s="3"/>
      <c r="BM12" s="3"/>
      <c r="BN12" s="2">
        <f>'Demand Stage 2'!R11</f>
        <v>10</v>
      </c>
      <c r="BO12" s="2">
        <f>'Demand Stage 2'!S11</f>
        <v>10</v>
      </c>
      <c r="BP12" s="2">
        <f>'Demand Stage 2'!T11</f>
        <v>10</v>
      </c>
      <c r="BQ12" s="2">
        <f>'Demand Stage 2'!U11</f>
        <v>40</v>
      </c>
      <c r="BR12" s="2">
        <f>'Demand Stage 2'!V11</f>
        <v>40</v>
      </c>
      <c r="BS12" s="2">
        <f>'Demand Stage 2'!W11</f>
        <v>40</v>
      </c>
      <c r="BT12" s="2">
        <f>'Demand Stage 2'!X11</f>
        <v>35</v>
      </c>
      <c r="BU12" s="2">
        <f>'Demand Stage 2'!Y11</f>
        <v>20</v>
      </c>
      <c r="BV12" s="3"/>
      <c r="BW12" s="3"/>
      <c r="BX12" s="3"/>
      <c r="BY12" s="3"/>
      <c r="BZ12" s="3"/>
      <c r="CA12" s="3"/>
      <c r="CB12" s="3"/>
      <c r="CC12" s="3"/>
      <c r="CD12" s="2">
        <f t="shared" si="38"/>
        <v>10</v>
      </c>
      <c r="CE12" s="2">
        <f t="shared" si="14"/>
        <v>10</v>
      </c>
      <c r="CF12" s="2">
        <f t="shared" si="14"/>
        <v>10</v>
      </c>
      <c r="CG12" s="2">
        <f t="shared" si="14"/>
        <v>40</v>
      </c>
      <c r="CH12" s="2">
        <f t="shared" si="14"/>
        <v>40</v>
      </c>
      <c r="CI12" s="2">
        <f t="shared" si="14"/>
        <v>40</v>
      </c>
      <c r="CJ12" s="2">
        <f t="shared" si="14"/>
        <v>35</v>
      </c>
      <c r="CK12" s="2">
        <f t="shared" si="14"/>
        <v>20</v>
      </c>
      <c r="CL12" s="3"/>
      <c r="CM12" s="3"/>
      <c r="CN12" s="3"/>
      <c r="CO12" s="3"/>
      <c r="CP12" s="3"/>
      <c r="CQ12" s="3"/>
      <c r="CR12" s="3"/>
      <c r="CS12" s="3"/>
      <c r="CT12" s="2">
        <f t="shared" si="74"/>
        <v>10</v>
      </c>
      <c r="CU12" s="2">
        <f t="shared" si="16"/>
        <v>10</v>
      </c>
      <c r="CV12" s="2">
        <f t="shared" si="16"/>
        <v>10</v>
      </c>
      <c r="CW12" s="2">
        <f t="shared" si="16"/>
        <v>40</v>
      </c>
      <c r="CX12" s="2">
        <f t="shared" si="16"/>
        <v>40</v>
      </c>
      <c r="CY12" s="2">
        <f t="shared" si="16"/>
        <v>40</v>
      </c>
      <c r="CZ12" s="2">
        <f t="shared" si="16"/>
        <v>35</v>
      </c>
      <c r="DA12" s="2">
        <f t="shared" si="16"/>
        <v>20</v>
      </c>
      <c r="DB12" s="3"/>
      <c r="DC12" s="3"/>
      <c r="DD12" s="3"/>
      <c r="DE12" s="3"/>
      <c r="DF12" s="3"/>
      <c r="DG12" s="3"/>
      <c r="DH12" s="3"/>
      <c r="DI12" s="3"/>
      <c r="DJ12" s="2">
        <f t="shared" si="40"/>
        <v>10</v>
      </c>
      <c r="DK12" s="2">
        <f t="shared" si="24"/>
        <v>10</v>
      </c>
      <c r="DL12" s="2">
        <f t="shared" si="24"/>
        <v>10</v>
      </c>
      <c r="DM12" s="2">
        <f t="shared" si="24"/>
        <v>40</v>
      </c>
      <c r="DN12" s="2">
        <f t="shared" si="24"/>
        <v>40</v>
      </c>
      <c r="DO12" s="2">
        <f t="shared" si="24"/>
        <v>40</v>
      </c>
      <c r="DP12" s="2">
        <f t="shared" si="24"/>
        <v>35</v>
      </c>
      <c r="DQ12" s="2">
        <f t="shared" si="24"/>
        <v>20</v>
      </c>
      <c r="DR12" s="3"/>
      <c r="DS12" s="3"/>
      <c r="DT12" s="3"/>
      <c r="DU12" s="3"/>
      <c r="DV12" s="3"/>
      <c r="DW12" s="3"/>
      <c r="DX12" s="3"/>
      <c r="DY12" s="3"/>
      <c r="DZ12" s="2">
        <f>'Demand Stage 2'!AH11</f>
        <v>10</v>
      </c>
      <c r="EA12" s="2">
        <f>'Demand Stage 2'!AI11</f>
        <v>10</v>
      </c>
      <c r="EB12" s="2">
        <f>'Demand Stage 2'!AJ11</f>
        <v>10</v>
      </c>
      <c r="EC12" s="2">
        <f>'Demand Stage 2'!AK11</f>
        <v>40</v>
      </c>
      <c r="ED12" s="2">
        <f>'Demand Stage 2'!AL11</f>
        <v>40</v>
      </c>
      <c r="EE12" s="2">
        <f>'Demand Stage 2'!AM11</f>
        <v>40</v>
      </c>
      <c r="EF12" s="2">
        <f>'Demand Stage 2'!AN11</f>
        <v>35</v>
      </c>
      <c r="EG12" s="2">
        <f>'Demand Stage 2'!AO11</f>
        <v>20</v>
      </c>
      <c r="EH12" s="3"/>
      <c r="EI12" s="3"/>
      <c r="EJ12" s="3"/>
      <c r="EK12" s="3"/>
      <c r="EL12" s="3"/>
      <c r="EM12" s="3"/>
      <c r="EN12" s="3"/>
      <c r="EO12" s="3"/>
      <c r="EP12" s="2">
        <f t="shared" si="49"/>
        <v>10</v>
      </c>
      <c r="EQ12" s="2">
        <f t="shared" si="26"/>
        <v>10</v>
      </c>
      <c r="ER12" s="2">
        <f t="shared" si="26"/>
        <v>10</v>
      </c>
      <c r="ES12" s="2">
        <f t="shared" si="26"/>
        <v>40</v>
      </c>
      <c r="ET12" s="2">
        <f t="shared" si="26"/>
        <v>40</v>
      </c>
      <c r="EU12" s="2">
        <f t="shared" si="26"/>
        <v>40</v>
      </c>
      <c r="EV12" s="2">
        <f t="shared" si="26"/>
        <v>35</v>
      </c>
      <c r="EW12" s="2">
        <f t="shared" si="26"/>
        <v>20</v>
      </c>
      <c r="EX12" s="3"/>
      <c r="EY12" s="3"/>
      <c r="EZ12" s="3"/>
      <c r="FA12" s="3"/>
      <c r="FB12" s="3"/>
      <c r="FC12" s="3"/>
      <c r="FD12" s="3"/>
      <c r="FE12" s="3"/>
      <c r="FF12" s="2">
        <f t="shared" si="51"/>
        <v>10</v>
      </c>
      <c r="FG12" s="2">
        <f t="shared" si="28"/>
        <v>10</v>
      </c>
      <c r="FH12" s="2">
        <f t="shared" si="28"/>
        <v>10</v>
      </c>
      <c r="FI12" s="2">
        <f t="shared" si="28"/>
        <v>40</v>
      </c>
      <c r="FJ12" s="2">
        <f t="shared" si="28"/>
        <v>40</v>
      </c>
      <c r="FK12" s="2">
        <f t="shared" si="28"/>
        <v>40</v>
      </c>
      <c r="FL12" s="2">
        <f t="shared" si="28"/>
        <v>35</v>
      </c>
      <c r="FM12" s="2">
        <f t="shared" si="28"/>
        <v>20</v>
      </c>
      <c r="FN12" s="3"/>
      <c r="FO12" s="3"/>
      <c r="FP12" s="3"/>
      <c r="FQ12" s="3"/>
      <c r="FR12" s="3"/>
      <c r="FS12" s="3"/>
      <c r="FT12" s="3"/>
      <c r="FU12" s="3"/>
      <c r="FV12" s="2">
        <f t="shared" si="60"/>
        <v>10</v>
      </c>
      <c r="FW12" s="2">
        <f t="shared" si="30"/>
        <v>10</v>
      </c>
      <c r="FX12" s="2">
        <f t="shared" si="30"/>
        <v>10</v>
      </c>
      <c r="FY12" s="2">
        <f t="shared" si="30"/>
        <v>40</v>
      </c>
      <c r="FZ12" s="2">
        <f t="shared" si="30"/>
        <v>40</v>
      </c>
      <c r="GA12" s="2">
        <f t="shared" si="30"/>
        <v>40</v>
      </c>
      <c r="GB12" s="2">
        <f t="shared" si="30"/>
        <v>35</v>
      </c>
      <c r="GC12" s="2">
        <f t="shared" si="30"/>
        <v>20</v>
      </c>
      <c r="GD12" s="3"/>
      <c r="GE12" s="3"/>
      <c r="GF12" s="3"/>
      <c r="GG12" s="3"/>
      <c r="GH12" s="3"/>
      <c r="GI12" s="3"/>
      <c r="GJ12" s="3"/>
      <c r="GK12" s="3"/>
      <c r="GL12" s="2">
        <f>'Demand Stage 2'!AX11</f>
        <v>10</v>
      </c>
      <c r="GM12" s="2">
        <f>'Demand Stage 2'!AY11</f>
        <v>10</v>
      </c>
      <c r="GN12" s="2">
        <f>'Demand Stage 2'!AZ11</f>
        <v>10</v>
      </c>
      <c r="GO12" s="2">
        <f>'Demand Stage 2'!BA11</f>
        <v>40</v>
      </c>
      <c r="GP12" s="2">
        <f>'Demand Stage 2'!BB11</f>
        <v>40</v>
      </c>
      <c r="GQ12" s="2">
        <f>'Demand Stage 2'!BC11</f>
        <v>40</v>
      </c>
      <c r="GR12" s="2">
        <f>'Demand Stage 2'!BD11</f>
        <v>35</v>
      </c>
      <c r="GS12" s="2">
        <f>'Demand Stage 2'!BE11</f>
        <v>20</v>
      </c>
      <c r="GT12" s="3"/>
      <c r="GU12" s="3"/>
      <c r="GV12" s="3"/>
      <c r="GW12" s="3"/>
      <c r="GX12" s="3"/>
      <c r="GY12" s="3"/>
      <c r="GZ12" s="3"/>
      <c r="HA12" s="3"/>
      <c r="HB12" s="2">
        <f t="shared" si="75"/>
        <v>10</v>
      </c>
      <c r="HC12" s="2">
        <f t="shared" si="32"/>
        <v>10</v>
      </c>
      <c r="HD12" s="2">
        <f t="shared" si="32"/>
        <v>10</v>
      </c>
      <c r="HE12" s="2">
        <f t="shared" si="32"/>
        <v>40</v>
      </c>
      <c r="HF12" s="2">
        <f t="shared" si="32"/>
        <v>40</v>
      </c>
      <c r="HG12" s="2">
        <f t="shared" si="32"/>
        <v>40</v>
      </c>
      <c r="HH12" s="2">
        <f t="shared" si="32"/>
        <v>35</v>
      </c>
      <c r="HI12" s="2">
        <f t="shared" si="32"/>
        <v>20</v>
      </c>
      <c r="HJ12" s="3"/>
      <c r="HK12" s="3"/>
      <c r="HL12" s="3"/>
      <c r="HM12" s="3"/>
      <c r="HN12" s="3"/>
      <c r="HO12" s="3"/>
      <c r="HP12" s="3"/>
      <c r="HQ12" s="3"/>
      <c r="HR12" s="2">
        <f t="shared" si="70"/>
        <v>10</v>
      </c>
      <c r="HS12" s="2">
        <f t="shared" si="34"/>
        <v>10</v>
      </c>
      <c r="HT12" s="2">
        <f t="shared" si="34"/>
        <v>10</v>
      </c>
      <c r="HU12" s="2">
        <f t="shared" si="34"/>
        <v>40</v>
      </c>
      <c r="HV12" s="2">
        <f t="shared" si="34"/>
        <v>40</v>
      </c>
      <c r="HW12" s="2">
        <f t="shared" si="34"/>
        <v>40</v>
      </c>
      <c r="HX12" s="2">
        <f t="shared" si="34"/>
        <v>35</v>
      </c>
      <c r="HY12" s="2">
        <f t="shared" si="34"/>
        <v>20</v>
      </c>
      <c r="HZ12" s="3"/>
      <c r="IA12" s="3"/>
      <c r="IB12" s="3"/>
      <c r="IC12" s="3"/>
      <c r="ID12" s="3"/>
      <c r="IE12" s="3"/>
      <c r="IF12" s="3"/>
      <c r="IG12" s="3"/>
      <c r="IH12" s="2">
        <f t="shared" si="72"/>
        <v>10</v>
      </c>
      <c r="II12" s="2">
        <f t="shared" si="36"/>
        <v>10</v>
      </c>
      <c r="IJ12" s="2">
        <f t="shared" si="36"/>
        <v>10</v>
      </c>
      <c r="IK12" s="2">
        <f t="shared" si="36"/>
        <v>40</v>
      </c>
      <c r="IL12" s="2">
        <f t="shared" si="36"/>
        <v>40</v>
      </c>
      <c r="IM12" s="2">
        <f t="shared" si="36"/>
        <v>40</v>
      </c>
      <c r="IN12" s="2">
        <f t="shared" si="36"/>
        <v>35</v>
      </c>
      <c r="IO12" s="2">
        <f t="shared" si="36"/>
        <v>20</v>
      </c>
      <c r="IP12" s="3"/>
      <c r="IQ12" s="3"/>
      <c r="IR12" s="3"/>
      <c r="IS12" s="3"/>
      <c r="IT12" s="3"/>
      <c r="IU12" s="3"/>
      <c r="IV12" s="3"/>
      <c r="IW12" s="3"/>
    </row>
    <row r="13" spans="1:257" x14ac:dyDescent="0.2">
      <c r="A13" s="1">
        <v>7</v>
      </c>
      <c r="B13" s="2">
        <f>'Demand Stage 2'!B12</f>
        <v>10</v>
      </c>
      <c r="C13" s="2">
        <f>'Demand Stage 2'!C12</f>
        <v>10</v>
      </c>
      <c r="D13" s="2">
        <f>'Demand Stage 2'!D12</f>
        <v>10</v>
      </c>
      <c r="E13" s="2">
        <f>'Demand Stage 2'!E12</f>
        <v>50</v>
      </c>
      <c r="F13" s="2">
        <f>'Demand Stage 2'!F12</f>
        <v>50</v>
      </c>
      <c r="G13" s="2">
        <f>'Demand Stage 2'!G12</f>
        <v>40</v>
      </c>
      <c r="H13" s="2">
        <f>'Demand Stage 2'!H12</f>
        <v>45</v>
      </c>
      <c r="I13" s="2">
        <f>'Demand Stage 2'!I12</f>
        <v>20</v>
      </c>
      <c r="J13" s="3"/>
      <c r="K13" s="3"/>
      <c r="L13" s="3"/>
      <c r="M13" s="3"/>
      <c r="N13" s="3"/>
      <c r="O13" s="3"/>
      <c r="P13" s="3"/>
      <c r="Q13" s="3"/>
      <c r="R13" s="2">
        <f>'Demand Stage 2'!B12</f>
        <v>10</v>
      </c>
      <c r="S13" s="2">
        <f>'Demand Stage 2'!C12</f>
        <v>10</v>
      </c>
      <c r="T13" s="2">
        <f>'Demand Stage 2'!D12</f>
        <v>10</v>
      </c>
      <c r="U13" s="2">
        <f>'Demand Stage 2'!E12</f>
        <v>50</v>
      </c>
      <c r="V13" s="2">
        <f>'Demand Stage 2'!F12</f>
        <v>50</v>
      </c>
      <c r="W13" s="2">
        <f>'Demand Stage 2'!G12</f>
        <v>40</v>
      </c>
      <c r="X13" s="2">
        <f>'Demand Stage 2'!H12</f>
        <v>45</v>
      </c>
      <c r="Y13" s="2">
        <f>'Demand Stage 2'!I12</f>
        <v>20</v>
      </c>
      <c r="Z13" s="3"/>
      <c r="AA13" s="3"/>
      <c r="AB13" s="3"/>
      <c r="AC13" s="3"/>
      <c r="AD13" s="3"/>
      <c r="AE13" s="3"/>
      <c r="AF13" s="3"/>
      <c r="AG13" s="3"/>
      <c r="AH13" s="2">
        <f>'Demand Stage 2'!B12</f>
        <v>10</v>
      </c>
      <c r="AI13" s="2">
        <f>'Demand Stage 2'!C12</f>
        <v>10</v>
      </c>
      <c r="AJ13" s="2">
        <f>'Demand Stage 2'!D12</f>
        <v>10</v>
      </c>
      <c r="AK13" s="2">
        <f>'Demand Stage 2'!E12</f>
        <v>50</v>
      </c>
      <c r="AL13" s="2">
        <f>'Demand Stage 2'!F12</f>
        <v>50</v>
      </c>
      <c r="AM13" s="2">
        <f>'Demand Stage 2'!G12</f>
        <v>40</v>
      </c>
      <c r="AN13" s="2">
        <f>'Demand Stage 2'!H12</f>
        <v>45</v>
      </c>
      <c r="AO13" s="2">
        <f>'Demand Stage 2'!I12</f>
        <v>20</v>
      </c>
      <c r="AP13" s="3"/>
      <c r="AQ13" s="3"/>
      <c r="AR13" s="3"/>
      <c r="AS13" s="3"/>
      <c r="AT13" s="3"/>
      <c r="AU13" s="3"/>
      <c r="AV13" s="3"/>
      <c r="AW13" s="3"/>
      <c r="AX13" s="2">
        <f>'Demand Stage 2'!B12</f>
        <v>10</v>
      </c>
      <c r="AY13" s="2">
        <f>'Demand Stage 2'!C12</f>
        <v>10</v>
      </c>
      <c r="AZ13" s="2">
        <f>'Demand Stage 2'!D12</f>
        <v>10</v>
      </c>
      <c r="BA13" s="2">
        <f>'Demand Stage 2'!E12</f>
        <v>50</v>
      </c>
      <c r="BB13" s="2">
        <f>'Demand Stage 2'!F12</f>
        <v>50</v>
      </c>
      <c r="BC13" s="2">
        <f>'Demand Stage 2'!G12</f>
        <v>40</v>
      </c>
      <c r="BD13" s="2">
        <f>'Demand Stage 2'!H12</f>
        <v>45</v>
      </c>
      <c r="BE13" s="2">
        <f>'Demand Stage 2'!I12</f>
        <v>20</v>
      </c>
      <c r="BF13" s="3"/>
      <c r="BG13" s="3"/>
      <c r="BH13" s="3"/>
      <c r="BI13" s="3"/>
      <c r="BJ13" s="3"/>
      <c r="BK13" s="3"/>
      <c r="BL13" s="3"/>
      <c r="BM13" s="3"/>
      <c r="BN13" s="2">
        <f>'Demand Stage 2'!R12</f>
        <v>10</v>
      </c>
      <c r="BO13" s="2">
        <f>'Demand Stage 2'!S12</f>
        <v>10</v>
      </c>
      <c r="BP13" s="2">
        <f>'Demand Stage 2'!T12</f>
        <v>10</v>
      </c>
      <c r="BQ13" s="2">
        <f>'Demand Stage 2'!U12</f>
        <v>50</v>
      </c>
      <c r="BR13" s="2">
        <f>'Demand Stage 2'!V12</f>
        <v>50</v>
      </c>
      <c r="BS13" s="2">
        <f>'Demand Stage 2'!W12</f>
        <v>40</v>
      </c>
      <c r="BT13" s="2">
        <f>'Demand Stage 2'!X12</f>
        <v>35</v>
      </c>
      <c r="BU13" s="2">
        <f>'Demand Stage 2'!Y12</f>
        <v>20</v>
      </c>
      <c r="BV13" s="3"/>
      <c r="BW13" s="3"/>
      <c r="BX13" s="3"/>
      <c r="BY13" s="3"/>
      <c r="BZ13" s="3"/>
      <c r="CA13" s="3"/>
      <c r="CB13" s="3"/>
      <c r="CC13" s="3"/>
      <c r="CD13" s="2">
        <f t="shared" si="38"/>
        <v>10</v>
      </c>
      <c r="CE13" s="2">
        <f t="shared" si="14"/>
        <v>10</v>
      </c>
      <c r="CF13" s="2">
        <f t="shared" si="14"/>
        <v>10</v>
      </c>
      <c r="CG13" s="2">
        <f t="shared" si="14"/>
        <v>50</v>
      </c>
      <c r="CH13" s="2">
        <f t="shared" si="14"/>
        <v>50</v>
      </c>
      <c r="CI13" s="2">
        <f t="shared" si="14"/>
        <v>40</v>
      </c>
      <c r="CJ13" s="2">
        <f t="shared" si="14"/>
        <v>35</v>
      </c>
      <c r="CK13" s="2">
        <f t="shared" si="14"/>
        <v>20</v>
      </c>
      <c r="CL13" s="3"/>
      <c r="CM13" s="3"/>
      <c r="CN13" s="3"/>
      <c r="CO13" s="3"/>
      <c r="CP13" s="3"/>
      <c r="CQ13" s="3"/>
      <c r="CR13" s="3"/>
      <c r="CS13" s="3"/>
      <c r="CT13" s="2">
        <f t="shared" si="74"/>
        <v>10</v>
      </c>
      <c r="CU13" s="2">
        <f t="shared" si="16"/>
        <v>10</v>
      </c>
      <c r="CV13" s="2">
        <f t="shared" si="16"/>
        <v>10</v>
      </c>
      <c r="CW13" s="2">
        <f t="shared" si="16"/>
        <v>50</v>
      </c>
      <c r="CX13" s="2">
        <f t="shared" si="16"/>
        <v>50</v>
      </c>
      <c r="CY13" s="2">
        <f t="shared" si="16"/>
        <v>40</v>
      </c>
      <c r="CZ13" s="2">
        <f>CJ13</f>
        <v>35</v>
      </c>
      <c r="DA13" s="2">
        <f t="shared" si="16"/>
        <v>20</v>
      </c>
      <c r="DB13" s="3"/>
      <c r="DC13" s="3"/>
      <c r="DD13" s="3"/>
      <c r="DE13" s="3"/>
      <c r="DF13" s="3"/>
      <c r="DG13" s="3"/>
      <c r="DH13" s="3"/>
      <c r="DI13" s="3"/>
      <c r="DJ13" s="2">
        <f t="shared" si="40"/>
        <v>10</v>
      </c>
      <c r="DK13" s="2">
        <f t="shared" si="24"/>
        <v>10</v>
      </c>
      <c r="DL13" s="2">
        <f t="shared" si="24"/>
        <v>10</v>
      </c>
      <c r="DM13" s="2">
        <f t="shared" si="24"/>
        <v>50</v>
      </c>
      <c r="DN13" s="2">
        <f t="shared" si="24"/>
        <v>50</v>
      </c>
      <c r="DO13" s="2">
        <f t="shared" si="24"/>
        <v>40</v>
      </c>
      <c r="DP13" s="2">
        <f t="shared" si="24"/>
        <v>35</v>
      </c>
      <c r="DQ13" s="2">
        <f t="shared" si="24"/>
        <v>20</v>
      </c>
      <c r="DR13" s="3"/>
      <c r="DS13" s="3"/>
      <c r="DT13" s="3"/>
      <c r="DU13" s="3"/>
      <c r="DV13" s="3"/>
      <c r="DW13" s="3"/>
      <c r="DX13" s="3"/>
      <c r="DY13" s="3"/>
      <c r="DZ13" s="2">
        <f>'Demand Stage 2'!AH12</f>
        <v>10</v>
      </c>
      <c r="EA13" s="2">
        <f>'Demand Stage 2'!AI12</f>
        <v>10</v>
      </c>
      <c r="EB13" s="2">
        <f>'Demand Stage 2'!AJ12</f>
        <v>10</v>
      </c>
      <c r="EC13" s="2">
        <f>'Demand Stage 2'!AK12</f>
        <v>40</v>
      </c>
      <c r="ED13" s="2">
        <f>'Demand Stage 2'!AL12</f>
        <v>40</v>
      </c>
      <c r="EE13" s="2">
        <f>'Demand Stage 2'!AM12</f>
        <v>40</v>
      </c>
      <c r="EF13" s="2">
        <f>'Demand Stage 2'!AN12</f>
        <v>45</v>
      </c>
      <c r="EG13" s="2">
        <f>'Demand Stage 2'!AO12</f>
        <v>20</v>
      </c>
      <c r="EH13" s="3"/>
      <c r="EI13" s="3"/>
      <c r="EJ13" s="3"/>
      <c r="EK13" s="3"/>
      <c r="EL13" s="3"/>
      <c r="EM13" s="3"/>
      <c r="EN13" s="3"/>
      <c r="EO13" s="3"/>
      <c r="EP13" s="2">
        <f t="shared" si="49"/>
        <v>10</v>
      </c>
      <c r="EQ13" s="2">
        <f t="shared" si="26"/>
        <v>10</v>
      </c>
      <c r="ER13" s="2">
        <f t="shared" si="26"/>
        <v>10</v>
      </c>
      <c r="ES13" s="2">
        <f t="shared" si="26"/>
        <v>40</v>
      </c>
      <c r="ET13" s="2">
        <f t="shared" si="26"/>
        <v>40</v>
      </c>
      <c r="EU13" s="2">
        <f t="shared" si="26"/>
        <v>40</v>
      </c>
      <c r="EV13" s="2">
        <f t="shared" si="26"/>
        <v>45</v>
      </c>
      <c r="EW13" s="2">
        <f t="shared" si="26"/>
        <v>20</v>
      </c>
      <c r="EX13" s="3"/>
      <c r="EY13" s="3"/>
      <c r="EZ13" s="3"/>
      <c r="FA13" s="3"/>
      <c r="FB13" s="3"/>
      <c r="FC13" s="3"/>
      <c r="FD13" s="3"/>
      <c r="FE13" s="3"/>
      <c r="FF13" s="2">
        <f t="shared" si="51"/>
        <v>10</v>
      </c>
      <c r="FG13" s="2">
        <f t="shared" si="28"/>
        <v>10</v>
      </c>
      <c r="FH13" s="2">
        <f t="shared" si="28"/>
        <v>10</v>
      </c>
      <c r="FI13" s="2">
        <f t="shared" si="28"/>
        <v>40</v>
      </c>
      <c r="FJ13" s="2">
        <f t="shared" si="28"/>
        <v>40</v>
      </c>
      <c r="FK13" s="2">
        <f t="shared" si="28"/>
        <v>40</v>
      </c>
      <c r="FL13" s="2">
        <f t="shared" si="28"/>
        <v>45</v>
      </c>
      <c r="FM13" s="2">
        <f t="shared" si="28"/>
        <v>20</v>
      </c>
      <c r="FN13" s="3"/>
      <c r="FO13" s="3"/>
      <c r="FP13" s="3"/>
      <c r="FQ13" s="3"/>
      <c r="FR13" s="3"/>
      <c r="FS13" s="3"/>
      <c r="FT13" s="3"/>
      <c r="FU13" s="3"/>
      <c r="FV13" s="2">
        <f t="shared" si="60"/>
        <v>10</v>
      </c>
      <c r="FW13" s="2">
        <f t="shared" si="30"/>
        <v>10</v>
      </c>
      <c r="FX13" s="2">
        <f t="shared" si="30"/>
        <v>10</v>
      </c>
      <c r="FY13" s="2">
        <f t="shared" si="30"/>
        <v>40</v>
      </c>
      <c r="FZ13" s="2">
        <f t="shared" si="30"/>
        <v>40</v>
      </c>
      <c r="GA13" s="2">
        <f t="shared" si="30"/>
        <v>40</v>
      </c>
      <c r="GB13" s="2">
        <f t="shared" si="30"/>
        <v>45</v>
      </c>
      <c r="GC13" s="2">
        <f t="shared" si="30"/>
        <v>20</v>
      </c>
      <c r="GD13" s="3"/>
      <c r="GE13" s="3"/>
      <c r="GF13" s="3"/>
      <c r="GG13" s="3"/>
      <c r="GH13" s="3"/>
      <c r="GI13" s="3"/>
      <c r="GJ13" s="3"/>
      <c r="GK13" s="3"/>
      <c r="GL13" s="2">
        <f>'Demand Stage 2'!AX12</f>
        <v>10</v>
      </c>
      <c r="GM13" s="2">
        <f>'Demand Stage 2'!AY12</f>
        <v>10</v>
      </c>
      <c r="GN13" s="2">
        <f>'Demand Stage 2'!AZ12</f>
        <v>10</v>
      </c>
      <c r="GO13" s="2">
        <f>'Demand Stage 2'!BA12</f>
        <v>40</v>
      </c>
      <c r="GP13" s="2">
        <f>'Demand Stage 2'!BB12</f>
        <v>40</v>
      </c>
      <c r="GQ13" s="2">
        <f>'Demand Stage 2'!BC12</f>
        <v>40</v>
      </c>
      <c r="GR13" s="2">
        <f>'Demand Stage 2'!BD12</f>
        <v>35</v>
      </c>
      <c r="GS13" s="2">
        <f>'Demand Stage 2'!BE12</f>
        <v>20</v>
      </c>
      <c r="GT13" s="3"/>
      <c r="GU13" s="3"/>
      <c r="GV13" s="3"/>
      <c r="GW13" s="3"/>
      <c r="GX13" s="3"/>
      <c r="GY13" s="3"/>
      <c r="GZ13" s="3"/>
      <c r="HA13" s="3"/>
      <c r="HB13" s="2">
        <f t="shared" si="75"/>
        <v>10</v>
      </c>
      <c r="HC13" s="2">
        <f t="shared" si="32"/>
        <v>10</v>
      </c>
      <c r="HD13" s="2">
        <f t="shared" si="32"/>
        <v>10</v>
      </c>
      <c r="HE13" s="2">
        <f t="shared" si="32"/>
        <v>40</v>
      </c>
      <c r="HF13" s="2">
        <f t="shared" si="32"/>
        <v>40</v>
      </c>
      <c r="HG13" s="2">
        <f t="shared" si="32"/>
        <v>40</v>
      </c>
      <c r="HH13" s="2">
        <f t="shared" si="32"/>
        <v>35</v>
      </c>
      <c r="HI13" s="2">
        <f t="shared" si="32"/>
        <v>20</v>
      </c>
      <c r="HJ13" s="3"/>
      <c r="HK13" s="3"/>
      <c r="HL13" s="3"/>
      <c r="HM13" s="3"/>
      <c r="HN13" s="3"/>
      <c r="HO13" s="3"/>
      <c r="HP13" s="3"/>
      <c r="HQ13" s="3"/>
      <c r="HR13" s="2">
        <f t="shared" si="70"/>
        <v>10</v>
      </c>
      <c r="HS13" s="2">
        <f t="shared" si="34"/>
        <v>10</v>
      </c>
      <c r="HT13" s="2">
        <f t="shared" si="34"/>
        <v>10</v>
      </c>
      <c r="HU13" s="2">
        <f t="shared" si="34"/>
        <v>40</v>
      </c>
      <c r="HV13" s="2">
        <f t="shared" si="34"/>
        <v>40</v>
      </c>
      <c r="HW13" s="2">
        <f t="shared" si="34"/>
        <v>40</v>
      </c>
      <c r="HX13" s="2">
        <f t="shared" si="34"/>
        <v>35</v>
      </c>
      <c r="HY13" s="2">
        <f t="shared" si="34"/>
        <v>20</v>
      </c>
      <c r="HZ13" s="3"/>
      <c r="IA13" s="3"/>
      <c r="IB13" s="3"/>
      <c r="IC13" s="3"/>
      <c r="ID13" s="3"/>
      <c r="IE13" s="3"/>
      <c r="IF13" s="3"/>
      <c r="IG13" s="3"/>
      <c r="IH13" s="2">
        <f t="shared" si="72"/>
        <v>10</v>
      </c>
      <c r="II13" s="2">
        <f t="shared" si="36"/>
        <v>10</v>
      </c>
      <c r="IJ13" s="2">
        <f t="shared" si="36"/>
        <v>10</v>
      </c>
      <c r="IK13" s="2">
        <f t="shared" si="36"/>
        <v>40</v>
      </c>
      <c r="IL13" s="2">
        <f t="shared" si="36"/>
        <v>40</v>
      </c>
      <c r="IM13" s="2">
        <f t="shared" si="36"/>
        <v>40</v>
      </c>
      <c r="IN13" s="2">
        <f t="shared" si="36"/>
        <v>35</v>
      </c>
      <c r="IO13" s="2">
        <f t="shared" si="36"/>
        <v>20</v>
      </c>
      <c r="IP13" s="3"/>
      <c r="IQ13" s="3"/>
      <c r="IR13" s="3"/>
      <c r="IS13" s="3"/>
      <c r="IT13" s="3"/>
      <c r="IU13" s="3"/>
      <c r="IV13" s="3"/>
      <c r="IW13" s="3"/>
    </row>
    <row r="14" spans="1:257" x14ac:dyDescent="0.2">
      <c r="A14" s="1">
        <v>8</v>
      </c>
      <c r="B14" s="2"/>
      <c r="C14" s="2"/>
      <c r="D14" s="2"/>
      <c r="E14" s="2"/>
      <c r="F14" s="2"/>
      <c r="G14" s="2"/>
      <c r="H14" s="2"/>
      <c r="I14" s="2"/>
      <c r="J14" s="3"/>
      <c r="K14" s="3"/>
      <c r="L14" s="3"/>
      <c r="M14" s="3"/>
      <c r="N14" s="3"/>
      <c r="O14" s="3"/>
      <c r="P14" s="3"/>
      <c r="Q14" s="3"/>
      <c r="R14" s="2"/>
      <c r="S14" s="2"/>
      <c r="T14" s="2"/>
      <c r="U14" s="2"/>
      <c r="V14" s="2"/>
      <c r="W14" s="2"/>
      <c r="X14" s="2"/>
      <c r="Y14" s="2"/>
      <c r="Z14" s="3"/>
      <c r="AA14" s="3"/>
      <c r="AB14" s="3"/>
      <c r="AC14" s="3"/>
      <c r="AD14" s="3"/>
      <c r="AE14" s="3"/>
      <c r="AF14" s="3"/>
      <c r="AG14" s="3"/>
      <c r="AH14" s="2"/>
      <c r="AI14" s="2"/>
      <c r="AJ14" s="2"/>
      <c r="AK14" s="2"/>
      <c r="AL14" s="2"/>
      <c r="AM14" s="2"/>
      <c r="AN14" s="2"/>
      <c r="AO14" s="2"/>
      <c r="AP14" s="3"/>
      <c r="AQ14" s="3"/>
      <c r="AR14" s="3"/>
      <c r="AS14" s="3"/>
      <c r="AT14" s="3"/>
      <c r="AU14" s="3"/>
      <c r="AV14" s="3"/>
      <c r="AW14" s="3"/>
      <c r="AX14" s="2"/>
      <c r="AY14" s="2"/>
      <c r="AZ14" s="2"/>
      <c r="BA14" s="2"/>
      <c r="BB14" s="2"/>
      <c r="BC14" s="2"/>
      <c r="BD14" s="2"/>
      <c r="BE14" s="2"/>
      <c r="BF14" s="3"/>
      <c r="BG14" s="3"/>
      <c r="BH14" s="3"/>
      <c r="BI14" s="3"/>
      <c r="BJ14" s="3"/>
      <c r="BK14" s="3"/>
      <c r="BL14" s="3"/>
      <c r="BM14" s="3"/>
      <c r="BN14" s="2"/>
      <c r="BO14" s="2"/>
      <c r="BP14" s="2"/>
      <c r="BQ14" s="2"/>
      <c r="BR14" s="2"/>
      <c r="BS14" s="2"/>
      <c r="BT14" s="2"/>
      <c r="BU14" s="2"/>
      <c r="BV14" s="3"/>
      <c r="BW14" s="3"/>
      <c r="BX14" s="3"/>
      <c r="BY14" s="3"/>
      <c r="BZ14" s="3"/>
      <c r="CA14" s="3"/>
      <c r="CB14" s="3"/>
      <c r="CC14" s="3"/>
      <c r="CD14" s="2"/>
      <c r="CE14" s="2"/>
      <c r="CF14" s="2"/>
      <c r="CG14" s="2"/>
      <c r="CH14" s="2"/>
      <c r="CI14" s="2"/>
      <c r="CJ14" s="2"/>
      <c r="CK14" s="2"/>
      <c r="CL14" s="3"/>
      <c r="CM14" s="3"/>
      <c r="CN14" s="3"/>
      <c r="CO14" s="3"/>
      <c r="CP14" s="3"/>
      <c r="CQ14" s="3"/>
      <c r="CR14" s="3"/>
      <c r="CS14" s="3"/>
      <c r="CT14" s="2"/>
      <c r="CU14" s="2"/>
      <c r="CV14" s="2"/>
      <c r="CW14" s="2"/>
      <c r="CX14" s="2"/>
      <c r="CY14" s="2"/>
      <c r="CZ14" s="2"/>
      <c r="DA14" s="2"/>
      <c r="DB14" s="3"/>
      <c r="DC14" s="3"/>
      <c r="DD14" s="3"/>
      <c r="DE14" s="3"/>
      <c r="DF14" s="3"/>
      <c r="DG14" s="3"/>
      <c r="DH14" s="3"/>
      <c r="DI14" s="3"/>
      <c r="DJ14" s="2"/>
      <c r="DK14" s="2"/>
      <c r="DL14" s="2"/>
      <c r="DM14" s="2"/>
      <c r="DN14" s="2"/>
      <c r="DO14" s="2"/>
      <c r="DP14" s="2"/>
      <c r="DQ14" s="2"/>
      <c r="DR14" s="3"/>
      <c r="DS14" s="3"/>
      <c r="DT14" s="3"/>
      <c r="DU14" s="3"/>
      <c r="DV14" s="3"/>
      <c r="DW14" s="3"/>
      <c r="DX14" s="3"/>
      <c r="DY14" s="3"/>
      <c r="DZ14" s="2"/>
      <c r="EA14" s="2"/>
      <c r="EB14" s="2"/>
      <c r="EC14" s="2"/>
      <c r="ED14" s="2"/>
      <c r="EE14" s="2"/>
      <c r="EF14" s="2"/>
      <c r="EG14" s="2"/>
      <c r="EH14" s="3"/>
      <c r="EI14" s="3"/>
      <c r="EJ14" s="3"/>
      <c r="EK14" s="3"/>
      <c r="EL14" s="3"/>
      <c r="EM14" s="3"/>
      <c r="EN14" s="3"/>
      <c r="EO14" s="3"/>
      <c r="EP14" s="2"/>
      <c r="EQ14" s="2"/>
      <c r="ER14" s="2"/>
      <c r="ES14" s="2"/>
      <c r="ET14" s="2"/>
      <c r="EU14" s="2"/>
      <c r="EV14" s="2"/>
      <c r="EW14" s="2"/>
      <c r="EX14" s="3"/>
      <c r="EY14" s="3"/>
      <c r="EZ14" s="3"/>
      <c r="FA14" s="3"/>
      <c r="FB14" s="3"/>
      <c r="FC14" s="3"/>
      <c r="FD14" s="3"/>
      <c r="FE14" s="3"/>
      <c r="FF14" s="2"/>
      <c r="FG14" s="2"/>
      <c r="FH14" s="2"/>
      <c r="FI14" s="2"/>
      <c r="FJ14" s="2"/>
      <c r="FK14" s="2"/>
      <c r="FL14" s="2"/>
      <c r="FM14" s="2"/>
      <c r="FN14" s="3"/>
      <c r="FO14" s="3"/>
      <c r="FP14" s="3"/>
      <c r="FQ14" s="3"/>
      <c r="FR14" s="3"/>
      <c r="FS14" s="3"/>
      <c r="FT14" s="3"/>
      <c r="FU14" s="3"/>
      <c r="FV14" s="2"/>
      <c r="FW14" s="2"/>
      <c r="FX14" s="2"/>
      <c r="FY14" s="2"/>
      <c r="FZ14" s="2"/>
      <c r="GA14" s="2"/>
      <c r="GB14" s="2"/>
      <c r="GC14" s="2"/>
      <c r="GD14" s="3"/>
      <c r="GE14" s="3"/>
      <c r="GF14" s="3"/>
      <c r="GG14" s="3"/>
      <c r="GH14" s="3"/>
      <c r="GI14" s="3"/>
      <c r="GJ14" s="3"/>
      <c r="GK14" s="3"/>
      <c r="GL14" s="2"/>
      <c r="GM14" s="2"/>
      <c r="GN14" s="2"/>
      <c r="GO14" s="2"/>
      <c r="GP14" s="2"/>
      <c r="GQ14" s="2"/>
      <c r="GR14" s="2"/>
      <c r="GS14" s="2"/>
      <c r="GT14" s="3"/>
      <c r="GU14" s="3"/>
      <c r="GV14" s="3"/>
      <c r="GW14" s="3"/>
      <c r="GX14" s="3"/>
      <c r="GY14" s="3"/>
      <c r="GZ14" s="3"/>
      <c r="HA14" s="3"/>
      <c r="HB14" s="2"/>
      <c r="HC14" s="2"/>
      <c r="HD14" s="2"/>
      <c r="HE14" s="2"/>
      <c r="HF14" s="2"/>
      <c r="HG14" s="2"/>
      <c r="HH14" s="2"/>
      <c r="HI14" s="2"/>
      <c r="HJ14" s="3"/>
      <c r="HK14" s="3"/>
      <c r="HL14" s="3"/>
      <c r="HM14" s="3"/>
      <c r="HN14" s="3"/>
      <c r="HO14" s="3"/>
      <c r="HP14" s="3"/>
      <c r="HQ14" s="3"/>
      <c r="HR14" s="2"/>
      <c r="HS14" s="2"/>
      <c r="HT14" s="2"/>
      <c r="HU14" s="2"/>
      <c r="HV14" s="2"/>
      <c r="HW14" s="2"/>
      <c r="HX14" s="2"/>
      <c r="HY14" s="2"/>
      <c r="HZ14" s="3"/>
      <c r="IA14" s="3"/>
      <c r="IB14" s="3"/>
      <c r="IC14" s="3"/>
      <c r="ID14" s="3"/>
      <c r="IE14" s="3"/>
      <c r="IF14" s="3"/>
      <c r="IG14" s="3"/>
      <c r="IH14" s="2"/>
      <c r="II14" s="2"/>
      <c r="IJ14" s="2"/>
      <c r="IK14" s="2"/>
      <c r="IL14" s="2"/>
      <c r="IM14" s="2"/>
      <c r="IN14" s="2"/>
      <c r="IO14" s="2"/>
      <c r="IP14" s="3"/>
      <c r="IQ14" s="3"/>
      <c r="IR14" s="3"/>
      <c r="IS14" s="3"/>
      <c r="IT14" s="3"/>
      <c r="IU14" s="3"/>
      <c r="IV14" s="3"/>
      <c r="IW14" s="3"/>
    </row>
    <row r="15" spans="1:257" x14ac:dyDescent="0.2">
      <c r="A15" s="1">
        <v>9</v>
      </c>
      <c r="B15" s="2"/>
      <c r="C15" s="2"/>
      <c r="D15" s="2"/>
      <c r="E15" s="2"/>
      <c r="F15" s="2"/>
      <c r="G15" s="2"/>
      <c r="H15" s="2"/>
      <c r="I15" s="2"/>
      <c r="J15" s="3"/>
      <c r="K15" s="3"/>
      <c r="L15" s="3"/>
      <c r="M15" s="3"/>
      <c r="N15" s="3"/>
      <c r="O15" s="3"/>
      <c r="P15" s="3"/>
      <c r="Q15" s="3"/>
      <c r="R15" s="2"/>
      <c r="S15" s="2"/>
      <c r="T15" s="2"/>
      <c r="U15" s="2"/>
      <c r="V15" s="2"/>
      <c r="W15" s="2"/>
      <c r="X15" s="2"/>
      <c r="Y15" s="2"/>
      <c r="Z15" s="3"/>
      <c r="AA15" s="3"/>
      <c r="AB15" s="3"/>
      <c r="AC15" s="3"/>
      <c r="AD15" s="3"/>
      <c r="AE15" s="3"/>
      <c r="AF15" s="3"/>
      <c r="AG15" s="3"/>
      <c r="AH15" s="2"/>
      <c r="AI15" s="2"/>
      <c r="AJ15" s="2"/>
      <c r="AK15" s="2"/>
      <c r="AL15" s="2"/>
      <c r="AM15" s="2"/>
      <c r="AN15" s="2"/>
      <c r="AO15" s="2"/>
      <c r="AP15" s="3"/>
      <c r="AQ15" s="3"/>
      <c r="AR15" s="3"/>
      <c r="AS15" s="3"/>
      <c r="AT15" s="3"/>
      <c r="AU15" s="3"/>
      <c r="AV15" s="3"/>
      <c r="AW15" s="3"/>
      <c r="AX15" s="2"/>
      <c r="AY15" s="2"/>
      <c r="AZ15" s="2"/>
      <c r="BA15" s="2"/>
      <c r="BB15" s="2"/>
      <c r="BC15" s="2"/>
      <c r="BD15" s="2"/>
      <c r="BE15" s="2"/>
      <c r="BF15" s="3"/>
      <c r="BG15" s="3"/>
      <c r="BH15" s="3"/>
      <c r="BI15" s="3"/>
      <c r="BJ15" s="3"/>
      <c r="BK15" s="3"/>
      <c r="BL15" s="3"/>
      <c r="BM15" s="3"/>
      <c r="BN15" s="2"/>
      <c r="BO15" s="2"/>
      <c r="BP15" s="2"/>
      <c r="BQ15" s="2"/>
      <c r="BR15" s="2"/>
      <c r="BS15" s="2"/>
      <c r="BT15" s="2"/>
      <c r="BU15" s="2"/>
      <c r="BV15" s="3"/>
      <c r="BW15" s="3"/>
      <c r="BX15" s="3"/>
      <c r="BY15" s="3"/>
      <c r="BZ15" s="3"/>
      <c r="CA15" s="3"/>
      <c r="CB15" s="3"/>
      <c r="CC15" s="3"/>
      <c r="CD15" s="2"/>
      <c r="CE15" s="2"/>
      <c r="CF15" s="2"/>
      <c r="CG15" s="2"/>
      <c r="CH15" s="2"/>
      <c r="CI15" s="2"/>
      <c r="CJ15" s="2"/>
      <c r="CK15" s="2"/>
      <c r="CL15" s="3"/>
      <c r="CM15" s="3"/>
      <c r="CN15" s="3"/>
      <c r="CO15" s="3"/>
      <c r="CP15" s="3"/>
      <c r="CQ15" s="3"/>
      <c r="CR15" s="3"/>
      <c r="CS15" s="3"/>
      <c r="CT15" s="2"/>
      <c r="CU15" s="2"/>
      <c r="CV15" s="2"/>
      <c r="CW15" s="2"/>
      <c r="CX15" s="2"/>
      <c r="CY15" s="2"/>
      <c r="CZ15" s="2"/>
      <c r="DA15" s="2"/>
      <c r="DB15" s="3"/>
      <c r="DC15" s="3"/>
      <c r="DD15" s="3"/>
      <c r="DE15" s="3"/>
      <c r="DF15" s="3"/>
      <c r="DG15" s="3"/>
      <c r="DH15" s="3"/>
      <c r="DI15" s="3"/>
      <c r="DJ15" s="2"/>
      <c r="DK15" s="2"/>
      <c r="DL15" s="2"/>
      <c r="DM15" s="2"/>
      <c r="DN15" s="2"/>
      <c r="DO15" s="2"/>
      <c r="DP15" s="2"/>
      <c r="DQ15" s="2"/>
      <c r="DR15" s="3"/>
      <c r="DS15" s="3"/>
      <c r="DT15" s="3"/>
      <c r="DU15" s="3"/>
      <c r="DV15" s="3"/>
      <c r="DW15" s="3"/>
      <c r="DX15" s="3"/>
      <c r="DY15" s="3"/>
      <c r="DZ15" s="2"/>
      <c r="EA15" s="2"/>
      <c r="EB15" s="2"/>
      <c r="EC15" s="2"/>
      <c r="ED15" s="2"/>
      <c r="EE15" s="2"/>
      <c r="EF15" s="2"/>
      <c r="EG15" s="2"/>
      <c r="EH15" s="3"/>
      <c r="EI15" s="3"/>
      <c r="EJ15" s="3"/>
      <c r="EK15" s="3"/>
      <c r="EL15" s="3"/>
      <c r="EM15" s="3"/>
      <c r="EN15" s="3"/>
      <c r="EO15" s="3"/>
      <c r="EP15" s="2"/>
      <c r="EQ15" s="2"/>
      <c r="ER15" s="2"/>
      <c r="ES15" s="2"/>
      <c r="ET15" s="2"/>
      <c r="EU15" s="2"/>
      <c r="EV15" s="2"/>
      <c r="EW15" s="2"/>
      <c r="EX15" s="3"/>
      <c r="EY15" s="3"/>
      <c r="EZ15" s="3"/>
      <c r="FA15" s="3"/>
      <c r="FB15" s="3"/>
      <c r="FC15" s="3"/>
      <c r="FD15" s="3"/>
      <c r="FE15" s="3"/>
      <c r="FF15" s="2"/>
      <c r="FG15" s="2"/>
      <c r="FH15" s="2"/>
      <c r="FI15" s="2"/>
      <c r="FJ15" s="2"/>
      <c r="FK15" s="2"/>
      <c r="FL15" s="2"/>
      <c r="FM15" s="2"/>
      <c r="FN15" s="3"/>
      <c r="FO15" s="3"/>
      <c r="FP15" s="3"/>
      <c r="FQ15" s="3"/>
      <c r="FR15" s="3"/>
      <c r="FS15" s="3"/>
      <c r="FT15" s="3"/>
      <c r="FU15" s="3"/>
      <c r="FV15" s="2"/>
      <c r="FW15" s="2"/>
      <c r="FX15" s="2"/>
      <c r="FY15" s="2"/>
      <c r="FZ15" s="2"/>
      <c r="GA15" s="2"/>
      <c r="GB15" s="2"/>
      <c r="GC15" s="2"/>
      <c r="GD15" s="3"/>
      <c r="GE15" s="3"/>
      <c r="GF15" s="3"/>
      <c r="GG15" s="3"/>
      <c r="GH15" s="3"/>
      <c r="GI15" s="3"/>
      <c r="GJ15" s="3"/>
      <c r="GK15" s="3"/>
      <c r="GL15" s="2"/>
      <c r="GM15" s="2"/>
      <c r="GN15" s="2"/>
      <c r="GO15" s="2"/>
      <c r="GP15" s="2"/>
      <c r="GQ15" s="2"/>
      <c r="GR15" s="2"/>
      <c r="GS15" s="2"/>
      <c r="GT15" s="3"/>
      <c r="GU15" s="3"/>
      <c r="GV15" s="3"/>
      <c r="GW15" s="3"/>
      <c r="GX15" s="3"/>
      <c r="GY15" s="3"/>
      <c r="GZ15" s="3"/>
      <c r="HA15" s="3"/>
      <c r="HB15" s="2"/>
      <c r="HC15" s="2"/>
      <c r="HD15" s="2"/>
      <c r="HE15" s="2"/>
      <c r="HF15" s="2"/>
      <c r="HG15" s="2"/>
      <c r="HH15" s="2"/>
      <c r="HI15" s="2"/>
      <c r="HJ15" s="3"/>
      <c r="HK15" s="3"/>
      <c r="HL15" s="3"/>
      <c r="HM15" s="3"/>
      <c r="HN15" s="3"/>
      <c r="HO15" s="3"/>
      <c r="HP15" s="3"/>
      <c r="HQ15" s="3"/>
      <c r="HR15" s="2"/>
      <c r="HS15" s="2"/>
      <c r="HT15" s="2"/>
      <c r="HU15" s="2"/>
      <c r="HV15" s="2"/>
      <c r="HW15" s="2"/>
      <c r="HX15" s="2"/>
      <c r="HY15" s="2"/>
      <c r="HZ15" s="3"/>
      <c r="IA15" s="3"/>
      <c r="IB15" s="3"/>
      <c r="IC15" s="3"/>
      <c r="ID15" s="3"/>
      <c r="IE15" s="3"/>
      <c r="IF15" s="3"/>
      <c r="IG15" s="3"/>
      <c r="IH15" s="2"/>
      <c r="II15" s="2"/>
      <c r="IJ15" s="2"/>
      <c r="IK15" s="2"/>
      <c r="IL15" s="2"/>
      <c r="IM15" s="2"/>
      <c r="IN15" s="2"/>
      <c r="IO15" s="2"/>
      <c r="IP15" s="3"/>
      <c r="IQ15" s="3"/>
      <c r="IR15" s="3"/>
      <c r="IS15" s="3"/>
      <c r="IT15" s="3"/>
      <c r="IU15" s="3"/>
      <c r="IV15" s="3"/>
      <c r="IW15" s="3"/>
    </row>
    <row r="16" spans="1:257" x14ac:dyDescent="0.2">
      <c r="A16" s="1">
        <v>10</v>
      </c>
      <c r="B16" s="2"/>
      <c r="C16" s="2"/>
      <c r="D16" s="2"/>
      <c r="E16" s="2"/>
      <c r="F16" s="2"/>
      <c r="G16" s="2"/>
      <c r="H16" s="2"/>
      <c r="I16" s="2"/>
      <c r="J16" s="3"/>
      <c r="K16" s="3"/>
      <c r="L16" s="3"/>
      <c r="M16" s="3"/>
      <c r="N16" s="3"/>
      <c r="O16" s="3"/>
      <c r="P16" s="3"/>
      <c r="Q16" s="3"/>
      <c r="R16" s="2"/>
      <c r="S16" s="2"/>
      <c r="T16" s="2"/>
      <c r="U16" s="2"/>
      <c r="V16" s="2"/>
      <c r="W16" s="2"/>
      <c r="X16" s="2"/>
      <c r="Y16" s="2"/>
      <c r="Z16" s="3"/>
      <c r="AA16" s="3"/>
      <c r="AB16" s="3"/>
      <c r="AC16" s="3"/>
      <c r="AD16" s="3"/>
      <c r="AE16" s="3"/>
      <c r="AF16" s="3"/>
      <c r="AG16" s="3"/>
      <c r="AH16" s="2"/>
      <c r="AI16" s="2"/>
      <c r="AJ16" s="2"/>
      <c r="AK16" s="2"/>
      <c r="AL16" s="2"/>
      <c r="AM16" s="2"/>
      <c r="AN16" s="2"/>
      <c r="AO16" s="2"/>
      <c r="AP16" s="3"/>
      <c r="AQ16" s="3"/>
      <c r="AR16" s="3"/>
      <c r="AS16" s="3"/>
      <c r="AT16" s="3"/>
      <c r="AU16" s="3"/>
      <c r="AV16" s="3"/>
      <c r="AW16" s="3"/>
      <c r="AX16" s="2"/>
      <c r="AY16" s="2"/>
      <c r="AZ16" s="2"/>
      <c r="BA16" s="2"/>
      <c r="BB16" s="2"/>
      <c r="BC16" s="2"/>
      <c r="BD16" s="2"/>
      <c r="BE16" s="2"/>
      <c r="BF16" s="3"/>
      <c r="BG16" s="3"/>
      <c r="BH16" s="3"/>
      <c r="BI16" s="3"/>
      <c r="BJ16" s="3"/>
      <c r="BK16" s="3"/>
      <c r="BL16" s="3"/>
      <c r="BM16" s="3"/>
      <c r="BN16" s="2"/>
      <c r="BO16" s="2"/>
      <c r="BP16" s="2"/>
      <c r="BQ16" s="2"/>
      <c r="BR16" s="2"/>
      <c r="BS16" s="2"/>
      <c r="BT16" s="2"/>
      <c r="BU16" s="2"/>
      <c r="BV16" s="3"/>
      <c r="BW16" s="3"/>
      <c r="BX16" s="3"/>
      <c r="BY16" s="3"/>
      <c r="BZ16" s="3"/>
      <c r="CA16" s="3"/>
      <c r="CB16" s="3"/>
      <c r="CC16" s="3"/>
      <c r="CD16" s="2"/>
      <c r="CE16" s="2"/>
      <c r="CF16" s="2"/>
      <c r="CG16" s="2"/>
      <c r="CH16" s="2"/>
      <c r="CI16" s="2"/>
      <c r="CJ16" s="2"/>
      <c r="CK16" s="2"/>
      <c r="CL16" s="3"/>
      <c r="CM16" s="3"/>
      <c r="CN16" s="3"/>
      <c r="CO16" s="3"/>
      <c r="CP16" s="3"/>
      <c r="CQ16" s="3"/>
      <c r="CR16" s="3"/>
      <c r="CS16" s="3"/>
      <c r="CT16" s="2"/>
      <c r="CU16" s="2"/>
      <c r="CV16" s="2"/>
      <c r="CW16" s="2"/>
      <c r="CX16" s="2"/>
      <c r="CY16" s="2"/>
      <c r="CZ16" s="2"/>
      <c r="DA16" s="2"/>
      <c r="DB16" s="3"/>
      <c r="DC16" s="3"/>
      <c r="DD16" s="3"/>
      <c r="DE16" s="3"/>
      <c r="DF16" s="3"/>
      <c r="DG16" s="3"/>
      <c r="DH16" s="3"/>
      <c r="DI16" s="3"/>
      <c r="DJ16" s="2"/>
      <c r="DK16" s="2"/>
      <c r="DL16" s="2"/>
      <c r="DM16" s="2"/>
      <c r="DN16" s="2"/>
      <c r="DO16" s="2"/>
      <c r="DP16" s="2"/>
      <c r="DQ16" s="2"/>
      <c r="DR16" s="3"/>
      <c r="DS16" s="3"/>
      <c r="DT16" s="3"/>
      <c r="DU16" s="3"/>
      <c r="DV16" s="3"/>
      <c r="DW16" s="3"/>
      <c r="DX16" s="3"/>
      <c r="DY16" s="3"/>
      <c r="DZ16" s="2"/>
      <c r="EA16" s="2"/>
      <c r="EB16" s="2"/>
      <c r="EC16" s="2"/>
      <c r="ED16" s="2"/>
      <c r="EE16" s="2"/>
      <c r="EF16" s="2"/>
      <c r="EG16" s="2"/>
      <c r="EH16" s="3"/>
      <c r="EI16" s="3"/>
      <c r="EJ16" s="3"/>
      <c r="EK16" s="3"/>
      <c r="EL16" s="3"/>
      <c r="EM16" s="3"/>
      <c r="EN16" s="3"/>
      <c r="EO16" s="3"/>
      <c r="EP16" s="2"/>
      <c r="EQ16" s="2"/>
      <c r="ER16" s="2"/>
      <c r="ES16" s="2"/>
      <c r="ET16" s="2"/>
      <c r="EU16" s="2"/>
      <c r="EV16" s="2"/>
      <c r="EW16" s="2"/>
      <c r="EX16" s="3"/>
      <c r="EY16" s="3"/>
      <c r="EZ16" s="3"/>
      <c r="FA16" s="3"/>
      <c r="FB16" s="3"/>
      <c r="FC16" s="3"/>
      <c r="FD16" s="3"/>
      <c r="FE16" s="3"/>
      <c r="FF16" s="2"/>
      <c r="FG16" s="2"/>
      <c r="FH16" s="2"/>
      <c r="FI16" s="2"/>
      <c r="FJ16" s="2"/>
      <c r="FK16" s="2"/>
      <c r="FL16" s="2"/>
      <c r="FM16" s="2"/>
      <c r="FN16" s="3"/>
      <c r="FO16" s="3"/>
      <c r="FP16" s="3"/>
      <c r="FQ16" s="3"/>
      <c r="FR16" s="3"/>
      <c r="FS16" s="3"/>
      <c r="FT16" s="3"/>
      <c r="FU16" s="3"/>
      <c r="FV16" s="2"/>
      <c r="FW16" s="2"/>
      <c r="FX16" s="2"/>
      <c r="FY16" s="2"/>
      <c r="FZ16" s="2"/>
      <c r="GA16" s="2"/>
      <c r="GB16" s="2"/>
      <c r="GC16" s="2"/>
      <c r="GD16" s="3"/>
      <c r="GE16" s="3"/>
      <c r="GF16" s="3"/>
      <c r="GG16" s="3"/>
      <c r="GH16" s="3"/>
      <c r="GI16" s="3"/>
      <c r="GJ16" s="3"/>
      <c r="GK16" s="3"/>
      <c r="GL16" s="2"/>
      <c r="GM16" s="2"/>
      <c r="GN16" s="2"/>
      <c r="GO16" s="2"/>
      <c r="GP16" s="2"/>
      <c r="GQ16" s="2"/>
      <c r="GR16" s="2"/>
      <c r="GS16" s="2"/>
      <c r="GT16" s="3"/>
      <c r="GU16" s="3"/>
      <c r="GV16" s="3"/>
      <c r="GW16" s="3"/>
      <c r="GX16" s="3"/>
      <c r="GY16" s="3"/>
      <c r="GZ16" s="3"/>
      <c r="HA16" s="3"/>
      <c r="HB16" s="2"/>
      <c r="HC16" s="2"/>
      <c r="HD16" s="2"/>
      <c r="HE16" s="2"/>
      <c r="HF16" s="2"/>
      <c r="HG16" s="2"/>
      <c r="HH16" s="2"/>
      <c r="HI16" s="2"/>
      <c r="HJ16" s="3"/>
      <c r="HK16" s="3"/>
      <c r="HL16" s="3"/>
      <c r="HM16" s="3"/>
      <c r="HN16" s="3"/>
      <c r="HO16" s="3"/>
      <c r="HP16" s="3"/>
      <c r="HQ16" s="3"/>
      <c r="HR16" s="2"/>
      <c r="HS16" s="2"/>
      <c r="HT16" s="2"/>
      <c r="HU16" s="2"/>
      <c r="HV16" s="2"/>
      <c r="HW16" s="2"/>
      <c r="HX16" s="2"/>
      <c r="HY16" s="2"/>
      <c r="HZ16" s="3"/>
      <c r="IA16" s="3"/>
      <c r="IB16" s="3"/>
      <c r="IC16" s="3"/>
      <c r="ID16" s="3"/>
      <c r="IE16" s="3"/>
      <c r="IF16" s="3"/>
      <c r="IG16" s="3"/>
      <c r="IH16" s="2"/>
      <c r="II16" s="2"/>
      <c r="IJ16" s="2"/>
      <c r="IK16" s="2"/>
      <c r="IL16" s="2"/>
      <c r="IM16" s="2"/>
      <c r="IN16" s="2"/>
      <c r="IO16" s="2"/>
      <c r="IP16" s="3"/>
      <c r="IQ16" s="3"/>
      <c r="IR16" s="3"/>
      <c r="IS16" s="3"/>
      <c r="IT16" s="3"/>
      <c r="IU16" s="3"/>
      <c r="IV16" s="3"/>
      <c r="IW16" s="3"/>
    </row>
    <row r="17" spans="1:257" x14ac:dyDescent="0.2">
      <c r="A17" s="1">
        <v>11</v>
      </c>
      <c r="B17" s="2"/>
      <c r="C17" s="2"/>
      <c r="D17" s="2"/>
      <c r="E17" s="2"/>
      <c r="F17" s="2"/>
      <c r="G17" s="2"/>
      <c r="H17" s="2"/>
      <c r="I17" s="2"/>
      <c r="J17" s="3"/>
      <c r="K17" s="3"/>
      <c r="L17" s="3"/>
      <c r="M17" s="3"/>
      <c r="N17" s="3"/>
      <c r="O17" s="3"/>
      <c r="P17" s="3"/>
      <c r="Q17" s="3"/>
      <c r="R17" s="2"/>
      <c r="S17" s="2"/>
      <c r="T17" s="2"/>
      <c r="U17" s="2"/>
      <c r="V17" s="2"/>
      <c r="W17" s="2"/>
      <c r="X17" s="2"/>
      <c r="Y17" s="2"/>
      <c r="Z17" s="3"/>
      <c r="AA17" s="3"/>
      <c r="AB17" s="3"/>
      <c r="AC17" s="3"/>
      <c r="AD17" s="3"/>
      <c r="AE17" s="3"/>
      <c r="AF17" s="3"/>
      <c r="AG17" s="3"/>
      <c r="AH17" s="2"/>
      <c r="AI17" s="2"/>
      <c r="AJ17" s="2"/>
      <c r="AK17" s="2"/>
      <c r="AL17" s="2"/>
      <c r="AM17" s="2"/>
      <c r="AN17" s="2"/>
      <c r="AO17" s="2"/>
      <c r="AP17" s="3"/>
      <c r="AQ17" s="3"/>
      <c r="AR17" s="3"/>
      <c r="AS17" s="3"/>
      <c r="AT17" s="3"/>
      <c r="AU17" s="3"/>
      <c r="AV17" s="3"/>
      <c r="AW17" s="3"/>
      <c r="AX17" s="2"/>
      <c r="AY17" s="2"/>
      <c r="AZ17" s="2"/>
      <c r="BA17" s="2"/>
      <c r="BB17" s="2"/>
      <c r="BC17" s="2"/>
      <c r="BD17" s="2"/>
      <c r="BE17" s="2"/>
      <c r="BF17" s="3"/>
      <c r="BG17" s="3"/>
      <c r="BH17" s="3"/>
      <c r="BI17" s="3"/>
      <c r="BJ17" s="3"/>
      <c r="BK17" s="3"/>
      <c r="BL17" s="3"/>
      <c r="BM17" s="3"/>
      <c r="BN17" s="2"/>
      <c r="BO17" s="2"/>
      <c r="BP17" s="2"/>
      <c r="BQ17" s="2"/>
      <c r="BR17" s="2"/>
      <c r="BS17" s="2"/>
      <c r="BT17" s="2"/>
      <c r="BU17" s="2"/>
      <c r="BV17" s="3"/>
      <c r="BW17" s="3"/>
      <c r="BX17" s="3"/>
      <c r="BY17" s="3"/>
      <c r="BZ17" s="3"/>
      <c r="CA17" s="3"/>
      <c r="CB17" s="3"/>
      <c r="CC17" s="3"/>
      <c r="CD17" s="2"/>
      <c r="CE17" s="2"/>
      <c r="CF17" s="2"/>
      <c r="CG17" s="2"/>
      <c r="CH17" s="2"/>
      <c r="CI17" s="2"/>
      <c r="CJ17" s="2"/>
      <c r="CK17" s="2"/>
      <c r="CL17" s="3"/>
      <c r="CM17" s="3"/>
      <c r="CN17" s="3"/>
      <c r="CO17" s="3"/>
      <c r="CP17" s="3"/>
      <c r="CQ17" s="3"/>
      <c r="CR17" s="3"/>
      <c r="CS17" s="3"/>
      <c r="CT17" s="2"/>
      <c r="CU17" s="2"/>
      <c r="CV17" s="2"/>
      <c r="CW17" s="2"/>
      <c r="CX17" s="2"/>
      <c r="CY17" s="2"/>
      <c r="CZ17" s="2"/>
      <c r="DA17" s="2"/>
      <c r="DB17" s="3"/>
      <c r="DC17" s="3"/>
      <c r="DD17" s="3"/>
      <c r="DE17" s="3"/>
      <c r="DF17" s="3"/>
      <c r="DG17" s="3"/>
      <c r="DH17" s="3"/>
      <c r="DI17" s="3"/>
      <c r="DJ17" s="2"/>
      <c r="DK17" s="2"/>
      <c r="DL17" s="2"/>
      <c r="DM17" s="2"/>
      <c r="DN17" s="2"/>
      <c r="DO17" s="2"/>
      <c r="DP17" s="2"/>
      <c r="DQ17" s="2"/>
      <c r="DR17" s="3"/>
      <c r="DS17" s="3"/>
      <c r="DT17" s="3"/>
      <c r="DU17" s="3"/>
      <c r="DV17" s="3"/>
      <c r="DW17" s="3"/>
      <c r="DX17" s="3"/>
      <c r="DY17" s="3"/>
      <c r="DZ17" s="2"/>
      <c r="EA17" s="2"/>
      <c r="EB17" s="2"/>
      <c r="EC17" s="2"/>
      <c r="ED17" s="2"/>
      <c r="EE17" s="2"/>
      <c r="EF17" s="2"/>
      <c r="EG17" s="2"/>
      <c r="EH17" s="3"/>
      <c r="EI17" s="3"/>
      <c r="EJ17" s="3"/>
      <c r="EK17" s="3"/>
      <c r="EL17" s="3"/>
      <c r="EM17" s="3"/>
      <c r="EN17" s="3"/>
      <c r="EO17" s="3"/>
      <c r="EP17" s="2"/>
      <c r="EQ17" s="2"/>
      <c r="ER17" s="2"/>
      <c r="ES17" s="2"/>
      <c r="ET17" s="2"/>
      <c r="EU17" s="2"/>
      <c r="EV17" s="2"/>
      <c r="EW17" s="2"/>
      <c r="EX17" s="3"/>
      <c r="EY17" s="3"/>
      <c r="EZ17" s="3"/>
      <c r="FA17" s="3"/>
      <c r="FB17" s="3"/>
      <c r="FC17" s="3"/>
      <c r="FD17" s="3"/>
      <c r="FE17" s="3"/>
      <c r="FF17" s="2"/>
      <c r="FG17" s="2"/>
      <c r="FH17" s="2"/>
      <c r="FI17" s="2"/>
      <c r="FJ17" s="2"/>
      <c r="FK17" s="2"/>
      <c r="FL17" s="2"/>
      <c r="FM17" s="2"/>
      <c r="FN17" s="3"/>
      <c r="FO17" s="3"/>
      <c r="FP17" s="3"/>
      <c r="FQ17" s="3"/>
      <c r="FR17" s="3"/>
      <c r="FS17" s="3"/>
      <c r="FT17" s="3"/>
      <c r="FU17" s="3"/>
      <c r="FV17" s="2"/>
      <c r="FW17" s="2"/>
      <c r="FX17" s="2"/>
      <c r="FY17" s="2"/>
      <c r="FZ17" s="2"/>
      <c r="GA17" s="2"/>
      <c r="GB17" s="2"/>
      <c r="GC17" s="2"/>
      <c r="GD17" s="3"/>
      <c r="GE17" s="3"/>
      <c r="GF17" s="3"/>
      <c r="GG17" s="3"/>
      <c r="GH17" s="3"/>
      <c r="GI17" s="3"/>
      <c r="GJ17" s="3"/>
      <c r="GK17" s="3"/>
      <c r="GL17" s="2"/>
      <c r="GM17" s="2"/>
      <c r="GN17" s="2"/>
      <c r="GO17" s="2"/>
      <c r="GP17" s="2"/>
      <c r="GQ17" s="2"/>
      <c r="GR17" s="2"/>
      <c r="GS17" s="2"/>
      <c r="GT17" s="3"/>
      <c r="GU17" s="3"/>
      <c r="GV17" s="3"/>
      <c r="GW17" s="3"/>
      <c r="GX17" s="3"/>
      <c r="GY17" s="3"/>
      <c r="GZ17" s="3"/>
      <c r="HA17" s="3"/>
      <c r="HB17" s="2"/>
      <c r="HC17" s="2"/>
      <c r="HD17" s="2"/>
      <c r="HE17" s="2"/>
      <c r="HF17" s="2"/>
      <c r="HG17" s="2"/>
      <c r="HH17" s="2"/>
      <c r="HI17" s="2"/>
      <c r="HJ17" s="3"/>
      <c r="HK17" s="3"/>
      <c r="HL17" s="3"/>
      <c r="HM17" s="3"/>
      <c r="HN17" s="3"/>
      <c r="HO17" s="3"/>
      <c r="HP17" s="3"/>
      <c r="HQ17" s="3"/>
      <c r="HR17" s="2"/>
      <c r="HS17" s="2"/>
      <c r="HT17" s="2"/>
      <c r="HU17" s="2"/>
      <c r="HV17" s="2"/>
      <c r="HW17" s="2"/>
      <c r="HX17" s="2"/>
      <c r="HY17" s="2"/>
      <c r="HZ17" s="3"/>
      <c r="IA17" s="3"/>
      <c r="IB17" s="3"/>
      <c r="IC17" s="3"/>
      <c r="ID17" s="3"/>
      <c r="IE17" s="3"/>
      <c r="IF17" s="3"/>
      <c r="IG17" s="3"/>
      <c r="IH17" s="2"/>
      <c r="II17" s="2"/>
      <c r="IJ17" s="2"/>
      <c r="IK17" s="2"/>
      <c r="IL17" s="2"/>
      <c r="IM17" s="2"/>
      <c r="IN17" s="2"/>
      <c r="IO17" s="2"/>
      <c r="IP17" s="3"/>
      <c r="IQ17" s="3"/>
      <c r="IR17" s="3"/>
      <c r="IS17" s="3"/>
      <c r="IT17" s="3"/>
      <c r="IU17" s="3"/>
      <c r="IV17" s="3"/>
      <c r="IW17" s="3"/>
    </row>
    <row r="18" spans="1:257" x14ac:dyDescent="0.2">
      <c r="A18" s="1">
        <v>12</v>
      </c>
      <c r="B18" s="2"/>
      <c r="C18" s="2"/>
      <c r="D18" s="2"/>
      <c r="E18" s="2"/>
      <c r="F18" s="2"/>
      <c r="G18" s="2"/>
      <c r="H18" s="2"/>
      <c r="I18" s="2"/>
      <c r="J18" s="3"/>
      <c r="K18" s="3"/>
      <c r="L18" s="3"/>
      <c r="M18" s="3"/>
      <c r="N18" s="3"/>
      <c r="O18" s="3"/>
      <c r="P18" s="3"/>
      <c r="Q18" s="3"/>
      <c r="R18" s="2"/>
      <c r="S18" s="2"/>
      <c r="T18" s="2"/>
      <c r="U18" s="2"/>
      <c r="V18" s="2"/>
      <c r="W18" s="2"/>
      <c r="X18" s="2"/>
      <c r="Y18" s="2"/>
      <c r="Z18" s="3"/>
      <c r="AA18" s="3"/>
      <c r="AB18" s="3"/>
      <c r="AC18" s="3"/>
      <c r="AD18" s="3"/>
      <c r="AE18" s="3"/>
      <c r="AF18" s="3"/>
      <c r="AG18" s="3"/>
      <c r="AH18" s="2"/>
      <c r="AI18" s="2"/>
      <c r="AJ18" s="2"/>
      <c r="AK18" s="2"/>
      <c r="AL18" s="2"/>
      <c r="AM18" s="2"/>
      <c r="AN18" s="2"/>
      <c r="AO18" s="2"/>
      <c r="AP18" s="3"/>
      <c r="AQ18" s="3"/>
      <c r="AR18" s="3"/>
      <c r="AS18" s="3"/>
      <c r="AT18" s="3"/>
      <c r="AU18" s="3"/>
      <c r="AV18" s="3"/>
      <c r="AW18" s="3"/>
      <c r="AX18" s="2"/>
      <c r="AY18" s="2"/>
      <c r="AZ18" s="2"/>
      <c r="BA18" s="2"/>
      <c r="BB18" s="2"/>
      <c r="BC18" s="2"/>
      <c r="BD18" s="2"/>
      <c r="BE18" s="2"/>
      <c r="BF18" s="3"/>
      <c r="BG18" s="3"/>
      <c r="BH18" s="3"/>
      <c r="BI18" s="3"/>
      <c r="BJ18" s="3"/>
      <c r="BK18" s="3"/>
      <c r="BL18" s="3"/>
      <c r="BM18" s="3"/>
      <c r="BN18" s="2"/>
      <c r="BO18" s="2"/>
      <c r="BP18" s="2"/>
      <c r="BQ18" s="2"/>
      <c r="BR18" s="2"/>
      <c r="BS18" s="2"/>
      <c r="BT18" s="2"/>
      <c r="BU18" s="2"/>
      <c r="BV18" s="3"/>
      <c r="BW18" s="3"/>
      <c r="BX18" s="3"/>
      <c r="BY18" s="3"/>
      <c r="BZ18" s="3"/>
      <c r="CA18" s="3"/>
      <c r="CB18" s="3"/>
      <c r="CC18" s="3"/>
      <c r="CD18" s="2"/>
      <c r="CE18" s="2"/>
      <c r="CF18" s="2"/>
      <c r="CG18" s="2"/>
      <c r="CH18" s="2"/>
      <c r="CI18" s="2"/>
      <c r="CJ18" s="2"/>
      <c r="CK18" s="2"/>
      <c r="CL18" s="3"/>
      <c r="CM18" s="3"/>
      <c r="CN18" s="3"/>
      <c r="CO18" s="3"/>
      <c r="CP18" s="3"/>
      <c r="CQ18" s="3"/>
      <c r="CR18" s="3"/>
      <c r="CS18" s="3"/>
      <c r="CT18" s="2"/>
      <c r="CU18" s="2"/>
      <c r="CV18" s="2"/>
      <c r="CW18" s="2"/>
      <c r="CX18" s="2"/>
      <c r="CY18" s="2"/>
      <c r="CZ18" s="2"/>
      <c r="DA18" s="2"/>
      <c r="DB18" s="3"/>
      <c r="DC18" s="3"/>
      <c r="DD18" s="3"/>
      <c r="DE18" s="3"/>
      <c r="DF18" s="3"/>
      <c r="DG18" s="3"/>
      <c r="DH18" s="3"/>
      <c r="DI18" s="3"/>
      <c r="DJ18" s="2"/>
      <c r="DK18" s="2"/>
      <c r="DL18" s="2"/>
      <c r="DM18" s="2"/>
      <c r="DN18" s="2"/>
      <c r="DO18" s="2"/>
      <c r="DP18" s="2"/>
      <c r="DQ18" s="2"/>
      <c r="DR18" s="3"/>
      <c r="DS18" s="3"/>
      <c r="DT18" s="3"/>
      <c r="DU18" s="3"/>
      <c r="DV18" s="3"/>
      <c r="DW18" s="3"/>
      <c r="DX18" s="3"/>
      <c r="DY18" s="3"/>
      <c r="DZ18" s="2"/>
      <c r="EA18" s="2"/>
      <c r="EB18" s="2"/>
      <c r="EC18" s="2"/>
      <c r="ED18" s="2"/>
      <c r="EE18" s="2"/>
      <c r="EF18" s="2"/>
      <c r="EG18" s="2"/>
      <c r="EH18" s="3"/>
      <c r="EI18" s="3"/>
      <c r="EJ18" s="3"/>
      <c r="EK18" s="3"/>
      <c r="EL18" s="3"/>
      <c r="EM18" s="3"/>
      <c r="EN18" s="3"/>
      <c r="EO18" s="3"/>
      <c r="EP18" s="2"/>
      <c r="EQ18" s="2"/>
      <c r="ER18" s="2"/>
      <c r="ES18" s="2"/>
      <c r="ET18" s="2"/>
      <c r="EU18" s="2"/>
      <c r="EV18" s="2"/>
      <c r="EW18" s="2"/>
      <c r="EX18" s="3"/>
      <c r="EY18" s="3"/>
      <c r="EZ18" s="3"/>
      <c r="FA18" s="3"/>
      <c r="FB18" s="3"/>
      <c r="FC18" s="3"/>
      <c r="FD18" s="3"/>
      <c r="FE18" s="3"/>
      <c r="FF18" s="2"/>
      <c r="FG18" s="2"/>
      <c r="FH18" s="2"/>
      <c r="FI18" s="2"/>
      <c r="FJ18" s="2"/>
      <c r="FK18" s="2"/>
      <c r="FL18" s="2"/>
      <c r="FM18" s="2"/>
      <c r="FN18" s="3"/>
      <c r="FO18" s="3"/>
      <c r="FP18" s="3"/>
      <c r="FQ18" s="3"/>
      <c r="FR18" s="3"/>
      <c r="FS18" s="3"/>
      <c r="FT18" s="3"/>
      <c r="FU18" s="3"/>
      <c r="FV18" s="2"/>
      <c r="FW18" s="2"/>
      <c r="FX18" s="2"/>
      <c r="FY18" s="2"/>
      <c r="FZ18" s="2"/>
      <c r="GA18" s="2"/>
      <c r="GB18" s="2"/>
      <c r="GC18" s="2"/>
      <c r="GD18" s="3"/>
      <c r="GE18" s="3"/>
      <c r="GF18" s="3"/>
      <c r="GG18" s="3"/>
      <c r="GH18" s="3"/>
      <c r="GI18" s="3"/>
      <c r="GJ18" s="3"/>
      <c r="GK18" s="3"/>
      <c r="GL18" s="2"/>
      <c r="GM18" s="2"/>
      <c r="GN18" s="2"/>
      <c r="GO18" s="2"/>
      <c r="GP18" s="2"/>
      <c r="GQ18" s="2"/>
      <c r="GR18" s="2"/>
      <c r="GS18" s="2"/>
      <c r="GT18" s="3"/>
      <c r="GU18" s="3"/>
      <c r="GV18" s="3"/>
      <c r="GW18" s="3"/>
      <c r="GX18" s="3"/>
      <c r="GY18" s="3"/>
      <c r="GZ18" s="3"/>
      <c r="HA18" s="3"/>
      <c r="HB18" s="2"/>
      <c r="HC18" s="2"/>
      <c r="HD18" s="2"/>
      <c r="HE18" s="2"/>
      <c r="HF18" s="2"/>
      <c r="HG18" s="2"/>
      <c r="HH18" s="2"/>
      <c r="HI18" s="2"/>
      <c r="HJ18" s="3"/>
      <c r="HK18" s="3"/>
      <c r="HL18" s="3"/>
      <c r="HM18" s="3"/>
      <c r="HN18" s="3"/>
      <c r="HO18" s="3"/>
      <c r="HP18" s="3"/>
      <c r="HQ18" s="3"/>
      <c r="HR18" s="2"/>
      <c r="HS18" s="2"/>
      <c r="HT18" s="2"/>
      <c r="HU18" s="2"/>
      <c r="HV18" s="2"/>
      <c r="HW18" s="2"/>
      <c r="HX18" s="2"/>
      <c r="HY18" s="2"/>
      <c r="HZ18" s="3"/>
      <c r="IA18" s="3"/>
      <c r="IB18" s="3"/>
      <c r="IC18" s="3"/>
      <c r="ID18" s="3"/>
      <c r="IE18" s="3"/>
      <c r="IF18" s="3"/>
      <c r="IG18" s="3"/>
      <c r="IH18" s="2"/>
      <c r="II18" s="2"/>
      <c r="IJ18" s="2"/>
      <c r="IK18" s="2"/>
      <c r="IL18" s="2"/>
      <c r="IM18" s="2"/>
      <c r="IN18" s="2"/>
      <c r="IO18" s="2"/>
      <c r="IP18" s="3"/>
      <c r="IQ18" s="3"/>
      <c r="IR18" s="3"/>
      <c r="IS18" s="3"/>
      <c r="IT18" s="3"/>
      <c r="IU18" s="3"/>
      <c r="IV18" s="3"/>
      <c r="IW18" s="3"/>
    </row>
    <row r="19" spans="1:257" x14ac:dyDescent="0.2">
      <c r="A19" s="1">
        <v>13</v>
      </c>
      <c r="B19" s="2"/>
      <c r="C19" s="2"/>
      <c r="D19" s="2"/>
      <c r="E19" s="2"/>
      <c r="F19" s="2"/>
      <c r="G19" s="2"/>
      <c r="H19" s="2"/>
      <c r="I19" s="2"/>
      <c r="J19" s="3"/>
      <c r="K19" s="3"/>
      <c r="L19" s="3"/>
      <c r="M19" s="3"/>
      <c r="N19" s="3"/>
      <c r="O19" s="3"/>
      <c r="P19" s="3"/>
      <c r="Q19" s="3"/>
      <c r="R19" s="2"/>
      <c r="S19" s="2"/>
      <c r="T19" s="2"/>
      <c r="U19" s="2"/>
      <c r="V19" s="2"/>
      <c r="W19" s="2"/>
      <c r="X19" s="2"/>
      <c r="Y19" s="2"/>
      <c r="Z19" s="3"/>
      <c r="AA19" s="3"/>
      <c r="AB19" s="3"/>
      <c r="AC19" s="3"/>
      <c r="AD19" s="3"/>
      <c r="AE19" s="3"/>
      <c r="AF19" s="3"/>
      <c r="AG19" s="3"/>
      <c r="AH19" s="2"/>
      <c r="AI19" s="2"/>
      <c r="AJ19" s="2"/>
      <c r="AK19" s="2"/>
      <c r="AL19" s="2"/>
      <c r="AM19" s="2"/>
      <c r="AN19" s="2"/>
      <c r="AO19" s="2"/>
      <c r="AP19" s="3"/>
      <c r="AQ19" s="3"/>
      <c r="AR19" s="3"/>
      <c r="AS19" s="3"/>
      <c r="AT19" s="3"/>
      <c r="AU19" s="3"/>
      <c r="AV19" s="3"/>
      <c r="AW19" s="3"/>
      <c r="AX19" s="2"/>
      <c r="AY19" s="2"/>
      <c r="AZ19" s="2"/>
      <c r="BA19" s="2"/>
      <c r="BB19" s="2"/>
      <c r="BC19" s="2"/>
      <c r="BD19" s="2"/>
      <c r="BE19" s="2"/>
      <c r="BF19" s="3"/>
      <c r="BG19" s="3"/>
      <c r="BH19" s="3"/>
      <c r="BI19" s="3"/>
      <c r="BJ19" s="3"/>
      <c r="BK19" s="3"/>
      <c r="BL19" s="3"/>
      <c r="BM19" s="3"/>
      <c r="BN19" s="2"/>
      <c r="BO19" s="2"/>
      <c r="BP19" s="2"/>
      <c r="BQ19" s="2"/>
      <c r="BR19" s="2"/>
      <c r="BS19" s="2"/>
      <c r="BT19" s="2"/>
      <c r="BU19" s="2"/>
      <c r="BV19" s="3"/>
      <c r="BW19" s="3"/>
      <c r="BX19" s="3"/>
      <c r="BY19" s="3"/>
      <c r="BZ19" s="3"/>
      <c r="CA19" s="3"/>
      <c r="CB19" s="3"/>
      <c r="CC19" s="3"/>
      <c r="CD19" s="2"/>
      <c r="CE19" s="2"/>
      <c r="CF19" s="2"/>
      <c r="CG19" s="2"/>
      <c r="CH19" s="2"/>
      <c r="CI19" s="2"/>
      <c r="CJ19" s="2"/>
      <c r="CK19" s="2"/>
      <c r="CL19" s="3"/>
      <c r="CM19" s="3"/>
      <c r="CN19" s="3"/>
      <c r="CO19" s="3"/>
      <c r="CP19" s="3"/>
      <c r="CQ19" s="3"/>
      <c r="CR19" s="3"/>
      <c r="CS19" s="3"/>
      <c r="CT19" s="2"/>
      <c r="CU19" s="2"/>
      <c r="CV19" s="2"/>
      <c r="CW19" s="2"/>
      <c r="CX19" s="2"/>
      <c r="CY19" s="2"/>
      <c r="CZ19" s="2"/>
      <c r="DA19" s="2"/>
      <c r="DB19" s="3"/>
      <c r="DC19" s="3"/>
      <c r="DD19" s="3"/>
      <c r="DE19" s="3"/>
      <c r="DF19" s="3"/>
      <c r="DG19" s="3"/>
      <c r="DH19" s="3"/>
      <c r="DI19" s="3"/>
      <c r="DJ19" s="2"/>
      <c r="DK19" s="2"/>
      <c r="DL19" s="2"/>
      <c r="DM19" s="2"/>
      <c r="DN19" s="2"/>
      <c r="DO19" s="2"/>
      <c r="DP19" s="2"/>
      <c r="DQ19" s="2"/>
      <c r="DR19" s="3"/>
      <c r="DS19" s="3"/>
      <c r="DT19" s="3"/>
      <c r="DU19" s="3"/>
      <c r="DV19" s="3"/>
      <c r="DW19" s="3"/>
      <c r="DX19" s="3"/>
      <c r="DY19" s="3"/>
      <c r="DZ19" s="2"/>
      <c r="EA19" s="2"/>
      <c r="EB19" s="2"/>
      <c r="EC19" s="2"/>
      <c r="ED19" s="2"/>
      <c r="EE19" s="2"/>
      <c r="EF19" s="2"/>
      <c r="EG19" s="2"/>
      <c r="EH19" s="3"/>
      <c r="EI19" s="3"/>
      <c r="EJ19" s="3"/>
      <c r="EK19" s="3"/>
      <c r="EL19" s="3"/>
      <c r="EM19" s="3"/>
      <c r="EN19" s="3"/>
      <c r="EO19" s="3"/>
      <c r="EP19" s="2"/>
      <c r="EQ19" s="2"/>
      <c r="ER19" s="2"/>
      <c r="ES19" s="2"/>
      <c r="ET19" s="2"/>
      <c r="EU19" s="2"/>
      <c r="EV19" s="2"/>
      <c r="EW19" s="2"/>
      <c r="EX19" s="3"/>
      <c r="EY19" s="3"/>
      <c r="EZ19" s="3"/>
      <c r="FA19" s="3"/>
      <c r="FB19" s="3"/>
      <c r="FC19" s="3"/>
      <c r="FD19" s="3"/>
      <c r="FE19" s="3"/>
      <c r="FF19" s="2"/>
      <c r="FG19" s="2"/>
      <c r="FH19" s="2"/>
      <c r="FI19" s="2"/>
      <c r="FJ19" s="2"/>
      <c r="FK19" s="2"/>
      <c r="FL19" s="2"/>
      <c r="FM19" s="2"/>
      <c r="FN19" s="3"/>
      <c r="FO19" s="3"/>
      <c r="FP19" s="3"/>
      <c r="FQ19" s="3"/>
      <c r="FR19" s="3"/>
      <c r="FS19" s="3"/>
      <c r="FT19" s="3"/>
      <c r="FU19" s="3"/>
      <c r="FV19" s="2"/>
      <c r="FW19" s="2"/>
      <c r="FX19" s="2"/>
      <c r="FY19" s="2"/>
      <c r="FZ19" s="2"/>
      <c r="GA19" s="2"/>
      <c r="GB19" s="2"/>
      <c r="GC19" s="2"/>
      <c r="GD19" s="3"/>
      <c r="GE19" s="3"/>
      <c r="GF19" s="3"/>
      <c r="GG19" s="3"/>
      <c r="GH19" s="3"/>
      <c r="GI19" s="3"/>
      <c r="GJ19" s="3"/>
      <c r="GK19" s="3"/>
      <c r="GL19" s="2"/>
      <c r="GM19" s="2"/>
      <c r="GN19" s="2"/>
      <c r="GO19" s="2"/>
      <c r="GP19" s="2"/>
      <c r="GQ19" s="2"/>
      <c r="GR19" s="2"/>
      <c r="GS19" s="2"/>
      <c r="GT19" s="3"/>
      <c r="GU19" s="3"/>
      <c r="GV19" s="3"/>
      <c r="GW19" s="3"/>
      <c r="GX19" s="3"/>
      <c r="GY19" s="3"/>
      <c r="GZ19" s="3"/>
      <c r="HA19" s="3"/>
      <c r="HB19" s="2"/>
      <c r="HC19" s="2"/>
      <c r="HD19" s="2"/>
      <c r="HE19" s="2"/>
      <c r="HF19" s="2"/>
      <c r="HG19" s="2"/>
      <c r="HH19" s="2"/>
      <c r="HI19" s="2"/>
      <c r="HJ19" s="3"/>
      <c r="HK19" s="3"/>
      <c r="HL19" s="3"/>
      <c r="HM19" s="3"/>
      <c r="HN19" s="3"/>
      <c r="HO19" s="3"/>
      <c r="HP19" s="3"/>
      <c r="HQ19" s="3"/>
      <c r="HR19" s="2"/>
      <c r="HS19" s="2"/>
      <c r="HT19" s="2"/>
      <c r="HU19" s="2"/>
      <c r="HV19" s="2"/>
      <c r="HW19" s="2"/>
      <c r="HX19" s="2"/>
      <c r="HY19" s="2"/>
      <c r="HZ19" s="3"/>
      <c r="IA19" s="3"/>
      <c r="IB19" s="3"/>
      <c r="IC19" s="3"/>
      <c r="ID19" s="3"/>
      <c r="IE19" s="3"/>
      <c r="IF19" s="3"/>
      <c r="IG19" s="3"/>
      <c r="IH19" s="2"/>
      <c r="II19" s="2"/>
      <c r="IJ19" s="2"/>
      <c r="IK19" s="2"/>
      <c r="IL19" s="2"/>
      <c r="IM19" s="2"/>
      <c r="IN19" s="2"/>
      <c r="IO19" s="2"/>
      <c r="IP19" s="3"/>
      <c r="IQ19" s="3"/>
      <c r="IR19" s="3"/>
      <c r="IS19" s="3"/>
      <c r="IT19" s="3"/>
      <c r="IU19" s="3"/>
      <c r="IV19" s="3"/>
      <c r="IW19" s="3"/>
    </row>
    <row r="20" spans="1:257" x14ac:dyDescent="0.2">
      <c r="A20" s="1">
        <v>14</v>
      </c>
      <c r="B20" s="2"/>
      <c r="C20" s="2"/>
      <c r="D20" s="2"/>
      <c r="E20" s="2"/>
      <c r="F20" s="2"/>
      <c r="G20" s="2"/>
      <c r="H20" s="2"/>
      <c r="I20" s="2"/>
      <c r="J20" s="3"/>
      <c r="K20" s="3"/>
      <c r="L20" s="3"/>
      <c r="M20" s="3"/>
      <c r="N20" s="3"/>
      <c r="O20" s="3"/>
      <c r="P20" s="3"/>
      <c r="Q20" s="3"/>
      <c r="R20" s="2"/>
      <c r="S20" s="2"/>
      <c r="T20" s="2"/>
      <c r="U20" s="2"/>
      <c r="V20" s="2"/>
      <c r="W20" s="2"/>
      <c r="X20" s="2"/>
      <c r="Y20" s="2"/>
      <c r="Z20" s="3"/>
      <c r="AA20" s="3"/>
      <c r="AB20" s="3"/>
      <c r="AC20" s="3"/>
      <c r="AD20" s="3"/>
      <c r="AE20" s="3"/>
      <c r="AF20" s="3"/>
      <c r="AG20" s="3"/>
      <c r="AH20" s="2"/>
      <c r="AI20" s="2"/>
      <c r="AJ20" s="2"/>
      <c r="AK20" s="2"/>
      <c r="AL20" s="2"/>
      <c r="AM20" s="2"/>
      <c r="AN20" s="2"/>
      <c r="AO20" s="2"/>
      <c r="AP20" s="3"/>
      <c r="AQ20" s="3"/>
      <c r="AR20" s="3"/>
      <c r="AS20" s="3"/>
      <c r="AT20" s="3"/>
      <c r="AU20" s="3"/>
      <c r="AV20" s="3"/>
      <c r="AW20" s="3"/>
      <c r="AX20" s="2"/>
      <c r="AY20" s="2"/>
      <c r="AZ20" s="2"/>
      <c r="BA20" s="2"/>
      <c r="BB20" s="2"/>
      <c r="BC20" s="2"/>
      <c r="BD20" s="2"/>
      <c r="BE20" s="2"/>
      <c r="BF20" s="3"/>
      <c r="BG20" s="3"/>
      <c r="BH20" s="3"/>
      <c r="BI20" s="3"/>
      <c r="BJ20" s="3"/>
      <c r="BK20" s="3"/>
      <c r="BL20" s="3"/>
      <c r="BM20" s="3"/>
      <c r="BN20" s="2"/>
      <c r="BO20" s="2"/>
      <c r="BP20" s="2"/>
      <c r="BQ20" s="2"/>
      <c r="BR20" s="2"/>
      <c r="BS20" s="2"/>
      <c r="BT20" s="2"/>
      <c r="BU20" s="2"/>
      <c r="BV20" s="3"/>
      <c r="BW20" s="3"/>
      <c r="BX20" s="3"/>
      <c r="BY20" s="3"/>
      <c r="BZ20" s="3"/>
      <c r="CA20" s="3"/>
      <c r="CB20" s="3"/>
      <c r="CC20" s="3"/>
      <c r="CD20" s="2"/>
      <c r="CE20" s="2"/>
      <c r="CF20" s="2"/>
      <c r="CG20" s="2"/>
      <c r="CH20" s="2"/>
      <c r="CI20" s="2"/>
      <c r="CJ20" s="2"/>
      <c r="CK20" s="2"/>
      <c r="CL20" s="3"/>
      <c r="CM20" s="3"/>
      <c r="CN20" s="3"/>
      <c r="CO20" s="3"/>
      <c r="CP20" s="3"/>
      <c r="CQ20" s="3"/>
      <c r="CR20" s="3"/>
      <c r="CS20" s="3"/>
      <c r="CT20" s="2"/>
      <c r="CU20" s="2"/>
      <c r="CV20" s="2"/>
      <c r="CW20" s="2"/>
      <c r="CX20" s="2"/>
      <c r="CY20" s="2"/>
      <c r="CZ20" s="2"/>
      <c r="DA20" s="2"/>
      <c r="DB20" s="3"/>
      <c r="DC20" s="3"/>
      <c r="DD20" s="3"/>
      <c r="DE20" s="3"/>
      <c r="DF20" s="3"/>
      <c r="DG20" s="3"/>
      <c r="DH20" s="3"/>
      <c r="DI20" s="3"/>
      <c r="DJ20" s="2"/>
      <c r="DK20" s="2"/>
      <c r="DL20" s="2"/>
      <c r="DM20" s="2"/>
      <c r="DN20" s="2"/>
      <c r="DO20" s="2"/>
      <c r="DP20" s="2"/>
      <c r="DQ20" s="2"/>
      <c r="DR20" s="3"/>
      <c r="DS20" s="3"/>
      <c r="DT20" s="3"/>
      <c r="DU20" s="3"/>
      <c r="DV20" s="3"/>
      <c r="DW20" s="3"/>
      <c r="DX20" s="3"/>
      <c r="DY20" s="3"/>
      <c r="DZ20" s="2"/>
      <c r="EA20" s="2"/>
      <c r="EB20" s="2"/>
      <c r="EC20" s="2"/>
      <c r="ED20" s="2"/>
      <c r="EE20" s="2"/>
      <c r="EF20" s="2"/>
      <c r="EG20" s="2"/>
      <c r="EH20" s="3"/>
      <c r="EI20" s="3"/>
      <c r="EJ20" s="3"/>
      <c r="EK20" s="3"/>
      <c r="EL20" s="3"/>
      <c r="EM20" s="3"/>
      <c r="EN20" s="3"/>
      <c r="EO20" s="3"/>
      <c r="EP20" s="2"/>
      <c r="EQ20" s="2"/>
      <c r="ER20" s="2"/>
      <c r="ES20" s="2"/>
      <c r="ET20" s="2"/>
      <c r="EU20" s="2"/>
      <c r="EV20" s="2"/>
      <c r="EW20" s="2"/>
      <c r="EX20" s="3"/>
      <c r="EY20" s="3"/>
      <c r="EZ20" s="3"/>
      <c r="FA20" s="3"/>
      <c r="FB20" s="3"/>
      <c r="FC20" s="3"/>
      <c r="FD20" s="3"/>
      <c r="FE20" s="3"/>
      <c r="FF20" s="2"/>
      <c r="FG20" s="2"/>
      <c r="FH20" s="2"/>
      <c r="FI20" s="2"/>
      <c r="FJ20" s="2"/>
      <c r="FK20" s="2"/>
      <c r="FL20" s="2"/>
      <c r="FM20" s="2"/>
      <c r="FN20" s="3"/>
      <c r="FO20" s="3"/>
      <c r="FP20" s="3"/>
      <c r="FQ20" s="3"/>
      <c r="FR20" s="3"/>
      <c r="FS20" s="3"/>
      <c r="FT20" s="3"/>
      <c r="FU20" s="3"/>
      <c r="FV20" s="2"/>
      <c r="FW20" s="2"/>
      <c r="FX20" s="2"/>
      <c r="FY20" s="2"/>
      <c r="FZ20" s="2"/>
      <c r="GA20" s="2"/>
      <c r="GB20" s="2"/>
      <c r="GC20" s="2"/>
      <c r="GD20" s="3"/>
      <c r="GE20" s="3"/>
      <c r="GF20" s="3"/>
      <c r="GG20" s="3"/>
      <c r="GH20" s="3"/>
      <c r="GI20" s="3"/>
      <c r="GJ20" s="3"/>
      <c r="GK20" s="3"/>
      <c r="GL20" s="2"/>
      <c r="GM20" s="2"/>
      <c r="GN20" s="2"/>
      <c r="GO20" s="2"/>
      <c r="GP20" s="2"/>
      <c r="GQ20" s="2"/>
      <c r="GR20" s="2"/>
      <c r="GS20" s="2"/>
      <c r="GT20" s="3"/>
      <c r="GU20" s="3"/>
      <c r="GV20" s="3"/>
      <c r="GW20" s="3"/>
      <c r="GX20" s="3"/>
      <c r="GY20" s="3"/>
      <c r="GZ20" s="3"/>
      <c r="HA20" s="3"/>
      <c r="HB20" s="2"/>
      <c r="HC20" s="2"/>
      <c r="HD20" s="2"/>
      <c r="HE20" s="2"/>
      <c r="HF20" s="2"/>
      <c r="HG20" s="2"/>
      <c r="HH20" s="2"/>
      <c r="HI20" s="2"/>
      <c r="HJ20" s="3"/>
      <c r="HK20" s="3"/>
      <c r="HL20" s="3"/>
      <c r="HM20" s="3"/>
      <c r="HN20" s="3"/>
      <c r="HO20" s="3"/>
      <c r="HP20" s="3"/>
      <c r="HQ20" s="3"/>
      <c r="HR20" s="2"/>
      <c r="HS20" s="2"/>
      <c r="HT20" s="2"/>
      <c r="HU20" s="2"/>
      <c r="HV20" s="2"/>
      <c r="HW20" s="2"/>
      <c r="HX20" s="2"/>
      <c r="HY20" s="2"/>
      <c r="HZ20" s="3"/>
      <c r="IA20" s="3"/>
      <c r="IB20" s="3"/>
      <c r="IC20" s="3"/>
      <c r="ID20" s="3"/>
      <c r="IE20" s="3"/>
      <c r="IF20" s="3"/>
      <c r="IG20" s="3"/>
      <c r="IH20" s="2"/>
      <c r="II20" s="2"/>
      <c r="IJ20" s="2"/>
      <c r="IK20" s="2"/>
      <c r="IL20" s="2"/>
      <c r="IM20" s="2"/>
      <c r="IN20" s="2"/>
      <c r="IO20" s="2"/>
      <c r="IP20" s="3"/>
      <c r="IQ20" s="3"/>
      <c r="IR20" s="3"/>
      <c r="IS20" s="3"/>
      <c r="IT20" s="3"/>
      <c r="IU20" s="3"/>
      <c r="IV20" s="3"/>
      <c r="IW20" s="3"/>
    </row>
    <row r="21" spans="1:257" x14ac:dyDescent="0.2">
      <c r="A21" s="1">
        <v>15</v>
      </c>
      <c r="B21" s="2"/>
      <c r="C21" s="2"/>
      <c r="D21" s="2"/>
      <c r="E21" s="2"/>
      <c r="F21" s="2"/>
      <c r="G21" s="2"/>
      <c r="H21" s="2"/>
      <c r="I21" s="2"/>
      <c r="J21" s="3"/>
      <c r="K21" s="3"/>
      <c r="L21" s="3"/>
      <c r="M21" s="3"/>
      <c r="N21" s="3"/>
      <c r="O21" s="3"/>
      <c r="P21" s="3"/>
      <c r="Q21" s="3"/>
      <c r="R21" s="2"/>
      <c r="S21" s="2"/>
      <c r="T21" s="2"/>
      <c r="U21" s="2"/>
      <c r="V21" s="2"/>
      <c r="W21" s="2"/>
      <c r="X21" s="2"/>
      <c r="Y21" s="2"/>
      <c r="Z21" s="3"/>
      <c r="AA21" s="3"/>
      <c r="AB21" s="3"/>
      <c r="AC21" s="3"/>
      <c r="AD21" s="3"/>
      <c r="AE21" s="3"/>
      <c r="AF21" s="3"/>
      <c r="AG21" s="3"/>
      <c r="AH21" s="2"/>
      <c r="AI21" s="2"/>
      <c r="AJ21" s="2"/>
      <c r="AK21" s="2"/>
      <c r="AL21" s="2"/>
      <c r="AM21" s="2"/>
      <c r="AN21" s="2"/>
      <c r="AO21" s="2"/>
      <c r="AP21" s="3"/>
      <c r="AQ21" s="3"/>
      <c r="AR21" s="3"/>
      <c r="AS21" s="3"/>
      <c r="AT21" s="3"/>
      <c r="AU21" s="3"/>
      <c r="AV21" s="3"/>
      <c r="AW21" s="3"/>
      <c r="AX21" s="2"/>
      <c r="AY21" s="2"/>
      <c r="AZ21" s="2"/>
      <c r="BA21" s="2"/>
      <c r="BB21" s="2"/>
      <c r="BC21" s="2"/>
      <c r="BD21" s="2"/>
      <c r="BE21" s="2"/>
      <c r="BF21" s="3"/>
      <c r="BG21" s="3"/>
      <c r="BH21" s="3"/>
      <c r="BI21" s="3"/>
      <c r="BJ21" s="3"/>
      <c r="BK21" s="3"/>
      <c r="BL21" s="3"/>
      <c r="BM21" s="3"/>
      <c r="BN21" s="2"/>
      <c r="BO21" s="2"/>
      <c r="BP21" s="2"/>
      <c r="BQ21" s="2"/>
      <c r="BR21" s="2"/>
      <c r="BS21" s="2"/>
      <c r="BT21" s="2"/>
      <c r="BU21" s="2"/>
      <c r="BV21" s="3"/>
      <c r="BW21" s="3"/>
      <c r="BX21" s="3"/>
      <c r="BY21" s="3"/>
      <c r="BZ21" s="3"/>
      <c r="CA21" s="3"/>
      <c r="CB21" s="3"/>
      <c r="CC21" s="3"/>
      <c r="CD21" s="2"/>
      <c r="CE21" s="2"/>
      <c r="CF21" s="2"/>
      <c r="CG21" s="2"/>
      <c r="CH21" s="2"/>
      <c r="CI21" s="2"/>
      <c r="CJ21" s="2"/>
      <c r="CK21" s="2"/>
      <c r="CL21" s="3"/>
      <c r="CM21" s="3"/>
      <c r="CN21" s="3"/>
      <c r="CO21" s="3"/>
      <c r="CP21" s="3"/>
      <c r="CQ21" s="3"/>
      <c r="CR21" s="3"/>
      <c r="CS21" s="3"/>
      <c r="CT21" s="2"/>
      <c r="CU21" s="2"/>
      <c r="CV21" s="2"/>
      <c r="CW21" s="2"/>
      <c r="CX21" s="2"/>
      <c r="CY21" s="2"/>
      <c r="CZ21" s="2"/>
      <c r="DA21" s="2"/>
      <c r="DB21" s="3"/>
      <c r="DC21" s="3"/>
      <c r="DD21" s="3"/>
      <c r="DE21" s="3"/>
      <c r="DF21" s="3"/>
      <c r="DG21" s="3"/>
      <c r="DH21" s="3"/>
      <c r="DI21" s="3"/>
      <c r="DJ21" s="2"/>
      <c r="DK21" s="2"/>
      <c r="DL21" s="2"/>
      <c r="DM21" s="2"/>
      <c r="DN21" s="2"/>
      <c r="DO21" s="2"/>
      <c r="DP21" s="2"/>
      <c r="DQ21" s="2"/>
      <c r="DR21" s="3"/>
      <c r="DS21" s="3"/>
      <c r="DT21" s="3"/>
      <c r="DU21" s="3"/>
      <c r="DV21" s="3"/>
      <c r="DW21" s="3"/>
      <c r="DX21" s="3"/>
      <c r="DY21" s="3"/>
      <c r="DZ21" s="2"/>
      <c r="EA21" s="2"/>
      <c r="EB21" s="2"/>
      <c r="EC21" s="2"/>
      <c r="ED21" s="2"/>
      <c r="EE21" s="2"/>
      <c r="EF21" s="2"/>
      <c r="EG21" s="2"/>
      <c r="EH21" s="3"/>
      <c r="EI21" s="3"/>
      <c r="EJ21" s="3"/>
      <c r="EK21" s="3"/>
      <c r="EL21" s="3"/>
      <c r="EM21" s="3"/>
      <c r="EN21" s="3"/>
      <c r="EO21" s="3"/>
      <c r="EP21" s="2"/>
      <c r="EQ21" s="2"/>
      <c r="ER21" s="2"/>
      <c r="ES21" s="2"/>
      <c r="ET21" s="2"/>
      <c r="EU21" s="2"/>
      <c r="EV21" s="2"/>
      <c r="EW21" s="2"/>
      <c r="EX21" s="3"/>
      <c r="EY21" s="3"/>
      <c r="EZ21" s="3"/>
      <c r="FA21" s="3"/>
      <c r="FB21" s="3"/>
      <c r="FC21" s="3"/>
      <c r="FD21" s="3"/>
      <c r="FE21" s="3"/>
      <c r="FF21" s="2"/>
      <c r="FG21" s="2"/>
      <c r="FH21" s="2"/>
      <c r="FI21" s="2"/>
      <c r="FJ21" s="2"/>
      <c r="FK21" s="2"/>
      <c r="FL21" s="2"/>
      <c r="FM21" s="2"/>
      <c r="FN21" s="3"/>
      <c r="FO21" s="3"/>
      <c r="FP21" s="3"/>
      <c r="FQ21" s="3"/>
      <c r="FR21" s="3"/>
      <c r="FS21" s="3"/>
      <c r="FT21" s="3"/>
      <c r="FU21" s="3"/>
      <c r="FV21" s="2"/>
      <c r="FW21" s="2"/>
      <c r="FX21" s="2"/>
      <c r="FY21" s="2"/>
      <c r="FZ21" s="2"/>
      <c r="GA21" s="2"/>
      <c r="GB21" s="2"/>
      <c r="GC21" s="2"/>
      <c r="GD21" s="3"/>
      <c r="GE21" s="3"/>
      <c r="GF21" s="3"/>
      <c r="GG21" s="3"/>
      <c r="GH21" s="3"/>
      <c r="GI21" s="3"/>
      <c r="GJ21" s="3"/>
      <c r="GK21" s="3"/>
      <c r="GL21" s="2"/>
      <c r="GM21" s="2"/>
      <c r="GN21" s="2"/>
      <c r="GO21" s="2"/>
      <c r="GP21" s="2"/>
      <c r="GQ21" s="2"/>
      <c r="GR21" s="2"/>
      <c r="GS21" s="2"/>
      <c r="GT21" s="3"/>
      <c r="GU21" s="3"/>
      <c r="GV21" s="3"/>
      <c r="GW21" s="3"/>
      <c r="GX21" s="3"/>
      <c r="GY21" s="3"/>
      <c r="GZ21" s="3"/>
      <c r="HA21" s="3"/>
      <c r="HB21" s="2"/>
      <c r="HC21" s="2"/>
      <c r="HD21" s="2"/>
      <c r="HE21" s="2"/>
      <c r="HF21" s="2"/>
      <c r="HG21" s="2"/>
      <c r="HH21" s="2"/>
      <c r="HI21" s="2"/>
      <c r="HJ21" s="3"/>
      <c r="HK21" s="3"/>
      <c r="HL21" s="3"/>
      <c r="HM21" s="3"/>
      <c r="HN21" s="3"/>
      <c r="HO21" s="3"/>
      <c r="HP21" s="3"/>
      <c r="HQ21" s="3"/>
      <c r="HR21" s="2"/>
      <c r="HS21" s="2"/>
      <c r="HT21" s="2"/>
      <c r="HU21" s="2"/>
      <c r="HV21" s="2"/>
      <c r="HW21" s="2"/>
      <c r="HX21" s="2"/>
      <c r="HY21" s="2"/>
      <c r="HZ21" s="3"/>
      <c r="IA21" s="3"/>
      <c r="IB21" s="3"/>
      <c r="IC21" s="3"/>
      <c r="ID21" s="3"/>
      <c r="IE21" s="3"/>
      <c r="IF21" s="3"/>
      <c r="IG21" s="3"/>
      <c r="IH21" s="2"/>
      <c r="II21" s="2"/>
      <c r="IJ21" s="2"/>
      <c r="IK21" s="2"/>
      <c r="IL21" s="2"/>
      <c r="IM21" s="2"/>
      <c r="IN21" s="2"/>
      <c r="IO21" s="2"/>
      <c r="IP21" s="3"/>
      <c r="IQ21" s="3"/>
      <c r="IR21" s="3"/>
      <c r="IS21" s="3"/>
      <c r="IT21" s="3"/>
      <c r="IU21" s="3"/>
      <c r="IV21" s="3"/>
      <c r="IW21" s="3"/>
    </row>
    <row r="22" spans="1:257" x14ac:dyDescent="0.2">
      <c r="A22" s="1">
        <v>16</v>
      </c>
      <c r="B22" s="2"/>
      <c r="C22" s="2"/>
      <c r="D22" s="2"/>
      <c r="E22" s="2"/>
      <c r="F22" s="2"/>
      <c r="G22" s="2"/>
      <c r="H22" s="2"/>
      <c r="I22" s="2"/>
      <c r="J22" s="3"/>
      <c r="K22" s="3"/>
      <c r="L22" s="3"/>
      <c r="M22" s="3"/>
      <c r="N22" s="3"/>
      <c r="O22" s="3"/>
      <c r="P22" s="3"/>
      <c r="Q22" s="3"/>
      <c r="R22" s="2"/>
      <c r="S22" s="2"/>
      <c r="T22" s="2"/>
      <c r="U22" s="2"/>
      <c r="V22" s="2"/>
      <c r="W22" s="2"/>
      <c r="X22" s="2"/>
      <c r="Y22" s="2"/>
      <c r="Z22" s="3"/>
      <c r="AA22" s="3"/>
      <c r="AB22" s="3"/>
      <c r="AC22" s="3"/>
      <c r="AD22" s="3"/>
      <c r="AE22" s="3"/>
      <c r="AF22" s="3"/>
      <c r="AG22" s="3"/>
      <c r="AH22" s="2"/>
      <c r="AI22" s="2"/>
      <c r="AJ22" s="2"/>
      <c r="AK22" s="2"/>
      <c r="AL22" s="2"/>
      <c r="AM22" s="2"/>
      <c r="AN22" s="2"/>
      <c r="AO22" s="2"/>
      <c r="AP22" s="3"/>
      <c r="AQ22" s="3"/>
      <c r="AR22" s="3"/>
      <c r="AS22" s="3"/>
      <c r="AT22" s="3"/>
      <c r="AU22" s="3"/>
      <c r="AV22" s="3"/>
      <c r="AW22" s="3"/>
      <c r="AX22" s="2"/>
      <c r="AY22" s="2"/>
      <c r="AZ22" s="2"/>
      <c r="BA22" s="2"/>
      <c r="BB22" s="2"/>
      <c r="BC22" s="2"/>
      <c r="BD22" s="2"/>
      <c r="BE22" s="2"/>
      <c r="BF22" s="3"/>
      <c r="BG22" s="3"/>
      <c r="BH22" s="3"/>
      <c r="BI22" s="3"/>
      <c r="BJ22" s="3"/>
      <c r="BK22" s="3"/>
      <c r="BL22" s="3"/>
      <c r="BM22" s="3"/>
      <c r="BN22" s="2"/>
      <c r="BO22" s="2"/>
      <c r="BP22" s="2"/>
      <c r="BQ22" s="2"/>
      <c r="BR22" s="2"/>
      <c r="BS22" s="2"/>
      <c r="BT22" s="2"/>
      <c r="BU22" s="2"/>
      <c r="BV22" s="3"/>
      <c r="BW22" s="3"/>
      <c r="BX22" s="3"/>
      <c r="BY22" s="3"/>
      <c r="BZ22" s="3"/>
      <c r="CA22" s="3"/>
      <c r="CB22" s="3"/>
      <c r="CC22" s="3"/>
      <c r="CD22" s="2"/>
      <c r="CE22" s="2"/>
      <c r="CF22" s="2"/>
      <c r="CG22" s="2"/>
      <c r="CH22" s="2"/>
      <c r="CI22" s="2"/>
      <c r="CJ22" s="2"/>
      <c r="CK22" s="2"/>
      <c r="CL22" s="3"/>
      <c r="CM22" s="3"/>
      <c r="CN22" s="3"/>
      <c r="CO22" s="3"/>
      <c r="CP22" s="3"/>
      <c r="CQ22" s="3"/>
      <c r="CR22" s="3"/>
      <c r="CS22" s="3"/>
      <c r="CT22" s="2"/>
      <c r="CU22" s="2"/>
      <c r="CV22" s="2"/>
      <c r="CW22" s="2"/>
      <c r="CX22" s="2"/>
      <c r="CY22" s="2"/>
      <c r="CZ22" s="2"/>
      <c r="DA22" s="2"/>
      <c r="DB22" s="3"/>
      <c r="DC22" s="3"/>
      <c r="DD22" s="3"/>
      <c r="DE22" s="3"/>
      <c r="DF22" s="3"/>
      <c r="DG22" s="3"/>
      <c r="DH22" s="3"/>
      <c r="DI22" s="3"/>
      <c r="DJ22" s="2"/>
      <c r="DK22" s="2"/>
      <c r="DL22" s="2"/>
      <c r="DM22" s="2"/>
      <c r="DN22" s="2"/>
      <c r="DO22" s="2"/>
      <c r="DP22" s="2"/>
      <c r="DQ22" s="2"/>
      <c r="DR22" s="3"/>
      <c r="DS22" s="3"/>
      <c r="DT22" s="3"/>
      <c r="DU22" s="3"/>
      <c r="DV22" s="3"/>
      <c r="DW22" s="3"/>
      <c r="DX22" s="3"/>
      <c r="DY22" s="3"/>
      <c r="DZ22" s="2"/>
      <c r="EA22" s="2"/>
      <c r="EB22" s="2"/>
      <c r="EC22" s="2"/>
      <c r="ED22" s="2"/>
      <c r="EE22" s="2"/>
      <c r="EF22" s="2"/>
      <c r="EG22" s="2"/>
      <c r="EH22" s="3"/>
      <c r="EI22" s="3"/>
      <c r="EJ22" s="3"/>
      <c r="EK22" s="3"/>
      <c r="EL22" s="3"/>
      <c r="EM22" s="3"/>
      <c r="EN22" s="3"/>
      <c r="EO22" s="3"/>
      <c r="EP22" s="2"/>
      <c r="EQ22" s="2"/>
      <c r="ER22" s="2"/>
      <c r="ES22" s="2"/>
      <c r="ET22" s="2"/>
      <c r="EU22" s="2"/>
      <c r="EV22" s="2"/>
      <c r="EW22" s="2"/>
      <c r="EX22" s="3"/>
      <c r="EY22" s="3"/>
      <c r="EZ22" s="3"/>
      <c r="FA22" s="3"/>
      <c r="FB22" s="3"/>
      <c r="FC22" s="3"/>
      <c r="FD22" s="3"/>
      <c r="FE22" s="3"/>
      <c r="FF22" s="2"/>
      <c r="FG22" s="2"/>
      <c r="FH22" s="2"/>
      <c r="FI22" s="2"/>
      <c r="FJ22" s="2"/>
      <c r="FK22" s="2"/>
      <c r="FL22" s="2"/>
      <c r="FM22" s="2"/>
      <c r="FN22" s="3"/>
      <c r="FO22" s="3"/>
      <c r="FP22" s="3"/>
      <c r="FQ22" s="3"/>
      <c r="FR22" s="3"/>
      <c r="FS22" s="3"/>
      <c r="FT22" s="3"/>
      <c r="FU22" s="3"/>
      <c r="FV22" s="2"/>
      <c r="FW22" s="2"/>
      <c r="FX22" s="2"/>
      <c r="FY22" s="2"/>
      <c r="FZ22" s="2"/>
      <c r="GA22" s="2"/>
      <c r="GB22" s="2"/>
      <c r="GC22" s="2"/>
      <c r="GD22" s="3"/>
      <c r="GE22" s="3"/>
      <c r="GF22" s="3"/>
      <c r="GG22" s="3"/>
      <c r="GH22" s="3"/>
      <c r="GI22" s="3"/>
      <c r="GJ22" s="3"/>
      <c r="GK22" s="3"/>
      <c r="GL22" s="2"/>
      <c r="GM22" s="2"/>
      <c r="GN22" s="2"/>
      <c r="GO22" s="2"/>
      <c r="GP22" s="2"/>
      <c r="GQ22" s="2"/>
      <c r="GR22" s="2"/>
      <c r="GS22" s="2"/>
      <c r="GT22" s="3"/>
      <c r="GU22" s="3"/>
      <c r="GV22" s="3"/>
      <c r="GW22" s="3"/>
      <c r="GX22" s="3"/>
      <c r="GY22" s="3"/>
      <c r="GZ22" s="3"/>
      <c r="HA22" s="3"/>
      <c r="HB22" s="2"/>
      <c r="HC22" s="2"/>
      <c r="HD22" s="2"/>
      <c r="HE22" s="2"/>
      <c r="HF22" s="2"/>
      <c r="HG22" s="2"/>
      <c r="HH22" s="2"/>
      <c r="HI22" s="2"/>
      <c r="HJ22" s="3"/>
      <c r="HK22" s="3"/>
      <c r="HL22" s="3"/>
      <c r="HM22" s="3"/>
      <c r="HN22" s="3"/>
      <c r="HO22" s="3"/>
      <c r="HP22" s="3"/>
      <c r="HQ22" s="3"/>
      <c r="HR22" s="2"/>
      <c r="HS22" s="2"/>
      <c r="HT22" s="2"/>
      <c r="HU22" s="2"/>
      <c r="HV22" s="2"/>
      <c r="HW22" s="2"/>
      <c r="HX22" s="2"/>
      <c r="HY22" s="2"/>
      <c r="HZ22" s="3"/>
      <c r="IA22" s="3"/>
      <c r="IB22" s="3"/>
      <c r="IC22" s="3"/>
      <c r="ID22" s="3"/>
      <c r="IE22" s="3"/>
      <c r="IF22" s="3"/>
      <c r="IG22" s="3"/>
      <c r="IH22" s="2"/>
      <c r="II22" s="2"/>
      <c r="IJ22" s="2"/>
      <c r="IK22" s="2"/>
      <c r="IL22" s="2"/>
      <c r="IM22" s="2"/>
      <c r="IN22" s="2"/>
      <c r="IO22" s="2"/>
      <c r="IP22" s="3"/>
      <c r="IQ22" s="3"/>
      <c r="IR22" s="3"/>
      <c r="IS22" s="3"/>
      <c r="IT22" s="3"/>
      <c r="IU22" s="3"/>
      <c r="IV22" s="3"/>
      <c r="IW22" s="3"/>
    </row>
    <row r="23" spans="1:257" x14ac:dyDescent="0.2">
      <c r="A23" s="1">
        <v>17</v>
      </c>
      <c r="B23" s="2"/>
      <c r="C23" s="2"/>
      <c r="D23" s="2"/>
      <c r="E23" s="2"/>
      <c r="F23" s="2"/>
      <c r="G23" s="2"/>
      <c r="H23" s="2"/>
      <c r="I23" s="2"/>
      <c r="J23" s="3"/>
      <c r="K23" s="3"/>
      <c r="L23" s="3"/>
      <c r="M23" s="3"/>
      <c r="N23" s="3"/>
      <c r="O23" s="3"/>
      <c r="P23" s="3"/>
      <c r="Q23" s="3"/>
      <c r="R23" s="2"/>
      <c r="S23" s="2"/>
      <c r="T23" s="2"/>
      <c r="U23" s="2"/>
      <c r="V23" s="2"/>
      <c r="W23" s="2"/>
      <c r="X23" s="2"/>
      <c r="Y23" s="2"/>
      <c r="Z23" s="3"/>
      <c r="AA23" s="3"/>
      <c r="AB23" s="3"/>
      <c r="AC23" s="3"/>
      <c r="AD23" s="3"/>
      <c r="AE23" s="3"/>
      <c r="AF23" s="3"/>
      <c r="AG23" s="3"/>
      <c r="AH23" s="2"/>
      <c r="AI23" s="2"/>
      <c r="AJ23" s="2"/>
      <c r="AK23" s="2"/>
      <c r="AL23" s="2"/>
      <c r="AM23" s="2"/>
      <c r="AN23" s="2"/>
      <c r="AO23" s="2"/>
      <c r="AP23" s="3"/>
      <c r="AQ23" s="3"/>
      <c r="AR23" s="3"/>
      <c r="AS23" s="3"/>
      <c r="AT23" s="3"/>
      <c r="AU23" s="3"/>
      <c r="AV23" s="3"/>
      <c r="AW23" s="3"/>
      <c r="AX23" s="2"/>
      <c r="AY23" s="2"/>
      <c r="AZ23" s="2"/>
      <c r="BA23" s="2"/>
      <c r="BB23" s="2"/>
      <c r="BC23" s="2"/>
      <c r="BD23" s="2"/>
      <c r="BE23" s="2"/>
      <c r="BF23" s="3"/>
      <c r="BG23" s="3"/>
      <c r="BH23" s="3"/>
      <c r="BI23" s="3"/>
      <c r="BJ23" s="3"/>
      <c r="BK23" s="3"/>
      <c r="BL23" s="3"/>
      <c r="BM23" s="3"/>
      <c r="BN23" s="2"/>
      <c r="BO23" s="2"/>
      <c r="BP23" s="2"/>
      <c r="BQ23" s="2"/>
      <c r="BR23" s="2"/>
      <c r="BS23" s="2"/>
      <c r="BT23" s="2"/>
      <c r="BU23" s="2"/>
      <c r="BV23" s="3"/>
      <c r="BW23" s="3"/>
      <c r="BX23" s="3"/>
      <c r="BY23" s="3"/>
      <c r="BZ23" s="3"/>
      <c r="CA23" s="3"/>
      <c r="CB23" s="3"/>
      <c r="CC23" s="3"/>
      <c r="CD23" s="2"/>
      <c r="CE23" s="2"/>
      <c r="CF23" s="2"/>
      <c r="CG23" s="2"/>
      <c r="CH23" s="2"/>
      <c r="CI23" s="2"/>
      <c r="CJ23" s="2"/>
      <c r="CK23" s="2"/>
      <c r="CL23" s="3"/>
      <c r="CM23" s="3"/>
      <c r="CN23" s="3"/>
      <c r="CO23" s="3"/>
      <c r="CP23" s="3"/>
      <c r="CQ23" s="3"/>
      <c r="CR23" s="3"/>
      <c r="CS23" s="3"/>
      <c r="CT23" s="2"/>
      <c r="CU23" s="2"/>
      <c r="CV23" s="2"/>
      <c r="CW23" s="2"/>
      <c r="CX23" s="2"/>
      <c r="CY23" s="2"/>
      <c r="CZ23" s="2"/>
      <c r="DA23" s="2"/>
      <c r="DB23" s="3"/>
      <c r="DC23" s="3"/>
      <c r="DD23" s="3"/>
      <c r="DE23" s="3"/>
      <c r="DF23" s="3"/>
      <c r="DG23" s="3"/>
      <c r="DH23" s="3"/>
      <c r="DI23" s="3"/>
      <c r="DJ23" s="2"/>
      <c r="DK23" s="2"/>
      <c r="DL23" s="2"/>
      <c r="DM23" s="2"/>
      <c r="DN23" s="2"/>
      <c r="DO23" s="2"/>
      <c r="DP23" s="2"/>
      <c r="DQ23" s="2"/>
      <c r="DR23" s="3"/>
      <c r="DS23" s="3"/>
      <c r="DT23" s="3"/>
      <c r="DU23" s="3"/>
      <c r="DV23" s="3"/>
      <c r="DW23" s="3"/>
      <c r="DX23" s="3"/>
      <c r="DY23" s="3"/>
      <c r="DZ23" s="2"/>
      <c r="EA23" s="2"/>
      <c r="EB23" s="2"/>
      <c r="EC23" s="2"/>
      <c r="ED23" s="2"/>
      <c r="EE23" s="2"/>
      <c r="EF23" s="2"/>
      <c r="EG23" s="2"/>
      <c r="EH23" s="3"/>
      <c r="EI23" s="3"/>
      <c r="EJ23" s="3"/>
      <c r="EK23" s="3"/>
      <c r="EL23" s="3"/>
      <c r="EM23" s="3"/>
      <c r="EN23" s="3"/>
      <c r="EO23" s="3"/>
      <c r="EP23" s="2"/>
      <c r="EQ23" s="2"/>
      <c r="ER23" s="2"/>
      <c r="ES23" s="2"/>
      <c r="ET23" s="2"/>
      <c r="EU23" s="2"/>
      <c r="EV23" s="2"/>
      <c r="EW23" s="2"/>
      <c r="EX23" s="3"/>
      <c r="EY23" s="3"/>
      <c r="EZ23" s="3"/>
      <c r="FA23" s="3"/>
      <c r="FB23" s="3"/>
      <c r="FC23" s="3"/>
      <c r="FD23" s="3"/>
      <c r="FE23" s="3"/>
      <c r="FF23" s="2"/>
      <c r="FG23" s="2"/>
      <c r="FH23" s="2"/>
      <c r="FI23" s="2"/>
      <c r="FJ23" s="2"/>
      <c r="FK23" s="2"/>
      <c r="FL23" s="2"/>
      <c r="FM23" s="2"/>
      <c r="FN23" s="3"/>
      <c r="FO23" s="3"/>
      <c r="FP23" s="3"/>
      <c r="FQ23" s="3"/>
      <c r="FR23" s="3"/>
      <c r="FS23" s="3"/>
      <c r="FT23" s="3"/>
      <c r="FU23" s="3"/>
      <c r="FV23" s="2"/>
      <c r="FW23" s="2"/>
      <c r="FX23" s="2"/>
      <c r="FY23" s="2"/>
      <c r="FZ23" s="2"/>
      <c r="GA23" s="2"/>
      <c r="GB23" s="2"/>
      <c r="GC23" s="2"/>
      <c r="GD23" s="3"/>
      <c r="GE23" s="3"/>
      <c r="GF23" s="3"/>
      <c r="GG23" s="3"/>
      <c r="GH23" s="3"/>
      <c r="GI23" s="3"/>
      <c r="GJ23" s="3"/>
      <c r="GK23" s="3"/>
      <c r="GL23" s="2"/>
      <c r="GM23" s="2"/>
      <c r="GN23" s="2"/>
      <c r="GO23" s="2"/>
      <c r="GP23" s="2"/>
      <c r="GQ23" s="2"/>
      <c r="GR23" s="2"/>
      <c r="GS23" s="2"/>
      <c r="GT23" s="3"/>
      <c r="GU23" s="3"/>
      <c r="GV23" s="3"/>
      <c r="GW23" s="3"/>
      <c r="GX23" s="3"/>
      <c r="GY23" s="3"/>
      <c r="GZ23" s="3"/>
      <c r="HA23" s="3"/>
      <c r="HB23" s="2"/>
      <c r="HC23" s="2"/>
      <c r="HD23" s="2"/>
      <c r="HE23" s="2"/>
      <c r="HF23" s="2"/>
      <c r="HG23" s="2"/>
      <c r="HH23" s="2"/>
      <c r="HI23" s="2"/>
      <c r="HJ23" s="3"/>
      <c r="HK23" s="3"/>
      <c r="HL23" s="3"/>
      <c r="HM23" s="3"/>
      <c r="HN23" s="3"/>
      <c r="HO23" s="3"/>
      <c r="HP23" s="3"/>
      <c r="HQ23" s="3"/>
      <c r="HR23" s="2"/>
      <c r="HS23" s="2"/>
      <c r="HT23" s="2"/>
      <c r="HU23" s="2"/>
      <c r="HV23" s="2"/>
      <c r="HW23" s="2"/>
      <c r="HX23" s="2"/>
      <c r="HY23" s="2"/>
      <c r="HZ23" s="3"/>
      <c r="IA23" s="3"/>
      <c r="IB23" s="3"/>
      <c r="IC23" s="3"/>
      <c r="ID23" s="3"/>
      <c r="IE23" s="3"/>
      <c r="IF23" s="3"/>
      <c r="IG23" s="3"/>
      <c r="IH23" s="2"/>
      <c r="II23" s="2"/>
      <c r="IJ23" s="2"/>
      <c r="IK23" s="2"/>
      <c r="IL23" s="2"/>
      <c r="IM23" s="2"/>
      <c r="IN23" s="2"/>
      <c r="IO23" s="2"/>
      <c r="IP23" s="3"/>
      <c r="IQ23" s="3"/>
      <c r="IR23" s="3"/>
      <c r="IS23" s="3"/>
      <c r="IT23" s="3"/>
      <c r="IU23" s="3"/>
      <c r="IV23" s="3"/>
      <c r="IW23" s="3"/>
    </row>
    <row r="24" spans="1:257" x14ac:dyDescent="0.2">
      <c r="A24" s="1">
        <v>18</v>
      </c>
      <c r="B24" s="2"/>
      <c r="C24" s="2"/>
      <c r="D24" s="2"/>
      <c r="E24" s="2"/>
      <c r="F24" s="2"/>
      <c r="G24" s="2"/>
      <c r="H24" s="2"/>
      <c r="I24" s="2"/>
      <c r="J24" s="3"/>
      <c r="K24" s="3"/>
      <c r="L24" s="3"/>
      <c r="M24" s="3"/>
      <c r="N24" s="3"/>
      <c r="O24" s="3"/>
      <c r="P24" s="3"/>
      <c r="Q24" s="3"/>
      <c r="R24" s="2"/>
      <c r="S24" s="2"/>
      <c r="T24" s="2"/>
      <c r="U24" s="2"/>
      <c r="V24" s="2"/>
      <c r="W24" s="2"/>
      <c r="X24" s="2"/>
      <c r="Y24" s="2"/>
      <c r="Z24" s="3"/>
      <c r="AA24" s="3"/>
      <c r="AB24" s="3"/>
      <c r="AC24" s="3"/>
      <c r="AD24" s="3"/>
      <c r="AE24" s="3"/>
      <c r="AF24" s="3"/>
      <c r="AG24" s="3"/>
      <c r="AH24" s="2"/>
      <c r="AI24" s="2"/>
      <c r="AJ24" s="2"/>
      <c r="AK24" s="2"/>
      <c r="AL24" s="2"/>
      <c r="AM24" s="2"/>
      <c r="AN24" s="2"/>
      <c r="AO24" s="2"/>
      <c r="AP24" s="3"/>
      <c r="AQ24" s="3"/>
      <c r="AR24" s="3"/>
      <c r="AS24" s="3"/>
      <c r="AT24" s="3"/>
      <c r="AU24" s="3"/>
      <c r="AV24" s="3"/>
      <c r="AW24" s="3"/>
      <c r="AX24" s="2"/>
      <c r="AY24" s="2"/>
      <c r="AZ24" s="2"/>
      <c r="BA24" s="2"/>
      <c r="BB24" s="2"/>
      <c r="BC24" s="2"/>
      <c r="BD24" s="2"/>
      <c r="BE24" s="2"/>
      <c r="BF24" s="3"/>
      <c r="BG24" s="3"/>
      <c r="BH24" s="3"/>
      <c r="BI24" s="3"/>
      <c r="BJ24" s="3"/>
      <c r="BK24" s="3"/>
      <c r="BL24" s="3"/>
      <c r="BM24" s="3"/>
      <c r="BN24" s="2"/>
      <c r="BO24" s="2"/>
      <c r="BP24" s="2"/>
      <c r="BQ24" s="2"/>
      <c r="BR24" s="2"/>
      <c r="BS24" s="2"/>
      <c r="BT24" s="2"/>
      <c r="BU24" s="2"/>
      <c r="BV24" s="3"/>
      <c r="BW24" s="3"/>
      <c r="BX24" s="3"/>
      <c r="BY24" s="3"/>
      <c r="BZ24" s="3"/>
      <c r="CA24" s="3"/>
      <c r="CB24" s="3"/>
      <c r="CC24" s="3"/>
      <c r="CD24" s="2"/>
      <c r="CE24" s="2"/>
      <c r="CF24" s="2"/>
      <c r="CG24" s="2"/>
      <c r="CH24" s="2"/>
      <c r="CI24" s="2"/>
      <c r="CJ24" s="2"/>
      <c r="CK24" s="2"/>
      <c r="CL24" s="3"/>
      <c r="CM24" s="3"/>
      <c r="CN24" s="3"/>
      <c r="CO24" s="3"/>
      <c r="CP24" s="3"/>
      <c r="CQ24" s="3"/>
      <c r="CR24" s="3"/>
      <c r="CS24" s="3"/>
      <c r="CT24" s="2"/>
      <c r="CU24" s="2"/>
      <c r="CV24" s="2"/>
      <c r="CW24" s="2"/>
      <c r="CX24" s="2"/>
      <c r="CY24" s="2"/>
      <c r="CZ24" s="2"/>
      <c r="DA24" s="2"/>
      <c r="DB24" s="3"/>
      <c r="DC24" s="3"/>
      <c r="DD24" s="3"/>
      <c r="DE24" s="3"/>
      <c r="DF24" s="3"/>
      <c r="DG24" s="3"/>
      <c r="DH24" s="3"/>
      <c r="DI24" s="3"/>
      <c r="DJ24" s="2"/>
      <c r="DK24" s="2"/>
      <c r="DL24" s="2"/>
      <c r="DM24" s="2"/>
      <c r="DN24" s="2"/>
      <c r="DO24" s="2"/>
      <c r="DP24" s="2"/>
      <c r="DQ24" s="2"/>
      <c r="DR24" s="3"/>
      <c r="DS24" s="3"/>
      <c r="DT24" s="3"/>
      <c r="DU24" s="3"/>
      <c r="DV24" s="3"/>
      <c r="DW24" s="3"/>
      <c r="DX24" s="3"/>
      <c r="DY24" s="3"/>
      <c r="DZ24" s="2"/>
      <c r="EA24" s="2"/>
      <c r="EB24" s="2"/>
      <c r="EC24" s="2"/>
      <c r="ED24" s="2"/>
      <c r="EE24" s="2"/>
      <c r="EF24" s="2"/>
      <c r="EG24" s="2"/>
      <c r="EH24" s="3"/>
      <c r="EI24" s="3"/>
      <c r="EJ24" s="3"/>
      <c r="EK24" s="3"/>
      <c r="EL24" s="3"/>
      <c r="EM24" s="3"/>
      <c r="EN24" s="3"/>
      <c r="EO24" s="3"/>
      <c r="EP24" s="2"/>
      <c r="EQ24" s="2"/>
      <c r="ER24" s="2"/>
      <c r="ES24" s="2"/>
      <c r="ET24" s="2"/>
      <c r="EU24" s="2"/>
      <c r="EV24" s="2"/>
      <c r="EW24" s="2"/>
      <c r="EX24" s="3"/>
      <c r="EY24" s="3"/>
      <c r="EZ24" s="3"/>
      <c r="FA24" s="3"/>
      <c r="FB24" s="3"/>
      <c r="FC24" s="3"/>
      <c r="FD24" s="3"/>
      <c r="FE24" s="3"/>
      <c r="FF24" s="2"/>
      <c r="FG24" s="2"/>
      <c r="FH24" s="2"/>
      <c r="FI24" s="2"/>
      <c r="FJ24" s="2"/>
      <c r="FK24" s="2"/>
      <c r="FL24" s="2"/>
      <c r="FM24" s="2"/>
      <c r="FN24" s="3"/>
      <c r="FO24" s="3"/>
      <c r="FP24" s="3"/>
      <c r="FQ24" s="3"/>
      <c r="FR24" s="3"/>
      <c r="FS24" s="3"/>
      <c r="FT24" s="3"/>
      <c r="FU24" s="3"/>
      <c r="FV24" s="2"/>
      <c r="FW24" s="2"/>
      <c r="FX24" s="2"/>
      <c r="FY24" s="2"/>
      <c r="FZ24" s="2"/>
      <c r="GA24" s="2"/>
      <c r="GB24" s="2"/>
      <c r="GC24" s="2"/>
      <c r="GD24" s="3"/>
      <c r="GE24" s="3"/>
      <c r="GF24" s="3"/>
      <c r="GG24" s="3"/>
      <c r="GH24" s="3"/>
      <c r="GI24" s="3"/>
      <c r="GJ24" s="3"/>
      <c r="GK24" s="3"/>
      <c r="GL24" s="2"/>
      <c r="GM24" s="2"/>
      <c r="GN24" s="2"/>
      <c r="GO24" s="2"/>
      <c r="GP24" s="2"/>
      <c r="GQ24" s="2"/>
      <c r="GR24" s="2"/>
      <c r="GS24" s="2"/>
      <c r="GT24" s="3"/>
      <c r="GU24" s="3"/>
      <c r="GV24" s="3"/>
      <c r="GW24" s="3"/>
      <c r="GX24" s="3"/>
      <c r="GY24" s="3"/>
      <c r="GZ24" s="3"/>
      <c r="HA24" s="3"/>
      <c r="HB24" s="2"/>
      <c r="HC24" s="2"/>
      <c r="HD24" s="2"/>
      <c r="HE24" s="2"/>
      <c r="HF24" s="2"/>
      <c r="HG24" s="2"/>
      <c r="HH24" s="2"/>
      <c r="HI24" s="2"/>
      <c r="HJ24" s="3"/>
      <c r="HK24" s="3"/>
      <c r="HL24" s="3"/>
      <c r="HM24" s="3"/>
      <c r="HN24" s="3"/>
      <c r="HO24" s="3"/>
      <c r="HP24" s="3"/>
      <c r="HQ24" s="3"/>
      <c r="HR24" s="2"/>
      <c r="HS24" s="2"/>
      <c r="HT24" s="2"/>
      <c r="HU24" s="2"/>
      <c r="HV24" s="2"/>
      <c r="HW24" s="2"/>
      <c r="HX24" s="2"/>
      <c r="HY24" s="2"/>
      <c r="HZ24" s="3"/>
      <c r="IA24" s="3"/>
      <c r="IB24" s="3"/>
      <c r="IC24" s="3"/>
      <c r="ID24" s="3"/>
      <c r="IE24" s="3"/>
      <c r="IF24" s="3"/>
      <c r="IG24" s="3"/>
      <c r="IH24" s="2"/>
      <c r="II24" s="2"/>
      <c r="IJ24" s="2"/>
      <c r="IK24" s="2"/>
      <c r="IL24" s="2"/>
      <c r="IM24" s="2"/>
      <c r="IN24" s="2"/>
      <c r="IO24" s="2"/>
      <c r="IP24" s="3"/>
      <c r="IQ24" s="3"/>
      <c r="IR24" s="3"/>
      <c r="IS24" s="3"/>
      <c r="IT24" s="3"/>
      <c r="IU24" s="3"/>
      <c r="IV24" s="3"/>
      <c r="IW24" s="3"/>
    </row>
    <row r="25" spans="1:257" x14ac:dyDescent="0.2">
      <c r="A25" s="1">
        <v>19</v>
      </c>
      <c r="B25" s="2"/>
      <c r="C25" s="2"/>
      <c r="D25" s="2"/>
      <c r="E25" s="2"/>
      <c r="F25" s="2"/>
      <c r="G25" s="2"/>
      <c r="H25" s="2"/>
      <c r="I25" s="2"/>
      <c r="J25" s="3"/>
      <c r="K25" s="3"/>
      <c r="L25" s="3"/>
      <c r="M25" s="3"/>
      <c r="N25" s="3"/>
      <c r="O25" s="3"/>
      <c r="P25" s="3"/>
      <c r="Q25" s="3"/>
      <c r="R25" s="2"/>
      <c r="S25" s="2"/>
      <c r="T25" s="2"/>
      <c r="U25" s="2"/>
      <c r="V25" s="2"/>
      <c r="W25" s="2"/>
      <c r="X25" s="2"/>
      <c r="Y25" s="2"/>
      <c r="Z25" s="3"/>
      <c r="AA25" s="3"/>
      <c r="AB25" s="3"/>
      <c r="AC25" s="3"/>
      <c r="AD25" s="3"/>
      <c r="AE25" s="3"/>
      <c r="AF25" s="3"/>
      <c r="AG25" s="3"/>
      <c r="AH25" s="2"/>
      <c r="AI25" s="2"/>
      <c r="AJ25" s="2"/>
      <c r="AK25" s="2"/>
      <c r="AL25" s="2"/>
      <c r="AM25" s="2"/>
      <c r="AN25" s="2"/>
      <c r="AO25" s="2"/>
      <c r="AP25" s="3"/>
      <c r="AQ25" s="3"/>
      <c r="AR25" s="3"/>
      <c r="AS25" s="3"/>
      <c r="AT25" s="3"/>
      <c r="AU25" s="3"/>
      <c r="AV25" s="3"/>
      <c r="AW25" s="3"/>
      <c r="AX25" s="2"/>
      <c r="AY25" s="2"/>
      <c r="AZ25" s="2"/>
      <c r="BA25" s="2"/>
      <c r="BB25" s="2"/>
      <c r="BC25" s="2"/>
      <c r="BD25" s="2"/>
      <c r="BE25" s="2"/>
      <c r="BF25" s="3"/>
      <c r="BG25" s="3"/>
      <c r="BH25" s="3"/>
      <c r="BI25" s="3"/>
      <c r="BJ25" s="3"/>
      <c r="BK25" s="3"/>
      <c r="BL25" s="3"/>
      <c r="BM25" s="3"/>
      <c r="BN25" s="2"/>
      <c r="BO25" s="2"/>
      <c r="BP25" s="2"/>
      <c r="BQ25" s="2"/>
      <c r="BR25" s="2"/>
      <c r="BS25" s="2"/>
      <c r="BT25" s="2"/>
      <c r="BU25" s="2"/>
      <c r="BV25" s="3"/>
      <c r="BW25" s="3"/>
      <c r="BX25" s="3"/>
      <c r="BY25" s="3"/>
      <c r="BZ25" s="3"/>
      <c r="CA25" s="3"/>
      <c r="CB25" s="3"/>
      <c r="CC25" s="3"/>
      <c r="CD25" s="2"/>
      <c r="CE25" s="2"/>
      <c r="CF25" s="2"/>
      <c r="CG25" s="2"/>
      <c r="CH25" s="2"/>
      <c r="CI25" s="2"/>
      <c r="CJ25" s="2"/>
      <c r="CK25" s="2"/>
      <c r="CL25" s="3"/>
      <c r="CM25" s="3"/>
      <c r="CN25" s="3"/>
      <c r="CO25" s="3"/>
      <c r="CP25" s="3"/>
      <c r="CQ25" s="3"/>
      <c r="CR25" s="3"/>
      <c r="CS25" s="3"/>
      <c r="CT25" s="2"/>
      <c r="CU25" s="2"/>
      <c r="CV25" s="2"/>
      <c r="CW25" s="2"/>
      <c r="CX25" s="2"/>
      <c r="CY25" s="2"/>
      <c r="CZ25" s="2"/>
      <c r="DA25" s="2"/>
      <c r="DB25" s="3"/>
      <c r="DC25" s="3"/>
      <c r="DD25" s="3"/>
      <c r="DE25" s="3"/>
      <c r="DF25" s="3"/>
      <c r="DG25" s="3"/>
      <c r="DH25" s="3"/>
      <c r="DI25" s="3"/>
      <c r="DJ25" s="2"/>
      <c r="DK25" s="2"/>
      <c r="DL25" s="2"/>
      <c r="DM25" s="2"/>
      <c r="DN25" s="2"/>
      <c r="DO25" s="2"/>
      <c r="DP25" s="2"/>
      <c r="DQ25" s="2"/>
      <c r="DR25" s="3"/>
      <c r="DS25" s="3"/>
      <c r="DT25" s="3"/>
      <c r="DU25" s="3"/>
      <c r="DV25" s="3"/>
      <c r="DW25" s="3"/>
      <c r="DX25" s="3"/>
      <c r="DY25" s="3"/>
      <c r="DZ25" s="2"/>
      <c r="EA25" s="2"/>
      <c r="EB25" s="2"/>
      <c r="EC25" s="2"/>
      <c r="ED25" s="2"/>
      <c r="EE25" s="2"/>
      <c r="EF25" s="2"/>
      <c r="EG25" s="2"/>
      <c r="EH25" s="3"/>
      <c r="EI25" s="3"/>
      <c r="EJ25" s="3"/>
      <c r="EK25" s="3"/>
      <c r="EL25" s="3"/>
      <c r="EM25" s="3"/>
      <c r="EN25" s="3"/>
      <c r="EO25" s="3"/>
      <c r="EP25" s="2"/>
      <c r="EQ25" s="2"/>
      <c r="ER25" s="2"/>
      <c r="ES25" s="2"/>
      <c r="ET25" s="2"/>
      <c r="EU25" s="2"/>
      <c r="EV25" s="2"/>
      <c r="EW25" s="2"/>
      <c r="EX25" s="3"/>
      <c r="EY25" s="3"/>
      <c r="EZ25" s="3"/>
      <c r="FA25" s="3"/>
      <c r="FB25" s="3"/>
      <c r="FC25" s="3"/>
      <c r="FD25" s="3"/>
      <c r="FE25" s="3"/>
      <c r="FF25" s="2"/>
      <c r="FG25" s="2"/>
      <c r="FH25" s="2"/>
      <c r="FI25" s="2"/>
      <c r="FJ25" s="2"/>
      <c r="FK25" s="2"/>
      <c r="FL25" s="2"/>
      <c r="FM25" s="2"/>
      <c r="FN25" s="3"/>
      <c r="FO25" s="3"/>
      <c r="FP25" s="3"/>
      <c r="FQ25" s="3"/>
      <c r="FR25" s="3"/>
      <c r="FS25" s="3"/>
      <c r="FT25" s="3"/>
      <c r="FU25" s="3"/>
      <c r="FV25" s="2"/>
      <c r="FW25" s="2"/>
      <c r="FX25" s="2"/>
      <c r="FY25" s="2"/>
      <c r="FZ25" s="2"/>
      <c r="GA25" s="2"/>
      <c r="GB25" s="2"/>
      <c r="GC25" s="2"/>
      <c r="GD25" s="3"/>
      <c r="GE25" s="3"/>
      <c r="GF25" s="3"/>
      <c r="GG25" s="3"/>
      <c r="GH25" s="3"/>
      <c r="GI25" s="3"/>
      <c r="GJ25" s="3"/>
      <c r="GK25" s="3"/>
      <c r="GL25" s="2"/>
      <c r="GM25" s="2"/>
      <c r="GN25" s="2"/>
      <c r="GO25" s="2"/>
      <c r="GP25" s="2"/>
      <c r="GQ25" s="2"/>
      <c r="GR25" s="2"/>
      <c r="GS25" s="2"/>
      <c r="GT25" s="3"/>
      <c r="GU25" s="3"/>
      <c r="GV25" s="3"/>
      <c r="GW25" s="3"/>
      <c r="GX25" s="3"/>
      <c r="GY25" s="3"/>
      <c r="GZ25" s="3"/>
      <c r="HA25" s="3"/>
      <c r="HB25" s="2"/>
      <c r="HC25" s="2"/>
      <c r="HD25" s="2"/>
      <c r="HE25" s="2"/>
      <c r="HF25" s="2"/>
      <c r="HG25" s="2"/>
      <c r="HH25" s="2"/>
      <c r="HI25" s="2"/>
      <c r="HJ25" s="3"/>
      <c r="HK25" s="3"/>
      <c r="HL25" s="3"/>
      <c r="HM25" s="3"/>
      <c r="HN25" s="3"/>
      <c r="HO25" s="3"/>
      <c r="HP25" s="3"/>
      <c r="HQ25" s="3"/>
      <c r="HR25" s="2"/>
      <c r="HS25" s="2"/>
      <c r="HT25" s="2"/>
      <c r="HU25" s="2"/>
      <c r="HV25" s="2"/>
      <c r="HW25" s="2"/>
      <c r="HX25" s="2"/>
      <c r="HY25" s="2"/>
      <c r="HZ25" s="3"/>
      <c r="IA25" s="3"/>
      <c r="IB25" s="3"/>
      <c r="IC25" s="3"/>
      <c r="ID25" s="3"/>
      <c r="IE25" s="3"/>
      <c r="IF25" s="3"/>
      <c r="IG25" s="3"/>
      <c r="IH25" s="2"/>
      <c r="II25" s="2"/>
      <c r="IJ25" s="2"/>
      <c r="IK25" s="2"/>
      <c r="IL25" s="2"/>
      <c r="IM25" s="2"/>
      <c r="IN25" s="2"/>
      <c r="IO25" s="2"/>
      <c r="IP25" s="3"/>
      <c r="IQ25" s="3"/>
      <c r="IR25" s="3"/>
      <c r="IS25" s="3"/>
      <c r="IT25" s="3"/>
      <c r="IU25" s="3"/>
      <c r="IV25" s="3"/>
      <c r="IW25" s="3"/>
    </row>
    <row r="26" spans="1:257" x14ac:dyDescent="0.2">
      <c r="A26" s="1">
        <v>20</v>
      </c>
      <c r="B26" s="2"/>
      <c r="C26" s="2"/>
      <c r="D26" s="2"/>
      <c r="E26" s="2"/>
      <c r="F26" s="2"/>
      <c r="G26" s="2"/>
      <c r="H26" s="2"/>
      <c r="I26" s="2"/>
      <c r="J26" s="3"/>
      <c r="K26" s="3"/>
      <c r="L26" s="3"/>
      <c r="M26" s="3"/>
      <c r="N26" s="3"/>
      <c r="O26" s="3"/>
      <c r="P26" s="3"/>
      <c r="Q26" s="3"/>
      <c r="R26" s="2"/>
      <c r="S26" s="2"/>
      <c r="T26" s="2"/>
      <c r="U26" s="2"/>
      <c r="V26" s="2"/>
      <c r="W26" s="2"/>
      <c r="X26" s="2"/>
      <c r="Y26" s="2"/>
      <c r="Z26" s="3"/>
      <c r="AA26" s="3"/>
      <c r="AB26" s="3"/>
      <c r="AC26" s="3"/>
      <c r="AD26" s="3"/>
      <c r="AE26" s="3"/>
      <c r="AF26" s="3"/>
      <c r="AG26" s="3"/>
      <c r="AH26" s="2"/>
      <c r="AI26" s="2"/>
      <c r="AJ26" s="2"/>
      <c r="AK26" s="2"/>
      <c r="AL26" s="2"/>
      <c r="AM26" s="2"/>
      <c r="AN26" s="2"/>
      <c r="AO26" s="2"/>
      <c r="AP26" s="3"/>
      <c r="AQ26" s="3"/>
      <c r="AR26" s="3"/>
      <c r="AS26" s="3"/>
      <c r="AT26" s="3"/>
      <c r="AU26" s="3"/>
      <c r="AV26" s="3"/>
      <c r="AW26" s="3"/>
      <c r="AX26" s="2"/>
      <c r="AY26" s="2"/>
      <c r="AZ26" s="2"/>
      <c r="BA26" s="2"/>
      <c r="BB26" s="2"/>
      <c r="BC26" s="2"/>
      <c r="BD26" s="2"/>
      <c r="BE26" s="2"/>
      <c r="BF26" s="3"/>
      <c r="BG26" s="3"/>
      <c r="BH26" s="3"/>
      <c r="BI26" s="3"/>
      <c r="BJ26" s="3"/>
      <c r="BK26" s="3"/>
      <c r="BL26" s="3"/>
      <c r="BM26" s="3"/>
      <c r="BN26" s="2"/>
      <c r="BO26" s="2"/>
      <c r="BP26" s="2"/>
      <c r="BQ26" s="2"/>
      <c r="BR26" s="2"/>
      <c r="BS26" s="2"/>
      <c r="BT26" s="2"/>
      <c r="BU26" s="2"/>
      <c r="BV26" s="3"/>
      <c r="BW26" s="3"/>
      <c r="BX26" s="3"/>
      <c r="BY26" s="3"/>
      <c r="BZ26" s="3"/>
      <c r="CA26" s="3"/>
      <c r="CB26" s="3"/>
      <c r="CC26" s="3"/>
      <c r="CD26" s="2"/>
      <c r="CE26" s="2"/>
      <c r="CF26" s="2"/>
      <c r="CG26" s="2"/>
      <c r="CH26" s="2"/>
      <c r="CI26" s="2"/>
      <c r="CJ26" s="2"/>
      <c r="CK26" s="2"/>
      <c r="CL26" s="3"/>
      <c r="CM26" s="3"/>
      <c r="CN26" s="3"/>
      <c r="CO26" s="3"/>
      <c r="CP26" s="3"/>
      <c r="CQ26" s="3"/>
      <c r="CR26" s="3"/>
      <c r="CS26" s="3"/>
      <c r="CT26" s="2"/>
      <c r="CU26" s="2"/>
      <c r="CV26" s="2"/>
      <c r="CW26" s="2"/>
      <c r="CX26" s="2"/>
      <c r="CY26" s="2"/>
      <c r="CZ26" s="2"/>
      <c r="DA26" s="2"/>
      <c r="DB26" s="3"/>
      <c r="DC26" s="3"/>
      <c r="DD26" s="3"/>
      <c r="DE26" s="3"/>
      <c r="DF26" s="3"/>
      <c r="DG26" s="3"/>
      <c r="DH26" s="3"/>
      <c r="DI26" s="3"/>
      <c r="DJ26" s="2"/>
      <c r="DK26" s="2"/>
      <c r="DL26" s="2"/>
      <c r="DM26" s="2"/>
      <c r="DN26" s="2"/>
      <c r="DO26" s="2"/>
      <c r="DP26" s="2"/>
      <c r="DQ26" s="2"/>
      <c r="DR26" s="3"/>
      <c r="DS26" s="3"/>
      <c r="DT26" s="3"/>
      <c r="DU26" s="3"/>
      <c r="DV26" s="3"/>
      <c r="DW26" s="3"/>
      <c r="DX26" s="3"/>
      <c r="DY26" s="3"/>
      <c r="DZ26" s="2"/>
      <c r="EA26" s="2"/>
      <c r="EB26" s="2"/>
      <c r="EC26" s="2"/>
      <c r="ED26" s="2"/>
      <c r="EE26" s="2"/>
      <c r="EF26" s="2"/>
      <c r="EG26" s="2"/>
      <c r="EH26" s="3"/>
      <c r="EI26" s="3"/>
      <c r="EJ26" s="3"/>
      <c r="EK26" s="3"/>
      <c r="EL26" s="3"/>
      <c r="EM26" s="3"/>
      <c r="EN26" s="3"/>
      <c r="EO26" s="3"/>
      <c r="EP26" s="2"/>
      <c r="EQ26" s="2"/>
      <c r="ER26" s="2"/>
      <c r="ES26" s="2"/>
      <c r="ET26" s="2"/>
      <c r="EU26" s="2"/>
      <c r="EV26" s="2"/>
      <c r="EW26" s="2"/>
      <c r="EX26" s="3"/>
      <c r="EY26" s="3"/>
      <c r="EZ26" s="3"/>
      <c r="FA26" s="3"/>
      <c r="FB26" s="3"/>
      <c r="FC26" s="3"/>
      <c r="FD26" s="3"/>
      <c r="FE26" s="3"/>
      <c r="FF26" s="2"/>
      <c r="FG26" s="2"/>
      <c r="FH26" s="2"/>
      <c r="FI26" s="2"/>
      <c r="FJ26" s="2"/>
      <c r="FK26" s="2"/>
      <c r="FL26" s="2"/>
      <c r="FM26" s="2"/>
      <c r="FN26" s="3"/>
      <c r="FO26" s="3"/>
      <c r="FP26" s="3"/>
      <c r="FQ26" s="3"/>
      <c r="FR26" s="3"/>
      <c r="FS26" s="3"/>
      <c r="FT26" s="3"/>
      <c r="FU26" s="3"/>
      <c r="FV26" s="2"/>
      <c r="FW26" s="2"/>
      <c r="FX26" s="2"/>
      <c r="FY26" s="2"/>
      <c r="FZ26" s="2"/>
      <c r="GA26" s="2"/>
      <c r="GB26" s="2"/>
      <c r="GC26" s="2"/>
      <c r="GD26" s="3"/>
      <c r="GE26" s="3"/>
      <c r="GF26" s="3"/>
      <c r="GG26" s="3"/>
      <c r="GH26" s="3"/>
      <c r="GI26" s="3"/>
      <c r="GJ26" s="3"/>
      <c r="GK26" s="3"/>
      <c r="GL26" s="2"/>
      <c r="GM26" s="2"/>
      <c r="GN26" s="2"/>
      <c r="GO26" s="2"/>
      <c r="GP26" s="2"/>
      <c r="GQ26" s="2"/>
      <c r="GR26" s="2"/>
      <c r="GS26" s="2"/>
      <c r="GT26" s="3"/>
      <c r="GU26" s="3"/>
      <c r="GV26" s="3"/>
      <c r="GW26" s="3"/>
      <c r="GX26" s="3"/>
      <c r="GY26" s="3"/>
      <c r="GZ26" s="3"/>
      <c r="HA26" s="3"/>
      <c r="HB26" s="2"/>
      <c r="HC26" s="2"/>
      <c r="HD26" s="2"/>
      <c r="HE26" s="2"/>
      <c r="HF26" s="2"/>
      <c r="HG26" s="2"/>
      <c r="HH26" s="2"/>
      <c r="HI26" s="2"/>
      <c r="HJ26" s="3"/>
      <c r="HK26" s="3"/>
      <c r="HL26" s="3"/>
      <c r="HM26" s="3"/>
      <c r="HN26" s="3"/>
      <c r="HO26" s="3"/>
      <c r="HP26" s="3"/>
      <c r="HQ26" s="3"/>
      <c r="HR26" s="2"/>
      <c r="HS26" s="2"/>
      <c r="HT26" s="2"/>
      <c r="HU26" s="2"/>
      <c r="HV26" s="2"/>
      <c r="HW26" s="2"/>
      <c r="HX26" s="2"/>
      <c r="HY26" s="2"/>
      <c r="HZ26" s="3"/>
      <c r="IA26" s="3"/>
      <c r="IB26" s="3"/>
      <c r="IC26" s="3"/>
      <c r="ID26" s="3"/>
      <c r="IE26" s="3"/>
      <c r="IF26" s="3"/>
      <c r="IG26" s="3"/>
      <c r="IH26" s="2"/>
      <c r="II26" s="2"/>
      <c r="IJ26" s="2"/>
      <c r="IK26" s="2"/>
      <c r="IL26" s="2"/>
      <c r="IM26" s="2"/>
      <c r="IN26" s="2"/>
      <c r="IO26" s="2"/>
      <c r="IP26" s="3"/>
      <c r="IQ26" s="3"/>
      <c r="IR26" s="3"/>
      <c r="IS26" s="3"/>
      <c r="IT26" s="3"/>
      <c r="IU26" s="3"/>
      <c r="IV26" s="3"/>
      <c r="IW26" s="3"/>
    </row>
    <row r="27" spans="1:257" x14ac:dyDescent="0.2">
      <c r="A27" s="1">
        <v>21</v>
      </c>
      <c r="B27" s="2"/>
      <c r="C27" s="2"/>
      <c r="D27" s="2"/>
      <c r="E27" s="2"/>
      <c r="F27" s="2"/>
      <c r="G27" s="2"/>
      <c r="H27" s="2"/>
      <c r="I27" s="2"/>
      <c r="J27" s="3"/>
      <c r="K27" s="3"/>
      <c r="L27" s="3"/>
      <c r="M27" s="3"/>
      <c r="N27" s="3"/>
      <c r="O27" s="3"/>
      <c r="P27" s="3"/>
      <c r="Q27" s="3"/>
      <c r="R27" s="2"/>
      <c r="S27" s="2"/>
      <c r="T27" s="2"/>
      <c r="U27" s="2"/>
      <c r="V27" s="2"/>
      <c r="W27" s="2"/>
      <c r="X27" s="2"/>
      <c r="Y27" s="2"/>
      <c r="Z27" s="3"/>
      <c r="AA27" s="3"/>
      <c r="AB27" s="3"/>
      <c r="AC27" s="3"/>
      <c r="AD27" s="3"/>
      <c r="AE27" s="3"/>
      <c r="AF27" s="3"/>
      <c r="AG27" s="3"/>
      <c r="AH27" s="2"/>
      <c r="AI27" s="2"/>
      <c r="AJ27" s="2"/>
      <c r="AK27" s="2"/>
      <c r="AL27" s="2"/>
      <c r="AM27" s="2"/>
      <c r="AN27" s="2"/>
      <c r="AO27" s="2"/>
      <c r="AP27" s="3"/>
      <c r="AQ27" s="3"/>
      <c r="AR27" s="3"/>
      <c r="AS27" s="3"/>
      <c r="AT27" s="3"/>
      <c r="AU27" s="3"/>
      <c r="AV27" s="3"/>
      <c r="AW27" s="3"/>
      <c r="AX27" s="2"/>
      <c r="AY27" s="2"/>
      <c r="AZ27" s="2"/>
      <c r="BA27" s="2"/>
      <c r="BB27" s="2"/>
      <c r="BC27" s="2"/>
      <c r="BD27" s="2"/>
      <c r="BE27" s="2"/>
      <c r="BF27" s="3"/>
      <c r="BG27" s="3"/>
      <c r="BH27" s="3"/>
      <c r="BI27" s="3"/>
      <c r="BJ27" s="3"/>
      <c r="BK27" s="3"/>
      <c r="BL27" s="3"/>
      <c r="BM27" s="3"/>
      <c r="BN27" s="2"/>
      <c r="BO27" s="2"/>
      <c r="BP27" s="2"/>
      <c r="BQ27" s="2"/>
      <c r="BR27" s="2"/>
      <c r="BS27" s="2"/>
      <c r="BT27" s="2"/>
      <c r="BU27" s="2"/>
      <c r="BV27" s="3"/>
      <c r="BW27" s="3"/>
      <c r="BX27" s="3"/>
      <c r="BY27" s="3"/>
      <c r="BZ27" s="3"/>
      <c r="CA27" s="3"/>
      <c r="CB27" s="3"/>
      <c r="CC27" s="3"/>
      <c r="CD27" s="2"/>
      <c r="CE27" s="2"/>
      <c r="CF27" s="2"/>
      <c r="CG27" s="2"/>
      <c r="CH27" s="2"/>
      <c r="CI27" s="2"/>
      <c r="CJ27" s="2"/>
      <c r="CK27" s="2"/>
      <c r="CL27" s="3"/>
      <c r="CM27" s="3"/>
      <c r="CN27" s="3"/>
      <c r="CO27" s="3"/>
      <c r="CP27" s="3"/>
      <c r="CQ27" s="3"/>
      <c r="CR27" s="3"/>
      <c r="CS27" s="3"/>
      <c r="CT27" s="2"/>
      <c r="CU27" s="2"/>
      <c r="CV27" s="2"/>
      <c r="CW27" s="2"/>
      <c r="CX27" s="2"/>
      <c r="CY27" s="2"/>
      <c r="CZ27" s="2"/>
      <c r="DA27" s="2"/>
      <c r="DB27" s="3"/>
      <c r="DC27" s="3"/>
      <c r="DD27" s="3"/>
      <c r="DE27" s="3"/>
      <c r="DF27" s="3"/>
      <c r="DG27" s="3"/>
      <c r="DH27" s="3"/>
      <c r="DI27" s="3"/>
      <c r="DJ27" s="2"/>
      <c r="DK27" s="2"/>
      <c r="DL27" s="2"/>
      <c r="DM27" s="2"/>
      <c r="DN27" s="2"/>
      <c r="DO27" s="2"/>
      <c r="DP27" s="2"/>
      <c r="DQ27" s="2"/>
      <c r="DR27" s="3"/>
      <c r="DS27" s="3"/>
      <c r="DT27" s="3"/>
      <c r="DU27" s="3"/>
      <c r="DV27" s="3"/>
      <c r="DW27" s="3"/>
      <c r="DX27" s="3"/>
      <c r="DY27" s="3"/>
      <c r="DZ27" s="2"/>
      <c r="EA27" s="2"/>
      <c r="EB27" s="2"/>
      <c r="EC27" s="2"/>
      <c r="ED27" s="2"/>
      <c r="EE27" s="2"/>
      <c r="EF27" s="2"/>
      <c r="EG27" s="2"/>
      <c r="EH27" s="3"/>
      <c r="EI27" s="3"/>
      <c r="EJ27" s="3"/>
      <c r="EK27" s="3"/>
      <c r="EL27" s="3"/>
      <c r="EM27" s="3"/>
      <c r="EN27" s="3"/>
      <c r="EO27" s="3"/>
      <c r="EP27" s="2"/>
      <c r="EQ27" s="2"/>
      <c r="ER27" s="2"/>
      <c r="ES27" s="2"/>
      <c r="ET27" s="2"/>
      <c r="EU27" s="2"/>
      <c r="EV27" s="2"/>
      <c r="EW27" s="2"/>
      <c r="EX27" s="3"/>
      <c r="EY27" s="3"/>
      <c r="EZ27" s="3"/>
      <c r="FA27" s="3"/>
      <c r="FB27" s="3"/>
      <c r="FC27" s="3"/>
      <c r="FD27" s="3"/>
      <c r="FE27" s="3"/>
      <c r="FF27" s="2"/>
      <c r="FG27" s="2"/>
      <c r="FH27" s="2"/>
      <c r="FI27" s="2"/>
      <c r="FJ27" s="2"/>
      <c r="FK27" s="2"/>
      <c r="FL27" s="2"/>
      <c r="FM27" s="2"/>
      <c r="FN27" s="3"/>
      <c r="FO27" s="3"/>
      <c r="FP27" s="3"/>
      <c r="FQ27" s="3"/>
      <c r="FR27" s="3"/>
      <c r="FS27" s="3"/>
      <c r="FT27" s="3"/>
      <c r="FU27" s="3"/>
      <c r="FV27" s="2"/>
      <c r="FW27" s="2"/>
      <c r="FX27" s="2"/>
      <c r="FY27" s="2"/>
      <c r="FZ27" s="2"/>
      <c r="GA27" s="2"/>
      <c r="GB27" s="2"/>
      <c r="GC27" s="2"/>
      <c r="GD27" s="3"/>
      <c r="GE27" s="3"/>
      <c r="GF27" s="3"/>
      <c r="GG27" s="3"/>
      <c r="GH27" s="3"/>
      <c r="GI27" s="3"/>
      <c r="GJ27" s="3"/>
      <c r="GK27" s="3"/>
      <c r="GL27" s="2"/>
      <c r="GM27" s="2"/>
      <c r="GN27" s="2"/>
      <c r="GO27" s="2"/>
      <c r="GP27" s="2"/>
      <c r="GQ27" s="2"/>
      <c r="GR27" s="2"/>
      <c r="GS27" s="2"/>
      <c r="GT27" s="3"/>
      <c r="GU27" s="3"/>
      <c r="GV27" s="3"/>
      <c r="GW27" s="3"/>
      <c r="GX27" s="3"/>
      <c r="GY27" s="3"/>
      <c r="GZ27" s="3"/>
      <c r="HA27" s="3"/>
      <c r="HB27" s="2"/>
      <c r="HC27" s="2"/>
      <c r="HD27" s="2"/>
      <c r="HE27" s="2"/>
      <c r="HF27" s="2"/>
      <c r="HG27" s="2"/>
      <c r="HH27" s="2"/>
      <c r="HI27" s="2"/>
      <c r="HJ27" s="3"/>
      <c r="HK27" s="3"/>
      <c r="HL27" s="3"/>
      <c r="HM27" s="3"/>
      <c r="HN27" s="3"/>
      <c r="HO27" s="3"/>
      <c r="HP27" s="3"/>
      <c r="HQ27" s="3"/>
      <c r="HR27" s="2"/>
      <c r="HS27" s="2"/>
      <c r="HT27" s="2"/>
      <c r="HU27" s="2"/>
      <c r="HV27" s="2"/>
      <c r="HW27" s="2"/>
      <c r="HX27" s="2"/>
      <c r="HY27" s="2"/>
      <c r="HZ27" s="3"/>
      <c r="IA27" s="3"/>
      <c r="IB27" s="3"/>
      <c r="IC27" s="3"/>
      <c r="ID27" s="3"/>
      <c r="IE27" s="3"/>
      <c r="IF27" s="3"/>
      <c r="IG27" s="3"/>
      <c r="IH27" s="2"/>
      <c r="II27" s="2"/>
      <c r="IJ27" s="2"/>
      <c r="IK27" s="2"/>
      <c r="IL27" s="2"/>
      <c r="IM27" s="2"/>
      <c r="IN27" s="2"/>
      <c r="IO27" s="2"/>
      <c r="IP27" s="3"/>
      <c r="IQ27" s="3"/>
      <c r="IR27" s="3"/>
      <c r="IS27" s="3"/>
      <c r="IT27" s="3"/>
      <c r="IU27" s="3"/>
      <c r="IV27" s="3"/>
      <c r="IW27" s="3"/>
    </row>
    <row r="28" spans="1:257" x14ac:dyDescent="0.2">
      <c r="A28" s="1">
        <v>22</v>
      </c>
      <c r="B28" s="2"/>
      <c r="C28" s="2"/>
      <c r="D28" s="2"/>
      <c r="E28" s="2"/>
      <c r="F28" s="2"/>
      <c r="G28" s="2"/>
      <c r="H28" s="2"/>
      <c r="I28" s="2"/>
      <c r="J28" s="3"/>
      <c r="K28" s="3"/>
      <c r="L28" s="3"/>
      <c r="M28" s="3"/>
      <c r="N28" s="3"/>
      <c r="O28" s="3"/>
      <c r="P28" s="3"/>
      <c r="Q28" s="3"/>
      <c r="R28" s="2"/>
      <c r="S28" s="2"/>
      <c r="T28" s="2"/>
      <c r="U28" s="2"/>
      <c r="V28" s="2"/>
      <c r="W28" s="2"/>
      <c r="X28" s="2"/>
      <c r="Y28" s="2"/>
      <c r="Z28" s="3"/>
      <c r="AA28" s="3"/>
      <c r="AB28" s="3"/>
      <c r="AC28" s="3"/>
      <c r="AD28" s="3"/>
      <c r="AE28" s="3"/>
      <c r="AF28" s="3"/>
      <c r="AG28" s="3"/>
      <c r="AH28" s="2"/>
      <c r="AI28" s="2"/>
      <c r="AJ28" s="2"/>
      <c r="AK28" s="2"/>
      <c r="AL28" s="2"/>
      <c r="AM28" s="2"/>
      <c r="AN28" s="2"/>
      <c r="AO28" s="2"/>
      <c r="AP28" s="3"/>
      <c r="AQ28" s="3"/>
      <c r="AR28" s="3"/>
      <c r="AS28" s="3"/>
      <c r="AT28" s="3"/>
      <c r="AU28" s="3"/>
      <c r="AV28" s="3"/>
      <c r="AW28" s="3"/>
      <c r="AX28" s="2"/>
      <c r="AY28" s="2"/>
      <c r="AZ28" s="2"/>
      <c r="BA28" s="2"/>
      <c r="BB28" s="2"/>
      <c r="BC28" s="2"/>
      <c r="BD28" s="2"/>
      <c r="BE28" s="2"/>
      <c r="BF28" s="3"/>
      <c r="BG28" s="3"/>
      <c r="BH28" s="3"/>
      <c r="BI28" s="3"/>
      <c r="BJ28" s="3"/>
      <c r="BK28" s="3"/>
      <c r="BL28" s="3"/>
      <c r="BM28" s="3"/>
      <c r="BN28" s="2"/>
      <c r="BO28" s="2"/>
      <c r="BP28" s="2"/>
      <c r="BQ28" s="2"/>
      <c r="BR28" s="2"/>
      <c r="BS28" s="2"/>
      <c r="BT28" s="2"/>
      <c r="BU28" s="2"/>
      <c r="BV28" s="3"/>
      <c r="BW28" s="3"/>
      <c r="BX28" s="3"/>
      <c r="BY28" s="3"/>
      <c r="BZ28" s="3"/>
      <c r="CA28" s="3"/>
      <c r="CB28" s="3"/>
      <c r="CC28" s="3"/>
      <c r="CD28" s="2"/>
      <c r="CE28" s="2"/>
      <c r="CF28" s="2"/>
      <c r="CG28" s="2"/>
      <c r="CH28" s="2"/>
      <c r="CI28" s="2"/>
      <c r="CJ28" s="2"/>
      <c r="CK28" s="2"/>
      <c r="CL28" s="3"/>
      <c r="CM28" s="3"/>
      <c r="CN28" s="3"/>
      <c r="CO28" s="3"/>
      <c r="CP28" s="3"/>
      <c r="CQ28" s="3"/>
      <c r="CR28" s="3"/>
      <c r="CS28" s="3"/>
      <c r="CT28" s="2"/>
      <c r="CU28" s="2"/>
      <c r="CV28" s="2"/>
      <c r="CW28" s="2"/>
      <c r="CX28" s="2"/>
      <c r="CY28" s="2"/>
      <c r="CZ28" s="2"/>
      <c r="DA28" s="2"/>
      <c r="DB28" s="3"/>
      <c r="DC28" s="3"/>
      <c r="DD28" s="3"/>
      <c r="DE28" s="3"/>
      <c r="DF28" s="3"/>
      <c r="DG28" s="3"/>
      <c r="DH28" s="3"/>
      <c r="DI28" s="3"/>
      <c r="DJ28" s="2"/>
      <c r="DK28" s="2"/>
      <c r="DL28" s="2"/>
      <c r="DM28" s="2"/>
      <c r="DN28" s="2"/>
      <c r="DO28" s="2"/>
      <c r="DP28" s="2"/>
      <c r="DQ28" s="2"/>
      <c r="DR28" s="3"/>
      <c r="DS28" s="3"/>
      <c r="DT28" s="3"/>
      <c r="DU28" s="3"/>
      <c r="DV28" s="3"/>
      <c r="DW28" s="3"/>
      <c r="DX28" s="3"/>
      <c r="DY28" s="3"/>
      <c r="DZ28" s="2"/>
      <c r="EA28" s="2"/>
      <c r="EB28" s="2"/>
      <c r="EC28" s="2"/>
      <c r="ED28" s="2"/>
      <c r="EE28" s="2"/>
      <c r="EF28" s="2"/>
      <c r="EG28" s="2"/>
      <c r="EH28" s="3"/>
      <c r="EI28" s="3"/>
      <c r="EJ28" s="3"/>
      <c r="EK28" s="3"/>
      <c r="EL28" s="3"/>
      <c r="EM28" s="3"/>
      <c r="EN28" s="3"/>
      <c r="EO28" s="3"/>
      <c r="EP28" s="2"/>
      <c r="EQ28" s="2"/>
      <c r="ER28" s="2"/>
      <c r="ES28" s="2"/>
      <c r="ET28" s="2"/>
      <c r="EU28" s="2"/>
      <c r="EV28" s="2"/>
      <c r="EW28" s="2"/>
      <c r="EX28" s="3"/>
      <c r="EY28" s="3"/>
      <c r="EZ28" s="3"/>
      <c r="FA28" s="3"/>
      <c r="FB28" s="3"/>
      <c r="FC28" s="3"/>
      <c r="FD28" s="3"/>
      <c r="FE28" s="3"/>
      <c r="FF28" s="2"/>
      <c r="FG28" s="2"/>
      <c r="FH28" s="2"/>
      <c r="FI28" s="2"/>
      <c r="FJ28" s="2"/>
      <c r="FK28" s="2"/>
      <c r="FL28" s="2"/>
      <c r="FM28" s="2"/>
      <c r="FN28" s="3"/>
      <c r="FO28" s="3"/>
      <c r="FP28" s="3"/>
      <c r="FQ28" s="3"/>
      <c r="FR28" s="3"/>
      <c r="FS28" s="3"/>
      <c r="FT28" s="3"/>
      <c r="FU28" s="3"/>
      <c r="FV28" s="2"/>
      <c r="FW28" s="2"/>
      <c r="FX28" s="2"/>
      <c r="FY28" s="2"/>
      <c r="FZ28" s="2"/>
      <c r="GA28" s="2"/>
      <c r="GB28" s="2"/>
      <c r="GC28" s="2"/>
      <c r="GD28" s="3"/>
      <c r="GE28" s="3"/>
      <c r="GF28" s="3"/>
      <c r="GG28" s="3"/>
      <c r="GH28" s="3"/>
      <c r="GI28" s="3"/>
      <c r="GJ28" s="3"/>
      <c r="GK28" s="3"/>
      <c r="GL28" s="2"/>
      <c r="GM28" s="2"/>
      <c r="GN28" s="2"/>
      <c r="GO28" s="2"/>
      <c r="GP28" s="2"/>
      <c r="GQ28" s="2"/>
      <c r="GR28" s="2"/>
      <c r="GS28" s="2"/>
      <c r="GT28" s="3"/>
      <c r="GU28" s="3"/>
      <c r="GV28" s="3"/>
      <c r="GW28" s="3"/>
      <c r="GX28" s="3"/>
      <c r="GY28" s="3"/>
      <c r="GZ28" s="3"/>
      <c r="HA28" s="3"/>
      <c r="HB28" s="2"/>
      <c r="HC28" s="2"/>
      <c r="HD28" s="2"/>
      <c r="HE28" s="2"/>
      <c r="HF28" s="2"/>
      <c r="HG28" s="2"/>
      <c r="HH28" s="2"/>
      <c r="HI28" s="2"/>
      <c r="HJ28" s="3"/>
      <c r="HK28" s="3"/>
      <c r="HL28" s="3"/>
      <c r="HM28" s="3"/>
      <c r="HN28" s="3"/>
      <c r="HO28" s="3"/>
      <c r="HP28" s="3"/>
      <c r="HQ28" s="3"/>
      <c r="HR28" s="2"/>
      <c r="HS28" s="2"/>
      <c r="HT28" s="2"/>
      <c r="HU28" s="2"/>
      <c r="HV28" s="2"/>
      <c r="HW28" s="2"/>
      <c r="HX28" s="2"/>
      <c r="HY28" s="2"/>
      <c r="HZ28" s="3"/>
      <c r="IA28" s="3"/>
      <c r="IB28" s="3"/>
      <c r="IC28" s="3"/>
      <c r="ID28" s="3"/>
      <c r="IE28" s="3"/>
      <c r="IF28" s="3"/>
      <c r="IG28" s="3"/>
      <c r="IH28" s="2"/>
      <c r="II28" s="2"/>
      <c r="IJ28" s="2"/>
      <c r="IK28" s="2"/>
      <c r="IL28" s="2"/>
      <c r="IM28" s="2"/>
      <c r="IN28" s="2"/>
      <c r="IO28" s="2"/>
      <c r="IP28" s="3"/>
      <c r="IQ28" s="3"/>
      <c r="IR28" s="3"/>
      <c r="IS28" s="3"/>
      <c r="IT28" s="3"/>
      <c r="IU28" s="3"/>
      <c r="IV28" s="3"/>
      <c r="IW28" s="3"/>
    </row>
    <row r="29" spans="1:257" x14ac:dyDescent="0.2">
      <c r="A29" s="1">
        <v>23</v>
      </c>
      <c r="B29" s="2"/>
      <c r="C29" s="2"/>
      <c r="D29" s="2"/>
      <c r="E29" s="2"/>
      <c r="F29" s="2"/>
      <c r="G29" s="2"/>
      <c r="H29" s="2"/>
      <c r="I29" s="2"/>
      <c r="J29" s="3"/>
      <c r="K29" s="3"/>
      <c r="L29" s="3"/>
      <c r="M29" s="3"/>
      <c r="N29" s="3"/>
      <c r="O29" s="3"/>
      <c r="P29" s="3"/>
      <c r="Q29" s="3"/>
      <c r="R29" s="2"/>
      <c r="S29" s="2"/>
      <c r="T29" s="2"/>
      <c r="U29" s="2"/>
      <c r="V29" s="2"/>
      <c r="W29" s="2"/>
      <c r="X29" s="2"/>
      <c r="Y29" s="2"/>
      <c r="Z29" s="3"/>
      <c r="AA29" s="3"/>
      <c r="AB29" s="3"/>
      <c r="AC29" s="3"/>
      <c r="AD29" s="3"/>
      <c r="AE29" s="3"/>
      <c r="AF29" s="3"/>
      <c r="AG29" s="3"/>
      <c r="AH29" s="2"/>
      <c r="AI29" s="2"/>
      <c r="AJ29" s="2"/>
      <c r="AK29" s="2"/>
      <c r="AL29" s="2"/>
      <c r="AM29" s="2"/>
      <c r="AN29" s="2"/>
      <c r="AO29" s="2"/>
      <c r="AP29" s="3"/>
      <c r="AQ29" s="3"/>
      <c r="AR29" s="3"/>
      <c r="AS29" s="3"/>
      <c r="AT29" s="3"/>
      <c r="AU29" s="3"/>
      <c r="AV29" s="3"/>
      <c r="AW29" s="3"/>
      <c r="AX29" s="2"/>
      <c r="AY29" s="2"/>
      <c r="AZ29" s="2"/>
      <c r="BA29" s="2"/>
      <c r="BB29" s="2"/>
      <c r="BC29" s="2"/>
      <c r="BD29" s="2"/>
      <c r="BE29" s="2"/>
      <c r="BF29" s="3"/>
      <c r="BG29" s="3"/>
      <c r="BH29" s="3"/>
      <c r="BI29" s="3"/>
      <c r="BJ29" s="3"/>
      <c r="BK29" s="3"/>
      <c r="BL29" s="3"/>
      <c r="BM29" s="3"/>
      <c r="BN29" s="2"/>
      <c r="BO29" s="2"/>
      <c r="BP29" s="2"/>
      <c r="BQ29" s="2"/>
      <c r="BR29" s="2"/>
      <c r="BS29" s="2"/>
      <c r="BT29" s="2"/>
      <c r="BU29" s="2"/>
      <c r="BV29" s="3"/>
      <c r="BW29" s="3"/>
      <c r="BX29" s="3"/>
      <c r="BY29" s="3"/>
      <c r="BZ29" s="3"/>
      <c r="CA29" s="3"/>
      <c r="CB29" s="3"/>
      <c r="CC29" s="3"/>
      <c r="CD29" s="2"/>
      <c r="CE29" s="2"/>
      <c r="CF29" s="2"/>
      <c r="CG29" s="2"/>
      <c r="CH29" s="2"/>
      <c r="CI29" s="2"/>
      <c r="CJ29" s="2"/>
      <c r="CK29" s="2"/>
      <c r="CL29" s="3"/>
      <c r="CM29" s="3"/>
      <c r="CN29" s="3"/>
      <c r="CO29" s="3"/>
      <c r="CP29" s="3"/>
      <c r="CQ29" s="3"/>
      <c r="CR29" s="3"/>
      <c r="CS29" s="3"/>
      <c r="CT29" s="2"/>
      <c r="CU29" s="2"/>
      <c r="CV29" s="2"/>
      <c r="CW29" s="2"/>
      <c r="CX29" s="2"/>
      <c r="CY29" s="2"/>
      <c r="CZ29" s="2"/>
      <c r="DA29" s="2"/>
      <c r="DB29" s="3"/>
      <c r="DC29" s="3"/>
      <c r="DD29" s="3"/>
      <c r="DE29" s="3"/>
      <c r="DF29" s="3"/>
      <c r="DG29" s="3"/>
      <c r="DH29" s="3"/>
      <c r="DI29" s="3"/>
      <c r="DJ29" s="2"/>
      <c r="DK29" s="2"/>
      <c r="DL29" s="2"/>
      <c r="DM29" s="2"/>
      <c r="DN29" s="2"/>
      <c r="DO29" s="2"/>
      <c r="DP29" s="2"/>
      <c r="DQ29" s="2"/>
      <c r="DR29" s="3"/>
      <c r="DS29" s="3"/>
      <c r="DT29" s="3"/>
      <c r="DU29" s="3"/>
      <c r="DV29" s="3"/>
      <c r="DW29" s="3"/>
      <c r="DX29" s="3"/>
      <c r="DY29" s="3"/>
      <c r="DZ29" s="2"/>
      <c r="EA29" s="2"/>
      <c r="EB29" s="2"/>
      <c r="EC29" s="2"/>
      <c r="ED29" s="2"/>
      <c r="EE29" s="2"/>
      <c r="EF29" s="2"/>
      <c r="EG29" s="2"/>
      <c r="EH29" s="3"/>
      <c r="EI29" s="3"/>
      <c r="EJ29" s="3"/>
      <c r="EK29" s="3"/>
      <c r="EL29" s="3"/>
      <c r="EM29" s="3"/>
      <c r="EN29" s="3"/>
      <c r="EO29" s="3"/>
      <c r="EP29" s="2"/>
      <c r="EQ29" s="2"/>
      <c r="ER29" s="2"/>
      <c r="ES29" s="2"/>
      <c r="ET29" s="2"/>
      <c r="EU29" s="2"/>
      <c r="EV29" s="2"/>
      <c r="EW29" s="2"/>
      <c r="EX29" s="3"/>
      <c r="EY29" s="3"/>
      <c r="EZ29" s="3"/>
      <c r="FA29" s="3"/>
      <c r="FB29" s="3"/>
      <c r="FC29" s="3"/>
      <c r="FD29" s="3"/>
      <c r="FE29" s="3"/>
      <c r="FF29" s="2"/>
      <c r="FG29" s="2"/>
      <c r="FH29" s="2"/>
      <c r="FI29" s="2"/>
      <c r="FJ29" s="2"/>
      <c r="FK29" s="2"/>
      <c r="FL29" s="2"/>
      <c r="FM29" s="2"/>
      <c r="FN29" s="3"/>
      <c r="FO29" s="3"/>
      <c r="FP29" s="3"/>
      <c r="FQ29" s="3"/>
      <c r="FR29" s="3"/>
      <c r="FS29" s="3"/>
      <c r="FT29" s="3"/>
      <c r="FU29" s="3"/>
      <c r="FV29" s="2"/>
      <c r="FW29" s="2"/>
      <c r="FX29" s="2"/>
      <c r="FY29" s="2"/>
      <c r="FZ29" s="2"/>
      <c r="GA29" s="2"/>
      <c r="GB29" s="2"/>
      <c r="GC29" s="2"/>
      <c r="GD29" s="3"/>
      <c r="GE29" s="3"/>
      <c r="GF29" s="3"/>
      <c r="GG29" s="3"/>
      <c r="GH29" s="3"/>
      <c r="GI29" s="3"/>
      <c r="GJ29" s="3"/>
      <c r="GK29" s="3"/>
      <c r="GL29" s="2"/>
      <c r="GM29" s="2"/>
      <c r="GN29" s="2"/>
      <c r="GO29" s="2"/>
      <c r="GP29" s="2"/>
      <c r="GQ29" s="2"/>
      <c r="GR29" s="2"/>
      <c r="GS29" s="2"/>
      <c r="GT29" s="3"/>
      <c r="GU29" s="3"/>
      <c r="GV29" s="3"/>
      <c r="GW29" s="3"/>
      <c r="GX29" s="3"/>
      <c r="GY29" s="3"/>
      <c r="GZ29" s="3"/>
      <c r="HA29" s="3"/>
      <c r="HB29" s="2"/>
      <c r="HC29" s="2"/>
      <c r="HD29" s="2"/>
      <c r="HE29" s="2"/>
      <c r="HF29" s="2"/>
      <c r="HG29" s="2"/>
      <c r="HH29" s="2"/>
      <c r="HI29" s="2"/>
      <c r="HJ29" s="3"/>
      <c r="HK29" s="3"/>
      <c r="HL29" s="3"/>
      <c r="HM29" s="3"/>
      <c r="HN29" s="3"/>
      <c r="HO29" s="3"/>
      <c r="HP29" s="3"/>
      <c r="HQ29" s="3"/>
      <c r="HR29" s="2"/>
      <c r="HS29" s="2"/>
      <c r="HT29" s="2"/>
      <c r="HU29" s="2"/>
      <c r="HV29" s="2"/>
      <c r="HW29" s="2"/>
      <c r="HX29" s="2"/>
      <c r="HY29" s="2"/>
      <c r="HZ29" s="3"/>
      <c r="IA29" s="3"/>
      <c r="IB29" s="3"/>
      <c r="IC29" s="3"/>
      <c r="ID29" s="3"/>
      <c r="IE29" s="3"/>
      <c r="IF29" s="3"/>
      <c r="IG29" s="3"/>
      <c r="IH29" s="2"/>
      <c r="II29" s="2"/>
      <c r="IJ29" s="2"/>
      <c r="IK29" s="2"/>
      <c r="IL29" s="2"/>
      <c r="IM29" s="2"/>
      <c r="IN29" s="2"/>
      <c r="IO29" s="2"/>
      <c r="IP29" s="3"/>
      <c r="IQ29" s="3"/>
      <c r="IR29" s="3"/>
      <c r="IS29" s="3"/>
      <c r="IT29" s="3"/>
      <c r="IU29" s="3"/>
      <c r="IV29" s="3"/>
      <c r="IW29" s="3"/>
    </row>
    <row r="33" spans="2:3" x14ac:dyDescent="0.2">
      <c r="B33" s="8" t="s">
        <v>217</v>
      </c>
      <c r="C33">
        <f>SUM(B2:IW2)</f>
        <v>1</v>
      </c>
    </row>
  </sheetData>
  <mergeCells count="80">
    <mergeCell ref="HB2:HQ2"/>
    <mergeCell ref="HR2:IG2"/>
    <mergeCell ref="IH2:IW2"/>
    <mergeCell ref="DZ2:EO2"/>
    <mergeCell ref="EP2:FE2"/>
    <mergeCell ref="FF2:FU2"/>
    <mergeCell ref="FV2:GK2"/>
    <mergeCell ref="GL2:HA2"/>
    <mergeCell ref="AX2:BM2"/>
    <mergeCell ref="BN2:CC2"/>
    <mergeCell ref="CD2:CS2"/>
    <mergeCell ref="CT2:DI2"/>
    <mergeCell ref="DJ2:DY2"/>
    <mergeCell ref="IH3:IW3"/>
    <mergeCell ref="AH1:AW1"/>
    <mergeCell ref="AX1:BM1"/>
    <mergeCell ref="BN1:CC1"/>
    <mergeCell ref="CD1:CS1"/>
    <mergeCell ref="CT1:DI1"/>
    <mergeCell ref="DJ1:DY1"/>
    <mergeCell ref="DZ1:EO1"/>
    <mergeCell ref="EP1:FE1"/>
    <mergeCell ref="FF1:FU1"/>
    <mergeCell ref="FV1:GK1"/>
    <mergeCell ref="GL1:HA1"/>
    <mergeCell ref="HB1:HQ1"/>
    <mergeCell ref="HR1:IG1"/>
    <mergeCell ref="IH1:IW1"/>
    <mergeCell ref="AH2:AW2"/>
    <mergeCell ref="HZ4:IG4"/>
    <mergeCell ref="IH4:IO4"/>
    <mergeCell ref="IP4:IW4"/>
    <mergeCell ref="AH3:AW3"/>
    <mergeCell ref="AX3:BM3"/>
    <mergeCell ref="BN3:CC3"/>
    <mergeCell ref="CD3:CS3"/>
    <mergeCell ref="CT3:DI3"/>
    <mergeCell ref="DJ3:DY3"/>
    <mergeCell ref="DZ3:EO3"/>
    <mergeCell ref="EP3:FE3"/>
    <mergeCell ref="FF3:FU3"/>
    <mergeCell ref="FV3:GK3"/>
    <mergeCell ref="GL3:HA3"/>
    <mergeCell ref="HB3:HQ3"/>
    <mergeCell ref="HR3:IG3"/>
    <mergeCell ref="GL4:GS4"/>
    <mergeCell ref="GT4:HA4"/>
    <mergeCell ref="HB4:HI4"/>
    <mergeCell ref="HJ4:HQ4"/>
    <mergeCell ref="HR4:HY4"/>
    <mergeCell ref="EX4:FE4"/>
    <mergeCell ref="FF4:FM4"/>
    <mergeCell ref="FN4:FU4"/>
    <mergeCell ref="FV4:GC4"/>
    <mergeCell ref="GD4:GK4"/>
    <mergeCell ref="DJ4:DQ4"/>
    <mergeCell ref="DR4:DY4"/>
    <mergeCell ref="DZ4:EG4"/>
    <mergeCell ref="EH4:EO4"/>
    <mergeCell ref="EP4:EW4"/>
    <mergeCell ref="BV4:CC4"/>
    <mergeCell ref="CD4:CK4"/>
    <mergeCell ref="CL4:CS4"/>
    <mergeCell ref="CT4:DA4"/>
    <mergeCell ref="DB4:DI4"/>
    <mergeCell ref="AH4:AO4"/>
    <mergeCell ref="AP4:AW4"/>
    <mergeCell ref="AX4:BE4"/>
    <mergeCell ref="BF4:BM4"/>
    <mergeCell ref="BN4:BU4"/>
    <mergeCell ref="B1:Q1"/>
    <mergeCell ref="R1:AG1"/>
    <mergeCell ref="B2:Q2"/>
    <mergeCell ref="R2:AG2"/>
    <mergeCell ref="B4:I4"/>
    <mergeCell ref="J4:Q4"/>
    <mergeCell ref="R4:Y4"/>
    <mergeCell ref="Z4:AG4"/>
    <mergeCell ref="B3:Q3"/>
    <mergeCell ref="R3:AG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57C1F-16A1-2E47-82DD-6A9CAEA6B476}">
  <dimension ref="A1:K9"/>
  <sheetViews>
    <sheetView zoomScale="210" zoomScaleNormal="210" workbookViewId="0">
      <selection activeCell="E2" sqref="E2"/>
    </sheetView>
  </sheetViews>
  <sheetFormatPr baseColWidth="10" defaultRowHeight="16" x14ac:dyDescent="0.2"/>
  <cols>
    <col min="1" max="1" width="13" bestFit="1" customWidth="1"/>
  </cols>
  <sheetData>
    <row r="1" spans="1:11" x14ac:dyDescent="0.2">
      <c r="A1" s="8" t="s">
        <v>17</v>
      </c>
      <c r="B1" s="8" t="s">
        <v>109</v>
      </c>
      <c r="C1" s="8" t="s">
        <v>119</v>
      </c>
      <c r="D1" s="8" t="s">
        <v>115</v>
      </c>
      <c r="E1" s="8" t="s">
        <v>120</v>
      </c>
      <c r="F1" s="8" t="s">
        <v>334</v>
      </c>
      <c r="G1" s="8" t="s">
        <v>121</v>
      </c>
      <c r="H1" s="8" t="s">
        <v>122</v>
      </c>
      <c r="I1" s="8" t="s">
        <v>117</v>
      </c>
      <c r="K1" s="8" t="s">
        <v>336</v>
      </c>
    </row>
    <row r="2" spans="1:11" x14ac:dyDescent="0.2">
      <c r="A2">
        <v>1</v>
      </c>
      <c r="B2">
        <v>26</v>
      </c>
      <c r="C2">
        <v>26</v>
      </c>
      <c r="D2">
        <v>26</v>
      </c>
      <c r="E2">
        <v>28</v>
      </c>
      <c r="F2">
        <v>28</v>
      </c>
      <c r="G2">
        <v>29</v>
      </c>
      <c r="H2">
        <v>30</v>
      </c>
      <c r="I2">
        <v>30</v>
      </c>
      <c r="K2">
        <f>AVERAGE(B2:I2)</f>
        <v>27.875</v>
      </c>
    </row>
    <row r="3" spans="1:11" x14ac:dyDescent="0.2">
      <c r="A3">
        <v>2</v>
      </c>
      <c r="B3">
        <v>26</v>
      </c>
      <c r="C3">
        <v>26</v>
      </c>
      <c r="D3">
        <v>26</v>
      </c>
      <c r="E3">
        <v>28</v>
      </c>
      <c r="F3">
        <v>28</v>
      </c>
      <c r="G3">
        <v>29</v>
      </c>
      <c r="H3">
        <v>30</v>
      </c>
      <c r="I3">
        <v>30</v>
      </c>
      <c r="K3">
        <f t="shared" ref="K3:K9" si="0">AVERAGE(B3:I3)</f>
        <v>27.875</v>
      </c>
    </row>
    <row r="4" spans="1:11" x14ac:dyDescent="0.2">
      <c r="A4">
        <v>3</v>
      </c>
      <c r="B4">
        <v>26</v>
      </c>
      <c r="C4">
        <v>26</v>
      </c>
      <c r="D4">
        <v>26</v>
      </c>
      <c r="E4">
        <v>28</v>
      </c>
      <c r="F4">
        <v>28</v>
      </c>
      <c r="G4">
        <v>29</v>
      </c>
      <c r="H4">
        <v>30</v>
      </c>
      <c r="I4">
        <v>30</v>
      </c>
      <c r="K4">
        <f t="shared" si="0"/>
        <v>27.875</v>
      </c>
    </row>
    <row r="5" spans="1:11" x14ac:dyDescent="0.2">
      <c r="A5">
        <v>4</v>
      </c>
      <c r="B5">
        <v>26</v>
      </c>
      <c r="C5">
        <v>26</v>
      </c>
      <c r="D5">
        <v>26</v>
      </c>
      <c r="E5">
        <v>28</v>
      </c>
      <c r="F5">
        <v>28</v>
      </c>
      <c r="G5">
        <v>29</v>
      </c>
      <c r="H5">
        <v>30</v>
      </c>
      <c r="I5">
        <v>30</v>
      </c>
      <c r="K5">
        <f t="shared" si="0"/>
        <v>27.875</v>
      </c>
    </row>
    <row r="6" spans="1:11" x14ac:dyDescent="0.2">
      <c r="A6">
        <v>5</v>
      </c>
      <c r="B6">
        <v>28</v>
      </c>
      <c r="C6">
        <v>28</v>
      </c>
      <c r="D6">
        <v>28</v>
      </c>
      <c r="E6">
        <v>30</v>
      </c>
      <c r="F6">
        <v>30</v>
      </c>
      <c r="G6">
        <v>31</v>
      </c>
      <c r="H6">
        <v>32</v>
      </c>
      <c r="I6">
        <v>30</v>
      </c>
      <c r="K6">
        <f t="shared" si="0"/>
        <v>29.625</v>
      </c>
    </row>
    <row r="7" spans="1:11" x14ac:dyDescent="0.2">
      <c r="A7">
        <v>6</v>
      </c>
      <c r="B7">
        <v>27</v>
      </c>
      <c r="C7">
        <v>27</v>
      </c>
      <c r="D7">
        <v>27</v>
      </c>
      <c r="E7">
        <v>29</v>
      </c>
      <c r="F7">
        <v>29</v>
      </c>
      <c r="G7">
        <v>30</v>
      </c>
      <c r="H7">
        <v>31</v>
      </c>
      <c r="I7">
        <v>30</v>
      </c>
      <c r="K7">
        <f t="shared" si="0"/>
        <v>28.75</v>
      </c>
    </row>
    <row r="8" spans="1:11" x14ac:dyDescent="0.2">
      <c r="A8">
        <v>7</v>
      </c>
      <c r="B8">
        <v>27</v>
      </c>
      <c r="C8">
        <v>27</v>
      </c>
      <c r="D8">
        <v>27</v>
      </c>
      <c r="E8">
        <v>29</v>
      </c>
      <c r="F8">
        <v>29</v>
      </c>
      <c r="G8">
        <v>30</v>
      </c>
      <c r="H8">
        <v>31</v>
      </c>
      <c r="I8">
        <v>30</v>
      </c>
      <c r="K8">
        <f t="shared" si="0"/>
        <v>28.75</v>
      </c>
    </row>
    <row r="9" spans="1:11" x14ac:dyDescent="0.2">
      <c r="A9">
        <v>8</v>
      </c>
      <c r="B9">
        <v>29</v>
      </c>
      <c r="C9">
        <v>29</v>
      </c>
      <c r="D9">
        <v>29</v>
      </c>
      <c r="E9">
        <v>31</v>
      </c>
      <c r="F9">
        <v>31</v>
      </c>
      <c r="G9">
        <v>32</v>
      </c>
      <c r="H9">
        <v>33</v>
      </c>
      <c r="I9">
        <v>30</v>
      </c>
      <c r="K9">
        <f t="shared" si="0"/>
        <v>30.5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207F0E-65E5-C544-8BA0-D27121ACF2FF}">
  <dimension ref="A1:I9"/>
  <sheetViews>
    <sheetView zoomScale="160" zoomScaleNormal="160" workbookViewId="0">
      <selection activeCell="K10" sqref="K10"/>
    </sheetView>
  </sheetViews>
  <sheetFormatPr baseColWidth="10" defaultRowHeight="16" x14ac:dyDescent="0.2"/>
  <sheetData>
    <row r="1" spans="1:9" x14ac:dyDescent="0.2">
      <c r="A1" s="8" t="s">
        <v>17</v>
      </c>
      <c r="B1" s="8" t="s">
        <v>109</v>
      </c>
      <c r="C1" s="8" t="s">
        <v>119</v>
      </c>
      <c r="D1" s="8" t="s">
        <v>115</v>
      </c>
      <c r="E1" s="8" t="s">
        <v>120</v>
      </c>
      <c r="F1" s="8" t="s">
        <v>127</v>
      </c>
      <c r="G1" s="8" t="s">
        <v>121</v>
      </c>
      <c r="H1" s="8" t="s">
        <v>122</v>
      </c>
      <c r="I1" s="8" t="s">
        <v>117</v>
      </c>
    </row>
    <row r="2" spans="1:9" x14ac:dyDescent="0.2">
      <c r="A2">
        <v>1</v>
      </c>
      <c r="B2">
        <v>1</v>
      </c>
      <c r="C2">
        <v>1</v>
      </c>
      <c r="D2">
        <v>1</v>
      </c>
      <c r="E2">
        <v>1</v>
      </c>
      <c r="F2">
        <v>1</v>
      </c>
      <c r="G2">
        <v>1</v>
      </c>
      <c r="H2">
        <v>1</v>
      </c>
      <c r="I2">
        <v>1</v>
      </c>
    </row>
    <row r="3" spans="1:9" x14ac:dyDescent="0.2">
      <c r="A3">
        <v>2</v>
      </c>
      <c r="B3">
        <v>1</v>
      </c>
      <c r="C3">
        <v>1</v>
      </c>
      <c r="D3">
        <v>1</v>
      </c>
      <c r="E3">
        <v>1</v>
      </c>
      <c r="F3">
        <v>1</v>
      </c>
      <c r="G3">
        <v>1</v>
      </c>
      <c r="H3">
        <v>1</v>
      </c>
      <c r="I3">
        <v>1</v>
      </c>
    </row>
    <row r="4" spans="1:9" x14ac:dyDescent="0.2">
      <c r="A4">
        <v>3</v>
      </c>
      <c r="B4">
        <v>1</v>
      </c>
      <c r="C4">
        <v>1</v>
      </c>
      <c r="D4">
        <v>1</v>
      </c>
      <c r="E4">
        <v>1</v>
      </c>
      <c r="F4">
        <v>1</v>
      </c>
      <c r="G4">
        <v>1</v>
      </c>
      <c r="H4">
        <v>1</v>
      </c>
      <c r="I4">
        <v>1</v>
      </c>
    </row>
    <row r="5" spans="1:9" x14ac:dyDescent="0.2">
      <c r="A5">
        <v>4</v>
      </c>
      <c r="B5">
        <v>1</v>
      </c>
      <c r="C5">
        <v>1</v>
      </c>
      <c r="D5">
        <v>1</v>
      </c>
      <c r="E5">
        <v>1</v>
      </c>
      <c r="F5">
        <v>1</v>
      </c>
      <c r="G5">
        <v>1</v>
      </c>
      <c r="H5">
        <v>1</v>
      </c>
      <c r="I5">
        <v>1</v>
      </c>
    </row>
    <row r="6" spans="1:9" x14ac:dyDescent="0.2">
      <c r="A6">
        <v>5</v>
      </c>
      <c r="B6">
        <v>1</v>
      </c>
      <c r="C6">
        <v>1</v>
      </c>
      <c r="D6">
        <v>1</v>
      </c>
      <c r="E6">
        <v>1</v>
      </c>
      <c r="F6">
        <v>1</v>
      </c>
      <c r="G6">
        <v>1</v>
      </c>
      <c r="H6">
        <v>1</v>
      </c>
      <c r="I6">
        <v>1</v>
      </c>
    </row>
    <row r="7" spans="1:9" x14ac:dyDescent="0.2">
      <c r="A7">
        <v>6</v>
      </c>
      <c r="B7">
        <v>1</v>
      </c>
      <c r="C7">
        <v>1</v>
      </c>
      <c r="D7">
        <v>1</v>
      </c>
      <c r="E7">
        <v>1</v>
      </c>
      <c r="F7">
        <v>1</v>
      </c>
      <c r="G7">
        <v>1</v>
      </c>
      <c r="H7">
        <v>1</v>
      </c>
      <c r="I7">
        <v>1</v>
      </c>
    </row>
    <row r="8" spans="1:9" x14ac:dyDescent="0.2">
      <c r="A8">
        <v>7</v>
      </c>
      <c r="B8">
        <v>1</v>
      </c>
      <c r="C8">
        <v>1</v>
      </c>
      <c r="D8">
        <v>1</v>
      </c>
      <c r="E8">
        <v>1</v>
      </c>
      <c r="F8">
        <v>1</v>
      </c>
      <c r="G8">
        <v>1</v>
      </c>
      <c r="H8">
        <v>1</v>
      </c>
      <c r="I8">
        <v>1</v>
      </c>
    </row>
    <row r="9" spans="1:9" x14ac:dyDescent="0.2">
      <c r="A9">
        <v>8</v>
      </c>
      <c r="B9">
        <v>1</v>
      </c>
      <c r="C9">
        <v>1</v>
      </c>
      <c r="D9">
        <v>1</v>
      </c>
      <c r="E9">
        <v>1</v>
      </c>
      <c r="F9">
        <v>1</v>
      </c>
      <c r="G9">
        <v>1</v>
      </c>
      <c r="H9">
        <v>1</v>
      </c>
      <c r="I9">
        <v>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89E28-915C-F54C-B37A-2FAB20B0DB56}">
  <dimension ref="A1:B14"/>
  <sheetViews>
    <sheetView zoomScale="180" zoomScaleNormal="180" workbookViewId="0">
      <selection activeCell="B13" sqref="B13"/>
    </sheetView>
  </sheetViews>
  <sheetFormatPr baseColWidth="10" defaultRowHeight="16" x14ac:dyDescent="0.2"/>
  <cols>
    <col min="1" max="1" width="24.5" bestFit="1" customWidth="1"/>
  </cols>
  <sheetData>
    <row r="1" spans="1:2" x14ac:dyDescent="0.2">
      <c r="A1" s="8" t="s">
        <v>1</v>
      </c>
      <c r="B1" s="8" t="s">
        <v>36</v>
      </c>
    </row>
    <row r="2" spans="1:2" x14ac:dyDescent="0.2">
      <c r="A2" s="8" t="s">
        <v>29</v>
      </c>
      <c r="B2">
        <v>0</v>
      </c>
    </row>
    <row r="3" spans="1:2" x14ac:dyDescent="0.2">
      <c r="A3" s="8" t="s">
        <v>309</v>
      </c>
      <c r="B3">
        <v>1</v>
      </c>
    </row>
    <row r="4" spans="1:2" x14ac:dyDescent="0.2">
      <c r="A4" s="8" t="s">
        <v>310</v>
      </c>
      <c r="B4">
        <v>1</v>
      </c>
    </row>
    <row r="5" spans="1:2" x14ac:dyDescent="0.2">
      <c r="A5" s="8" t="s">
        <v>311</v>
      </c>
      <c r="B5">
        <v>1</v>
      </c>
    </row>
    <row r="6" spans="1:2" x14ac:dyDescent="0.2">
      <c r="A6" s="8" t="s">
        <v>30</v>
      </c>
      <c r="B6">
        <v>0.25</v>
      </c>
    </row>
    <row r="7" spans="1:2" x14ac:dyDescent="0.2">
      <c r="A7" s="8" t="s">
        <v>61</v>
      </c>
      <c r="B7">
        <v>8</v>
      </c>
    </row>
    <row r="8" spans="1:2" x14ac:dyDescent="0.2">
      <c r="A8" s="8" t="s">
        <v>34</v>
      </c>
      <c r="B8">
        <v>4</v>
      </c>
    </row>
    <row r="9" spans="1:2" x14ac:dyDescent="0.2">
      <c r="A9" s="8" t="s">
        <v>35</v>
      </c>
      <c r="B9">
        <v>16</v>
      </c>
    </row>
    <row r="10" spans="1:2" x14ac:dyDescent="0.2">
      <c r="A10" s="12" t="s">
        <v>62</v>
      </c>
      <c r="B10" s="13">
        <v>8</v>
      </c>
    </row>
    <row r="11" spans="1:2" x14ac:dyDescent="0.2">
      <c r="A11" s="12" t="s">
        <v>63</v>
      </c>
      <c r="B11" s="13">
        <v>8</v>
      </c>
    </row>
    <row r="12" spans="1:2" x14ac:dyDescent="0.2">
      <c r="A12" s="8" t="s">
        <v>342</v>
      </c>
      <c r="B12">
        <v>4</v>
      </c>
    </row>
    <row r="13" spans="1:2" x14ac:dyDescent="0.2">
      <c r="A13" s="8" t="s">
        <v>343</v>
      </c>
      <c r="B13">
        <v>1.2</v>
      </c>
    </row>
    <row r="14" spans="1:2" x14ac:dyDescent="0.2">
      <c r="A14" s="8" t="s">
        <v>344</v>
      </c>
      <c r="B14">
        <v>1.5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02688A-D2A3-854F-B341-C0BEC53AF991}">
  <dimension ref="A1:Q62"/>
  <sheetViews>
    <sheetView topLeftCell="A25" zoomScale="160" zoomScaleNormal="160" workbookViewId="0">
      <selection activeCell="F35" sqref="F35"/>
    </sheetView>
  </sheetViews>
  <sheetFormatPr baseColWidth="10" defaultRowHeight="16" x14ac:dyDescent="0.2"/>
  <cols>
    <col min="2" max="2" width="19.33203125" bestFit="1" customWidth="1"/>
    <col min="3" max="3" width="10.1640625" hidden="1" customWidth="1"/>
    <col min="4" max="4" width="13.1640625" hidden="1" customWidth="1"/>
    <col min="5" max="5" width="14.33203125" hidden="1" customWidth="1"/>
    <col min="6" max="6" width="17.5" customWidth="1"/>
    <col min="7" max="7" width="16.83203125" customWidth="1"/>
    <col min="8" max="8" width="14" customWidth="1"/>
    <col min="9" max="9" width="8.33203125" customWidth="1"/>
    <col min="10" max="10" width="16" bestFit="1" customWidth="1"/>
    <col min="13" max="13" width="13.1640625" bestFit="1" customWidth="1"/>
    <col min="14" max="14" width="18.5" bestFit="1" customWidth="1"/>
    <col min="15" max="15" width="23.5" customWidth="1"/>
    <col min="16" max="16" width="34.1640625" bestFit="1" customWidth="1"/>
    <col min="17" max="17" width="15" bestFit="1" customWidth="1"/>
  </cols>
  <sheetData>
    <row r="1" spans="1:17" ht="34" x14ac:dyDescent="0.2">
      <c r="A1" s="17" t="s">
        <v>0</v>
      </c>
      <c r="B1" s="28" t="s">
        <v>1</v>
      </c>
      <c r="C1" s="28" t="s">
        <v>129</v>
      </c>
      <c r="D1" s="28" t="s">
        <v>130</v>
      </c>
      <c r="E1" s="28" t="s">
        <v>131</v>
      </c>
      <c r="F1" s="28" t="s">
        <v>2</v>
      </c>
      <c r="G1" s="28" t="s">
        <v>3</v>
      </c>
      <c r="H1" s="18" t="s">
        <v>132</v>
      </c>
      <c r="I1" s="18" t="s">
        <v>31</v>
      </c>
      <c r="J1" s="4" t="s">
        <v>128</v>
      </c>
      <c r="K1" s="4" t="s">
        <v>13</v>
      </c>
      <c r="L1" s="7" t="s">
        <v>14</v>
      </c>
      <c r="M1" s="5" t="s">
        <v>64</v>
      </c>
      <c r="N1" s="6" t="s">
        <v>65</v>
      </c>
      <c r="O1" s="54" t="s">
        <v>331</v>
      </c>
      <c r="P1" s="54" t="s">
        <v>332</v>
      </c>
      <c r="Q1" s="54" t="s">
        <v>333</v>
      </c>
    </row>
    <row r="2" spans="1:17" x14ac:dyDescent="0.2">
      <c r="A2" s="1">
        <v>1</v>
      </c>
      <c r="B2" s="19" t="s">
        <v>10</v>
      </c>
      <c r="C2" s="19" t="s">
        <v>133</v>
      </c>
      <c r="D2" s="19" t="s">
        <v>134</v>
      </c>
      <c r="E2" s="19" t="s">
        <v>135</v>
      </c>
      <c r="F2" s="19" t="s">
        <v>89</v>
      </c>
      <c r="G2" s="19" t="s">
        <v>92</v>
      </c>
      <c r="H2" s="1" t="str">
        <f>"LINESTRING(" &amp; O2 &amp; "," &amp; Q2 &amp; "," &amp; P2 &amp; ")"</f>
        <v>LINESTRING(2.89805500000006 60.5606330000001,2.96794024746388 60.5519809989487,3.0378254949277 60.5433289978974)</v>
      </c>
      <c r="I2" s="1">
        <v>48.1</v>
      </c>
      <c r="J2" s="1" t="str">
        <f t="shared" ref="J2:J45" si="0">IF(I2=100,"Capacity unknown","")</f>
        <v/>
      </c>
      <c r="K2" s="1">
        <f>INDEX(Nodes!$A:$A,MATCH(Arcs!F2,Nodes!$B:$B,0))</f>
        <v>6</v>
      </c>
      <c r="L2" s="1">
        <f>INDEX(Nodes!$A:$A,MATCH(Arcs!G2,Nodes!$B:$B,0))</f>
        <v>7</v>
      </c>
      <c r="M2" s="2">
        <v>1E-3</v>
      </c>
      <c r="N2" s="3">
        <v>1E-3</v>
      </c>
      <c r="O2" t="str" cm="1">
        <f t="array" ref="O2">SUBSTITUTE(INDEX(Nodes!$A$3:$E$64,Arcs!K2,4) &amp; " " &amp; INDEX(Nodes!$A$3:$E$64,Arcs!K2,5), ",",".")</f>
        <v>2.89805500000006 60.5606330000001</v>
      </c>
      <c r="P2" t="str" cm="1">
        <f t="array" ref="P2">SUBSTITUTE(INDEX(Nodes!$A$3:$E$64,Arcs!L2,4) &amp; " " &amp; INDEX(Nodes!$A$3:$E$64,Arcs!L2,5), ",",".")</f>
        <v>3.0378254949277 60.5433289978974</v>
      </c>
      <c r="Q2" t="str">
        <f>SUBSTITUTE(AVERAGE(INDEX(Nodes!$A$3:$E$64,Arcs!K2,4), INDEX(Nodes!$A$3:$E$64,Arcs!L2,4)) &amp; " " &amp; AVERAGE(INDEX(Nodes!$A$3:$E$64,Arcs!K2,5), INDEX(Nodes!$A$3:$E$64,Arcs!L2,5)), ",", ".")</f>
        <v>2.96794024746388 60.5519809989487</v>
      </c>
    </row>
    <row r="3" spans="1:17" x14ac:dyDescent="0.2">
      <c r="A3" s="1">
        <v>2</v>
      </c>
      <c r="B3" s="19" t="s">
        <v>137</v>
      </c>
      <c r="C3" s="19" t="s">
        <v>133</v>
      </c>
      <c r="D3" s="19" t="s">
        <v>134</v>
      </c>
      <c r="E3" s="19" t="s">
        <v>138</v>
      </c>
      <c r="F3" s="19" t="s">
        <v>80</v>
      </c>
      <c r="G3" s="19" t="s">
        <v>79</v>
      </c>
      <c r="H3" s="1" t="str">
        <f t="shared" ref="H3:H62" si="1">"LINESTRING(" &amp; O3 &amp; "," &amp; Q3 &amp; "," &amp; P3 &amp; ")"</f>
        <v>LINESTRING(6.44125800000006 64.233255,7.11614205264601 64.2919112956052,7.79102610529196 64.3505675912103)</v>
      </c>
      <c r="I3" s="1">
        <v>5</v>
      </c>
      <c r="J3" s="1" t="str">
        <f t="shared" si="0"/>
        <v/>
      </c>
      <c r="K3" s="1">
        <f>INDEX(Nodes!$A:$A,MATCH(Arcs!F3,Nodes!$B:$B,0))</f>
        <v>13</v>
      </c>
      <c r="L3" s="1">
        <f>INDEX(Nodes!$A:$A,MATCH(Arcs!G3,Nodes!$B:$B,0))</f>
        <v>14</v>
      </c>
      <c r="M3" s="2">
        <v>1E-3</v>
      </c>
      <c r="N3" s="3">
        <v>1E-3</v>
      </c>
      <c r="O3" t="str" cm="1">
        <f t="array" ref="O3">SUBSTITUTE(INDEX(Nodes!$A$3:$E$64,Arcs!K3,4) &amp; " " &amp; INDEX(Nodes!$A$3:$E$64,Arcs!K3,5), ",",".")</f>
        <v>6.44125800000006 64.233255</v>
      </c>
      <c r="P3" t="str" cm="1">
        <f t="array" ref="P3">SUBSTITUTE(INDEX(Nodes!$A$3:$E$64,Arcs!L3,4) &amp; " " &amp; INDEX(Nodes!$A$3:$E$64,Arcs!L3,5), ",",".")</f>
        <v>7.79102610529196 64.3505675912103</v>
      </c>
      <c r="Q3" t="str">
        <f>SUBSTITUTE(AVERAGE(INDEX(Nodes!$A$3:$E$64,Arcs!K3,4), INDEX(Nodes!$A$3:$E$64,Arcs!L3,4)) &amp; " " &amp; AVERAGE(INDEX(Nodes!$A$3:$E$64,Arcs!K3,5), INDEX(Nodes!$A$3:$E$64,Arcs!L3,5)), ",", ".")</f>
        <v>7.11614205264601 64.2919112956052</v>
      </c>
    </row>
    <row r="4" spans="1:17" x14ac:dyDescent="0.2">
      <c r="A4" s="1">
        <v>3</v>
      </c>
      <c r="B4" s="19" t="s">
        <v>68</v>
      </c>
      <c r="C4" s="19" t="s">
        <v>139</v>
      </c>
      <c r="D4" s="19" t="s">
        <v>134</v>
      </c>
      <c r="E4" s="19" t="s">
        <v>140</v>
      </c>
      <c r="F4" s="19" t="s">
        <v>206</v>
      </c>
      <c r="G4" s="19" t="s">
        <v>207</v>
      </c>
      <c r="H4" s="1" t="str">
        <f t="shared" si="1"/>
        <v>LINESTRING(4.68854112718991 62.3027286385494,5.10073123031673 60.7874221331929,5.51292133344356 59.2721156278364)</v>
      </c>
      <c r="I4" s="1">
        <v>70</v>
      </c>
      <c r="J4" s="1" t="str">
        <f t="shared" si="0"/>
        <v/>
      </c>
      <c r="K4" s="1">
        <f>INDEX(Nodes!$A:$A,MATCH(Arcs!F4,Nodes!$B:$B,0))</f>
        <v>2</v>
      </c>
      <c r="L4" s="1">
        <f>INDEX(Nodes!$A:$A,MATCH(Arcs!G4,Nodes!$B:$B,0))</f>
        <v>36</v>
      </c>
      <c r="M4" s="2">
        <v>1E-3</v>
      </c>
      <c r="N4" s="3">
        <v>1E-3</v>
      </c>
      <c r="O4" t="str" cm="1">
        <f t="array" ref="O4">SUBSTITUTE(INDEX(Nodes!$A$3:$E$64,Arcs!K4,4) &amp; " " &amp; INDEX(Nodes!$A$3:$E$64,Arcs!K4,5), ",",".")</f>
        <v>4.68854112718991 62.3027286385494</v>
      </c>
      <c r="P4" t="str" cm="1">
        <f t="array" ref="P4">SUBSTITUTE(INDEX(Nodes!$A$3:$E$64,Arcs!L4,4) &amp; " " &amp; INDEX(Nodes!$A$3:$E$64,Arcs!L4,5), ",",".")</f>
        <v>5.51292133344356 59.2721156278364</v>
      </c>
      <c r="Q4" t="str">
        <f>SUBSTITUTE(AVERAGE(INDEX(Nodes!$A$3:$E$64,Arcs!K4,4), INDEX(Nodes!$A$3:$E$64,Arcs!L4,4)) &amp; " " &amp; AVERAGE(INDEX(Nodes!$A$3:$E$64,Arcs!K4,5), INDEX(Nodes!$A$3:$E$64,Arcs!L4,5)), ",", ".")</f>
        <v>5.10073123031673 60.7874221331929</v>
      </c>
    </row>
    <row r="5" spans="1:17" x14ac:dyDescent="0.2">
      <c r="A5" s="1">
        <v>4</v>
      </c>
      <c r="B5" s="19" t="s">
        <v>12</v>
      </c>
      <c r="C5" s="19" t="s">
        <v>139</v>
      </c>
      <c r="D5" s="19" t="s">
        <v>134</v>
      </c>
      <c r="E5" s="19" t="s">
        <v>141</v>
      </c>
      <c r="F5" s="19" t="s">
        <v>106</v>
      </c>
      <c r="G5" s="20" t="s">
        <v>118</v>
      </c>
      <c r="H5" s="1" t="str">
        <f t="shared" si="1"/>
        <v>LINESTRING(2.46440416605363 58.1881490174125,3.34351308302685 56.9475590087063,4.22262200000006 55.7069690000001)</v>
      </c>
      <c r="I5" s="42">
        <v>45.7</v>
      </c>
      <c r="J5" s="1" t="str">
        <f t="shared" si="0"/>
        <v/>
      </c>
      <c r="K5" s="1">
        <f>INDEX(Nodes!$A:$A,MATCH(Arcs!F5,Nodes!$B:$B,0))</f>
        <v>15</v>
      </c>
      <c r="L5" s="1">
        <f>INDEX(Nodes!$A:$A,MATCH(Arcs!G5,Nodes!$B:$B,0))</f>
        <v>23</v>
      </c>
      <c r="M5" s="2">
        <v>1E-3</v>
      </c>
      <c r="N5" s="3">
        <v>1E-3</v>
      </c>
      <c r="O5" t="str" cm="1">
        <f t="array" ref="O5">SUBSTITUTE(INDEX(Nodes!$A$3:$E$64,Arcs!K5,4) &amp; " " &amp; INDEX(Nodes!$A$3:$E$64,Arcs!K5,5), ",",".")</f>
        <v>2.46440416605363 58.1881490174125</v>
      </c>
      <c r="P5" t="str" cm="1">
        <f t="array" ref="P5">SUBSTITUTE(INDEX(Nodes!$A$3:$E$64,Arcs!L5,4) &amp; " " &amp; INDEX(Nodes!$A$3:$E$64,Arcs!L5,5), ",",".")</f>
        <v>4.22262200000006 55.7069690000001</v>
      </c>
      <c r="Q5" t="str">
        <f>SUBSTITUTE(AVERAGE(INDEX(Nodes!$A$3:$E$64,Arcs!K5,4), INDEX(Nodes!$A$3:$E$64,Arcs!L5,4)) &amp; " " &amp; AVERAGE(INDEX(Nodes!$A$3:$E$64,Arcs!K5,5), INDEX(Nodes!$A$3:$E$64,Arcs!L5,5)), ",", ".")</f>
        <v>3.34351308302685 56.9475590087063</v>
      </c>
    </row>
    <row r="6" spans="1:17" x14ac:dyDescent="0.2">
      <c r="A6" s="1">
        <v>5</v>
      </c>
      <c r="B6" s="19" t="s">
        <v>12</v>
      </c>
      <c r="C6" s="19" t="s">
        <v>139</v>
      </c>
      <c r="D6" s="19" t="s">
        <v>134</v>
      </c>
      <c r="E6" s="19" t="s">
        <v>141</v>
      </c>
      <c r="F6" s="20" t="s">
        <v>118</v>
      </c>
      <c r="G6" s="19" t="s">
        <v>334</v>
      </c>
      <c r="H6" s="1" t="str">
        <f t="shared" si="1"/>
        <v>LINESTRING(4.22262200000006 55.7069690000001,5.77452100000005 54.6933345000001,7.32642000000004 53.6797000000001)</v>
      </c>
      <c r="I6" s="42">
        <v>45.7</v>
      </c>
      <c r="J6" s="1" t="str">
        <f t="shared" si="0"/>
        <v/>
      </c>
      <c r="K6" s="1">
        <f>INDEX(Nodes!$A:$A,MATCH(Arcs!F6,Nodes!$B:$B,0))</f>
        <v>23</v>
      </c>
      <c r="L6" s="1">
        <f>INDEX(Nodes!$A:$A,MATCH(Arcs!G6,Nodes!$B:$B,0))</f>
        <v>21</v>
      </c>
      <c r="M6" s="2">
        <v>1E-3</v>
      </c>
      <c r="N6" s="3">
        <v>1E-3</v>
      </c>
      <c r="O6" t="str" cm="1">
        <f t="array" ref="O6">SUBSTITUTE(INDEX(Nodes!$A$3:$E$64,Arcs!K6,4) &amp; " " &amp; INDEX(Nodes!$A$3:$E$64,Arcs!K6,5), ",",".")</f>
        <v>4.22262200000006 55.7069690000001</v>
      </c>
      <c r="P6" t="str" cm="1">
        <f t="array" ref="P6">SUBSTITUTE(INDEX(Nodes!$A$3:$E$64,Arcs!L6,4) &amp; " " &amp; INDEX(Nodes!$A$3:$E$64,Arcs!L6,5), ",",".")</f>
        <v>7.32642000000004 53.6797000000001</v>
      </c>
      <c r="Q6" t="str">
        <f>SUBSTITUTE(AVERAGE(INDEX(Nodes!$A$3:$E$64,Arcs!K6,4), INDEX(Nodes!$A$3:$E$64,Arcs!L6,4)) &amp; " " &amp; AVERAGE(INDEX(Nodes!$A$3:$E$64,Arcs!K6,5), INDEX(Nodes!$A$3:$E$64,Arcs!L6,5)), ",", ".")</f>
        <v>5.77452100000005 54.6933345000001</v>
      </c>
    </row>
    <row r="7" spans="1:17" x14ac:dyDescent="0.2">
      <c r="A7" s="1">
        <v>6</v>
      </c>
      <c r="B7" s="19" t="s">
        <v>301</v>
      </c>
      <c r="C7" s="19" t="s">
        <v>139</v>
      </c>
      <c r="D7" s="19" t="s">
        <v>134</v>
      </c>
      <c r="E7" s="19" t="s">
        <v>142</v>
      </c>
      <c r="F7" s="19" t="s">
        <v>207</v>
      </c>
      <c r="G7" s="19" t="s">
        <v>112</v>
      </c>
      <c r="H7" s="1" t="str">
        <f t="shared" si="1"/>
        <v>LINESTRING(5.51292133344356 59.2721156278364,6.00836066672178 57.4910578139182,6.5038 55.71)</v>
      </c>
      <c r="I7" s="42">
        <v>73.5</v>
      </c>
      <c r="J7" s="1" t="str">
        <f t="shared" si="0"/>
        <v/>
      </c>
      <c r="K7" s="1">
        <f>INDEX(Nodes!$A:$A,MATCH(Arcs!F7,Nodes!$B:$B,0))</f>
        <v>36</v>
      </c>
      <c r="L7" s="1">
        <f>INDEX(Nodes!$A:$A,MATCH(Arcs!G7,Nodes!$B:$B,0))</f>
        <v>5</v>
      </c>
      <c r="M7" s="2">
        <v>1E-3</v>
      </c>
      <c r="N7" s="3">
        <v>1E-3</v>
      </c>
      <c r="O7" t="str" cm="1">
        <f t="array" ref="O7">SUBSTITUTE(INDEX(Nodes!$A$3:$E$64,Arcs!K7,4) &amp; " " &amp; INDEX(Nodes!$A$3:$E$64,Arcs!K7,5), ",",".")</f>
        <v>5.51292133344356 59.2721156278364</v>
      </c>
      <c r="P7" t="str" cm="1">
        <f t="array" ref="P7">SUBSTITUTE(INDEX(Nodes!$A$3:$E$64,Arcs!L7,4) &amp; " " &amp; INDEX(Nodes!$A$3:$E$64,Arcs!L7,5), ",",".")</f>
        <v>6.5038 55.71</v>
      </c>
      <c r="Q7" t="str">
        <f>SUBSTITUTE(AVERAGE(INDEX(Nodes!$A$3:$E$64,Arcs!K7,4), INDEX(Nodes!$A$3:$E$64,Arcs!L7,4)) &amp; " " &amp; AVERAGE(INDEX(Nodes!$A$3:$E$64,Arcs!K7,5), INDEX(Nodes!$A$3:$E$64,Arcs!L7,5)), ",", ".")</f>
        <v>6.00836066672178 57.4910578139182</v>
      </c>
    </row>
    <row r="8" spans="1:17" x14ac:dyDescent="0.2">
      <c r="A8" s="1">
        <v>7</v>
      </c>
      <c r="B8" s="19" t="s">
        <v>302</v>
      </c>
      <c r="C8" s="19" t="s">
        <v>139</v>
      </c>
      <c r="D8" s="19" t="s">
        <v>134</v>
      </c>
      <c r="E8" s="19" t="s">
        <v>142</v>
      </c>
      <c r="F8" s="19" t="s">
        <v>112</v>
      </c>
      <c r="G8" s="19" t="s">
        <v>334</v>
      </c>
      <c r="H8" s="1" t="str">
        <f t="shared" si="1"/>
        <v>LINESTRING(6.5038 55.71,6.91511000000002 54.69485,7.32642000000004 53.6797000000001)</v>
      </c>
      <c r="I8" s="42">
        <v>73.5</v>
      </c>
      <c r="J8" s="1" t="str">
        <f t="shared" si="0"/>
        <v/>
      </c>
      <c r="K8" s="1">
        <f>INDEX(Nodes!$A:$A,MATCH(Arcs!F8,Nodes!$B:$B,0))</f>
        <v>5</v>
      </c>
      <c r="L8" s="1">
        <f>INDEX(Nodes!$A:$A,MATCH(Arcs!G8,Nodes!$B:$B,0))</f>
        <v>21</v>
      </c>
      <c r="M8" s="2">
        <v>1E-3</v>
      </c>
      <c r="N8" s="3">
        <v>1E-3</v>
      </c>
      <c r="O8" t="str" cm="1">
        <f t="array" ref="O8">SUBSTITUTE(INDEX(Nodes!$A$3:$E$64,Arcs!K8,4) &amp; " " &amp; INDEX(Nodes!$A$3:$E$64,Arcs!K8,5), ",",".")</f>
        <v>6.5038 55.71</v>
      </c>
      <c r="P8" t="str" cm="1">
        <f t="array" ref="P8">SUBSTITUTE(INDEX(Nodes!$A$3:$E$64,Arcs!L8,4) &amp; " " &amp; INDEX(Nodes!$A$3:$E$64,Arcs!L8,5), ",",".")</f>
        <v>7.32642000000004 53.6797000000001</v>
      </c>
      <c r="Q8" t="str">
        <f>SUBSTITUTE(AVERAGE(INDEX(Nodes!$A$3:$E$64,Arcs!K8,4), INDEX(Nodes!$A$3:$E$64,Arcs!L8,4)) &amp; " " &amp; AVERAGE(INDEX(Nodes!$A$3:$E$64,Arcs!K8,5), INDEX(Nodes!$A$3:$E$64,Arcs!L8,5)), ",", ".")</f>
        <v>6.91511000000002 54.69485</v>
      </c>
    </row>
    <row r="9" spans="1:17" x14ac:dyDescent="0.2">
      <c r="A9" s="1">
        <v>8</v>
      </c>
      <c r="B9" s="19" t="s">
        <v>11</v>
      </c>
      <c r="C9" s="19" t="s">
        <v>139</v>
      </c>
      <c r="D9" s="19" t="s">
        <v>134</v>
      </c>
      <c r="E9" s="19" t="s">
        <v>144</v>
      </c>
      <c r="F9" s="19" t="s">
        <v>106</v>
      </c>
      <c r="G9" s="19" t="s">
        <v>122</v>
      </c>
      <c r="H9" s="1" t="str">
        <f t="shared" si="1"/>
        <v>LINESTRING(2.46440416605363 58.1881490174125,2.35855658302684 54.6172775087063,2.25270900000004 51.046406)</v>
      </c>
      <c r="I9" s="42">
        <v>54.2</v>
      </c>
      <c r="J9" s="1" t="str">
        <f t="shared" si="0"/>
        <v/>
      </c>
      <c r="K9" s="1">
        <f>INDEX(Nodes!$A:$A,MATCH(Arcs!F9,Nodes!$B:$B,0))</f>
        <v>15</v>
      </c>
      <c r="L9" s="1">
        <f>INDEX(Nodes!$A:$A,MATCH(Arcs!G9,Nodes!$B:$B,0))</f>
        <v>17</v>
      </c>
      <c r="M9" s="2">
        <v>1E-3</v>
      </c>
      <c r="N9" s="3">
        <v>1E-3</v>
      </c>
      <c r="O9" t="str" cm="1">
        <f t="array" ref="O9">SUBSTITUTE(INDEX(Nodes!$A$3:$E$64,Arcs!K9,4) &amp; " " &amp; INDEX(Nodes!$A$3:$E$64,Arcs!K9,5), ",",".")</f>
        <v>2.46440416605363 58.1881490174125</v>
      </c>
      <c r="P9" t="str" cm="1">
        <f t="array" ref="P9">SUBSTITUTE(INDEX(Nodes!$A$3:$E$64,Arcs!L9,4) &amp; " " &amp; INDEX(Nodes!$A$3:$E$64,Arcs!L9,5), ",",".")</f>
        <v>2.25270900000004 51.046406</v>
      </c>
      <c r="Q9" t="str">
        <f>SUBSTITUTE(AVERAGE(INDEX(Nodes!$A$3:$E$64,Arcs!K9,4), INDEX(Nodes!$A$3:$E$64,Arcs!L9,4)) &amp; " " &amp; AVERAGE(INDEX(Nodes!$A$3:$E$64,Arcs!K9,5), INDEX(Nodes!$A$3:$E$64,Arcs!L9,5)), ",", ".")</f>
        <v>2.35855658302684 54.6172775087063</v>
      </c>
    </row>
    <row r="10" spans="1:17" x14ac:dyDescent="0.2">
      <c r="A10" s="1">
        <v>9</v>
      </c>
      <c r="B10" s="19" t="s">
        <v>185</v>
      </c>
      <c r="C10" s="19" t="s">
        <v>139</v>
      </c>
      <c r="D10" s="19" t="s">
        <v>134</v>
      </c>
      <c r="E10" s="19" t="s">
        <v>145</v>
      </c>
      <c r="F10" s="19" t="s">
        <v>186</v>
      </c>
      <c r="G10" s="19" t="s">
        <v>91</v>
      </c>
      <c r="H10" s="1" t="str">
        <f t="shared" si="1"/>
        <v>LINESTRING(2.50707808340931 61.0775819356338,3.67283754339515 60.8114652109992,4.838597003381 60.5453484863646)</v>
      </c>
      <c r="I10" s="42">
        <v>33.5</v>
      </c>
      <c r="J10" s="1" t="str">
        <f t="shared" si="0"/>
        <v/>
      </c>
      <c r="K10" s="1">
        <f>INDEX(Nodes!$A:$A,MATCH(Arcs!F10,Nodes!$B:$B,0))</f>
        <v>38</v>
      </c>
      <c r="L10" s="1">
        <f>INDEX(Nodes!$A:$A,MATCH(Arcs!G10,Nodes!$B:$B,0))</f>
        <v>37</v>
      </c>
      <c r="M10" s="2">
        <v>1E-3</v>
      </c>
      <c r="N10" s="3">
        <v>1E-3</v>
      </c>
      <c r="O10" t="str" cm="1">
        <f t="array" ref="O10">SUBSTITUTE(INDEX(Nodes!$A$3:$E$64,Arcs!K10,4) &amp; " " &amp; INDEX(Nodes!$A$3:$E$64,Arcs!K10,5), ",",".")</f>
        <v>2.50707808340931 61.0775819356338</v>
      </c>
      <c r="P10" t="str" cm="1">
        <f t="array" ref="P10">SUBSTITUTE(INDEX(Nodes!$A$3:$E$64,Arcs!L10,4) &amp; " " &amp; INDEX(Nodes!$A$3:$E$64,Arcs!L10,5), ",",".")</f>
        <v>4.838597003381 60.5453484863646</v>
      </c>
      <c r="Q10" t="str">
        <f>SUBSTITUTE(AVERAGE(INDEX(Nodes!$A$3:$E$64,Arcs!K10,4), INDEX(Nodes!$A$3:$E$64,Arcs!L10,4)) &amp; " " &amp; AVERAGE(INDEX(Nodes!$A$3:$E$64,Arcs!K10,5), INDEX(Nodes!$A$3:$E$64,Arcs!L10,5)), ",", ".")</f>
        <v>3.67283754339515 60.8114652109992</v>
      </c>
    </row>
    <row r="11" spans="1:17" x14ac:dyDescent="0.2">
      <c r="A11" s="1">
        <v>10</v>
      </c>
      <c r="B11" s="19" t="s">
        <v>7</v>
      </c>
      <c r="C11" s="19" t="s">
        <v>139</v>
      </c>
      <c r="D11" s="19" t="s">
        <v>134</v>
      </c>
      <c r="E11" s="19" t="s">
        <v>146</v>
      </c>
      <c r="F11" s="19" t="s">
        <v>84</v>
      </c>
      <c r="G11" s="19" t="s">
        <v>105</v>
      </c>
      <c r="H11" s="1" t="str">
        <f t="shared" si="1"/>
        <v>LINESTRING(6.94577121700007 62.851558685,4.43081880699815 60.6082514294188,1.91586639699623 58.3649441738375)</v>
      </c>
      <c r="I11" s="42">
        <v>74.7</v>
      </c>
      <c r="J11" s="1" t="str">
        <f t="shared" si="0"/>
        <v/>
      </c>
      <c r="K11" s="1">
        <f>INDEX(Nodes!$A:$A,MATCH(Arcs!F11,Nodes!$B:$B,0))</f>
        <v>44</v>
      </c>
      <c r="L11" s="1">
        <f>INDEX(Nodes!$A:$A,MATCH(Arcs!G11,Nodes!$B:$B,0))</f>
        <v>51</v>
      </c>
      <c r="M11" s="2">
        <v>1E-3</v>
      </c>
      <c r="N11" s="3">
        <v>1E-3</v>
      </c>
      <c r="O11" t="str" cm="1">
        <f t="array" ref="O11">SUBSTITUTE(INDEX(Nodes!$A$3:$E$64,Arcs!K11,4) &amp; " " &amp; INDEX(Nodes!$A$3:$E$64,Arcs!K11,5), ",",".")</f>
        <v>6.94577121700007 62.851558685</v>
      </c>
      <c r="P11" t="str" cm="1">
        <f t="array" ref="P11">SUBSTITUTE(INDEX(Nodes!$A$3:$E$64,Arcs!L11,4) &amp; " " &amp; INDEX(Nodes!$A$3:$E$64,Arcs!L11,5), ",",".")</f>
        <v>1.91586639699623 58.3649441738375</v>
      </c>
      <c r="Q11" t="str">
        <f>SUBSTITUTE(AVERAGE(INDEX(Nodes!$A$3:$E$64,Arcs!K11,4), INDEX(Nodes!$A$3:$E$64,Arcs!L11,4)) &amp; " " &amp; AVERAGE(INDEX(Nodes!$A$3:$E$64,Arcs!K11,5), INDEX(Nodes!$A$3:$E$64,Arcs!L11,5)), ",", ".")</f>
        <v>4.43081880699815 60.6082514294188</v>
      </c>
    </row>
    <row r="12" spans="1:17" x14ac:dyDescent="0.2">
      <c r="A12" s="1">
        <v>11</v>
      </c>
      <c r="B12" s="19" t="s">
        <v>7</v>
      </c>
      <c r="C12" s="19" t="s">
        <v>139</v>
      </c>
      <c r="D12" s="19" t="s">
        <v>134</v>
      </c>
      <c r="E12" s="19" t="s">
        <v>147</v>
      </c>
      <c r="F12" s="19" t="s">
        <v>105</v>
      </c>
      <c r="G12" s="19" t="s">
        <v>119</v>
      </c>
      <c r="H12" s="1" t="str">
        <f t="shared" si="1"/>
        <v>LINESTRING(1.91586639699623 58.3649441738375,1.01594869849812 56.0120875869188,0.116031000000021 53.659231)</v>
      </c>
      <c r="I12" s="42">
        <v>73.8</v>
      </c>
      <c r="J12" s="1" t="str">
        <f t="shared" si="0"/>
        <v/>
      </c>
      <c r="K12" s="1">
        <f>INDEX(Nodes!$A:$A,MATCH(Arcs!F12,Nodes!$B:$B,0))</f>
        <v>51</v>
      </c>
      <c r="L12" s="1">
        <f>INDEX(Nodes!$A:$A,MATCH(Arcs!G12,Nodes!$B:$B,0))</f>
        <v>18</v>
      </c>
      <c r="M12" s="2">
        <v>1E-3</v>
      </c>
      <c r="N12" s="3">
        <v>1E-3</v>
      </c>
      <c r="O12" t="str" cm="1">
        <f t="array" ref="O12">SUBSTITUTE(INDEX(Nodes!$A$3:$E$64,Arcs!K12,4) &amp; " " &amp; INDEX(Nodes!$A$3:$E$64,Arcs!K12,5), ",",".")</f>
        <v>1.91586639699623 58.3649441738375</v>
      </c>
      <c r="P12" t="str" cm="1">
        <f t="array" ref="P12">SUBSTITUTE(INDEX(Nodes!$A$3:$E$64,Arcs!L12,4) &amp; " " &amp; INDEX(Nodes!$A$3:$E$64,Arcs!L12,5), ",",".")</f>
        <v>0.116031000000021 53.659231</v>
      </c>
      <c r="Q12" t="str">
        <f>SUBSTITUTE(AVERAGE(INDEX(Nodes!$A$3:$E$64,Arcs!K12,4), INDEX(Nodes!$A$3:$E$64,Arcs!L12,4)) &amp; " " &amp; AVERAGE(INDEX(Nodes!$A$3:$E$64,Arcs!K12,5), INDEX(Nodes!$A$3:$E$64,Arcs!L12,5)), ",", ".")</f>
        <v>1.01594869849812 56.0120875869188</v>
      </c>
    </row>
    <row r="13" spans="1:17" x14ac:dyDescent="0.2">
      <c r="A13" s="1">
        <v>12</v>
      </c>
      <c r="B13" s="19" t="s">
        <v>148</v>
      </c>
      <c r="C13" s="19" t="s">
        <v>139</v>
      </c>
      <c r="D13" s="19" t="s">
        <v>134</v>
      </c>
      <c r="E13" s="19" t="s">
        <v>149</v>
      </c>
      <c r="F13" s="19" t="s">
        <v>75</v>
      </c>
      <c r="G13" s="19" t="s">
        <v>78</v>
      </c>
      <c r="H13" s="1" t="str">
        <f t="shared" si="1"/>
        <v>LINESTRING(8.0785441179034 66.0293308994089,7.44000255895174 65.5569234497045,6.80146100000007 65.0845160000001)</v>
      </c>
      <c r="I13" s="42">
        <v>11</v>
      </c>
      <c r="J13" s="1" t="str">
        <f t="shared" si="0"/>
        <v/>
      </c>
      <c r="K13" s="1">
        <f>INDEX(Nodes!$A:$A,MATCH(Arcs!F13,Nodes!$B:$B,0))</f>
        <v>41</v>
      </c>
      <c r="L13" s="1">
        <f>INDEX(Nodes!$A:$A,MATCH(Arcs!G13,Nodes!$B:$B,0))</f>
        <v>42</v>
      </c>
      <c r="M13" s="2">
        <v>1E-3</v>
      </c>
      <c r="N13" s="3">
        <v>1E-3</v>
      </c>
      <c r="O13" t="str" cm="1">
        <f t="array" ref="O13">SUBSTITUTE(INDEX(Nodes!$A$3:$E$64,Arcs!K13,4) &amp; " " &amp; INDEX(Nodes!$A$3:$E$64,Arcs!K13,5), ",",".")</f>
        <v>8.0785441179034 66.0293308994089</v>
      </c>
      <c r="P13" t="str" cm="1">
        <f t="array" ref="P13">SUBSTITUTE(INDEX(Nodes!$A$3:$E$64,Arcs!L13,4) &amp; " " &amp; INDEX(Nodes!$A$3:$E$64,Arcs!L13,5), ",",".")</f>
        <v>6.80146100000007 65.0845160000001</v>
      </c>
      <c r="Q13" t="str">
        <f>SUBSTITUTE(AVERAGE(INDEX(Nodes!$A$3:$E$64,Arcs!K13,4), INDEX(Nodes!$A$3:$E$64,Arcs!L13,4)) &amp; " " &amp; AVERAGE(INDEX(Nodes!$A$3:$E$64,Arcs!K13,5), INDEX(Nodes!$A$3:$E$64,Arcs!L13,5)), ",", ".")</f>
        <v>7.44000255895174 65.5569234497045</v>
      </c>
    </row>
    <row r="14" spans="1:17" x14ac:dyDescent="0.2">
      <c r="A14" s="1">
        <v>13</v>
      </c>
      <c r="B14" s="19" t="s">
        <v>150</v>
      </c>
      <c r="C14" s="19" t="s">
        <v>139</v>
      </c>
      <c r="D14" s="19" t="s">
        <v>134</v>
      </c>
      <c r="E14" s="19" t="s">
        <v>151</v>
      </c>
      <c r="F14" s="19" t="s">
        <v>111</v>
      </c>
      <c r="G14" s="19" t="s">
        <v>110</v>
      </c>
      <c r="H14" s="1" t="str">
        <f t="shared" si="1"/>
        <v>LINESTRING(3.33050300000002 56.490369,3.28025150000001 56.5201845,3.23 56.55)</v>
      </c>
      <c r="I14" s="42">
        <v>44.4</v>
      </c>
      <c r="J14" s="1" t="str">
        <f t="shared" si="0"/>
        <v/>
      </c>
      <c r="K14" s="1">
        <f>INDEX(Nodes!$A:$A,MATCH(Arcs!F14,Nodes!$B:$B,0))</f>
        <v>43</v>
      </c>
      <c r="L14" s="1">
        <f>INDEX(Nodes!$A:$A,MATCH(Arcs!G14,Nodes!$B:$B,0))</f>
        <v>20</v>
      </c>
      <c r="M14" s="2">
        <v>1E-3</v>
      </c>
      <c r="N14" s="3">
        <v>1E-3</v>
      </c>
      <c r="O14" t="str" cm="1">
        <f t="array" ref="O14">SUBSTITUTE(INDEX(Nodes!$A$3:$E$64,Arcs!K14,4) &amp; " " &amp; INDEX(Nodes!$A$3:$E$64,Arcs!K14,5), ",",".")</f>
        <v>3.33050300000002 56.490369</v>
      </c>
      <c r="P14" t="str" cm="1">
        <f t="array" ref="P14">SUBSTITUTE(INDEX(Nodes!$A$3:$E$64,Arcs!L14,4) &amp; " " &amp; INDEX(Nodes!$A$3:$E$64,Arcs!L14,5), ",",".")</f>
        <v>3.23 56.55</v>
      </c>
      <c r="Q14" t="str">
        <f>SUBSTITUTE(AVERAGE(INDEX(Nodes!$A$3:$E$64,Arcs!K14,4), INDEX(Nodes!$A$3:$E$64,Arcs!L14,4)) &amp; " " &amp; AVERAGE(INDEX(Nodes!$A$3:$E$64,Arcs!K14,5), INDEX(Nodes!$A$3:$E$64,Arcs!L14,5)), ",", ".")</f>
        <v>3.28025150000001 56.5201845</v>
      </c>
    </row>
    <row r="15" spans="1:17" x14ac:dyDescent="0.2">
      <c r="A15" s="1">
        <v>14</v>
      </c>
      <c r="B15" s="19" t="s">
        <v>150</v>
      </c>
      <c r="C15" s="19" t="s">
        <v>139</v>
      </c>
      <c r="D15" s="19" t="s">
        <v>134</v>
      </c>
      <c r="E15" s="19" t="s">
        <v>152</v>
      </c>
      <c r="F15" s="19" t="s">
        <v>111</v>
      </c>
      <c r="G15" s="19" t="s">
        <v>113</v>
      </c>
      <c r="H15" s="1" t="str">
        <f t="shared" si="1"/>
        <v>LINESTRING(3.33050300000002 56.490369,3.94372505908058 55.9746756858192,4.55694711816114 55.4589823716383)</v>
      </c>
      <c r="I15" s="42">
        <v>44.4</v>
      </c>
      <c r="J15" s="1" t="str">
        <f t="shared" si="0"/>
        <v/>
      </c>
      <c r="K15" s="1">
        <f>INDEX(Nodes!$A:$A,MATCH(Arcs!F15,Nodes!$B:$B,0))</f>
        <v>43</v>
      </c>
      <c r="L15" s="1">
        <f>INDEX(Nodes!$A:$A,MATCH(Arcs!G15,Nodes!$B:$B,0))</f>
        <v>4</v>
      </c>
      <c r="M15" s="2">
        <v>1E-3</v>
      </c>
      <c r="N15" s="3">
        <v>1E-3</v>
      </c>
      <c r="O15" t="str" cm="1">
        <f t="array" ref="O15">SUBSTITUTE(INDEX(Nodes!$A$3:$E$64,Arcs!K15,4) &amp; " " &amp; INDEX(Nodes!$A$3:$E$64,Arcs!K15,5), ",",".")</f>
        <v>3.33050300000002 56.490369</v>
      </c>
      <c r="P15" t="str" cm="1">
        <f t="array" ref="P15">SUBSTITUTE(INDEX(Nodes!$A$3:$E$64,Arcs!L15,4) &amp; " " &amp; INDEX(Nodes!$A$3:$E$64,Arcs!L15,5), ",",".")</f>
        <v>4.55694711816114 55.4589823716383</v>
      </c>
      <c r="Q15" t="str">
        <f>SUBSTITUTE(AVERAGE(INDEX(Nodes!$A$3:$E$64,Arcs!K15,4), INDEX(Nodes!$A$3:$E$64,Arcs!L15,4)) &amp; " " &amp; AVERAGE(INDEX(Nodes!$A$3:$E$64,Arcs!K15,5), INDEX(Nodes!$A$3:$E$64,Arcs!L15,5)), ",", ".")</f>
        <v>3.94372505908058 55.9746756858192</v>
      </c>
    </row>
    <row r="16" spans="1:17" x14ac:dyDescent="0.2">
      <c r="A16" s="1">
        <v>15</v>
      </c>
      <c r="B16" s="19" t="s">
        <v>150</v>
      </c>
      <c r="C16" s="19" t="s">
        <v>139</v>
      </c>
      <c r="D16" s="19" t="s">
        <v>134</v>
      </c>
      <c r="E16" s="19" t="s">
        <v>152</v>
      </c>
      <c r="F16" s="19" t="s">
        <v>113</v>
      </c>
      <c r="G16" s="19" t="s">
        <v>116</v>
      </c>
      <c r="H16" s="1" t="str">
        <f t="shared" si="1"/>
        <v>LINESTRING(4.55694711816114 55.4589823716383,5.2987903360241 54.982391852912,6.04063355388706 54.5058013341856)</v>
      </c>
      <c r="I16" s="42">
        <v>44.4</v>
      </c>
      <c r="J16" s="1" t="str">
        <f t="shared" si="0"/>
        <v/>
      </c>
      <c r="K16" s="1">
        <f>INDEX(Nodes!$A:$A,MATCH(Arcs!F16,Nodes!$B:$B,0))</f>
        <v>4</v>
      </c>
      <c r="L16" s="1">
        <f>INDEX(Nodes!$A:$A,MATCH(Arcs!G16,Nodes!$B:$B,0))</f>
        <v>30</v>
      </c>
      <c r="M16" s="2">
        <v>1E-3</v>
      </c>
      <c r="N16" s="3">
        <v>1E-3</v>
      </c>
      <c r="O16" t="str" cm="1">
        <f t="array" ref="O16">SUBSTITUTE(INDEX(Nodes!$A$3:$E$64,Arcs!K16,4) &amp; " " &amp; INDEX(Nodes!$A$3:$E$64,Arcs!K16,5), ",",".")</f>
        <v>4.55694711816114 55.4589823716383</v>
      </c>
      <c r="P16" t="str" cm="1">
        <f t="array" ref="P16">SUBSTITUTE(INDEX(Nodes!$A$3:$E$64,Arcs!L16,4) &amp; " " &amp; INDEX(Nodes!$A$3:$E$64,Arcs!L16,5), ",",".")</f>
        <v>6.04063355388706 54.5058013341856</v>
      </c>
      <c r="Q16" t="str">
        <f>SUBSTITUTE(AVERAGE(INDEX(Nodes!$A$3:$E$64,Arcs!K16,4), INDEX(Nodes!$A$3:$E$64,Arcs!L16,4)) &amp; " " &amp; AVERAGE(INDEX(Nodes!$A$3:$E$64,Arcs!K16,5), INDEX(Nodes!$A$3:$E$64,Arcs!L16,5)), ",", ".")</f>
        <v>5.2987903360241 54.982391852912</v>
      </c>
    </row>
    <row r="17" spans="1:17" x14ac:dyDescent="0.2">
      <c r="A17" s="1">
        <v>16</v>
      </c>
      <c r="B17" s="19" t="s">
        <v>150</v>
      </c>
      <c r="C17" s="19" t="s">
        <v>139</v>
      </c>
      <c r="D17" s="19" t="s">
        <v>134</v>
      </c>
      <c r="E17" s="19" t="s">
        <v>152</v>
      </c>
      <c r="F17" s="19" t="s">
        <v>116</v>
      </c>
      <c r="G17" s="19" t="s">
        <v>120</v>
      </c>
      <c r="H17" s="1" t="str">
        <f t="shared" si="1"/>
        <v>LINESTRING(6.04063355388706 54.5058013341856,6.61496177694355 53.9260006670928,7.18929000000003 53.3462000000001)</v>
      </c>
      <c r="I17" s="42">
        <v>44.4</v>
      </c>
      <c r="J17" s="1" t="str">
        <f t="shared" si="0"/>
        <v/>
      </c>
      <c r="K17" s="1">
        <f>INDEX(Nodes!$A:$A,MATCH(Arcs!F17,Nodes!$B:$B,0))</f>
        <v>30</v>
      </c>
      <c r="L17" s="1">
        <f>INDEX(Nodes!$A:$A,MATCH(Arcs!G17,Nodes!$B:$B,0))</f>
        <v>22</v>
      </c>
      <c r="M17" s="2">
        <v>1E-3</v>
      </c>
      <c r="N17" s="3">
        <v>1E-3</v>
      </c>
      <c r="O17" t="str" cm="1">
        <f t="array" ref="O17">SUBSTITUTE(INDEX(Nodes!$A$3:$E$64,Arcs!K17,4) &amp; " " &amp; INDEX(Nodes!$A$3:$E$64,Arcs!K17,5), ",",".")</f>
        <v>6.04063355388706 54.5058013341856</v>
      </c>
      <c r="P17" t="str" cm="1">
        <f t="array" ref="P17">SUBSTITUTE(INDEX(Nodes!$A$3:$E$64,Arcs!L17,4) &amp; " " &amp; INDEX(Nodes!$A$3:$E$64,Arcs!L17,5), ",",".")</f>
        <v>7.18929000000003 53.3462000000001</v>
      </c>
      <c r="Q17" t="str">
        <f>SUBSTITUTE(AVERAGE(INDEX(Nodes!$A$3:$E$64,Arcs!K17,4), INDEX(Nodes!$A$3:$E$64,Arcs!L17,4)) &amp; " " &amp; AVERAGE(INDEX(Nodes!$A$3:$E$64,Arcs!K17,5), INDEX(Nodes!$A$3:$E$64,Arcs!L17,5)), ",", ".")</f>
        <v>6.61496177694355 53.9260006670928</v>
      </c>
    </row>
    <row r="18" spans="1:17" x14ac:dyDescent="0.2">
      <c r="A18" s="1">
        <v>17</v>
      </c>
      <c r="B18" s="19" t="s">
        <v>153</v>
      </c>
      <c r="C18" s="19" t="s">
        <v>139</v>
      </c>
      <c r="D18" s="19" t="s">
        <v>134</v>
      </c>
      <c r="E18" s="19" t="s">
        <v>154</v>
      </c>
      <c r="F18" s="19" t="s">
        <v>94</v>
      </c>
      <c r="G18" s="19" t="s">
        <v>96</v>
      </c>
      <c r="H18" s="1" t="str">
        <f t="shared" si="1"/>
        <v>LINESTRING(2.82404618697923 60.4869004536081,2.52963583723616 60.0289879024106,2.23522548749309 59.5710753512132)</v>
      </c>
      <c r="I18" s="42">
        <v>35</v>
      </c>
      <c r="J18" s="1" t="str">
        <f t="shared" si="0"/>
        <v/>
      </c>
      <c r="K18" s="1">
        <f>INDEX(Nodes!$A:$A,MATCH(Arcs!F18,Nodes!$B:$B,0))</f>
        <v>46</v>
      </c>
      <c r="L18" s="1">
        <f>INDEX(Nodes!$A:$A,MATCH(Arcs!G18,Nodes!$B:$B,0))</f>
        <v>33</v>
      </c>
      <c r="M18" s="2">
        <v>1E-3</v>
      </c>
      <c r="N18" s="3">
        <v>1E-3</v>
      </c>
      <c r="O18" t="str" cm="1">
        <f t="array" ref="O18">SUBSTITUTE(INDEX(Nodes!$A$3:$E$64,Arcs!K18,4) &amp; " " &amp; INDEX(Nodes!$A$3:$E$64,Arcs!K18,5), ",",".")</f>
        <v>2.82404618697923 60.4869004536081</v>
      </c>
      <c r="P18" t="str" cm="1">
        <f t="array" ref="P18">SUBSTITUTE(INDEX(Nodes!$A$3:$E$64,Arcs!L18,4) &amp; " " &amp; INDEX(Nodes!$A$3:$E$64,Arcs!L18,5), ",",".")</f>
        <v>2.23522548749309 59.5710753512132</v>
      </c>
      <c r="Q18" t="str">
        <f>SUBSTITUTE(AVERAGE(INDEX(Nodes!$A$3:$E$64,Arcs!K18,4), INDEX(Nodes!$A$3:$E$64,Arcs!L18,4)) &amp; " " &amp; AVERAGE(INDEX(Nodes!$A$3:$E$64,Arcs!K18,5), INDEX(Nodes!$A$3:$E$64,Arcs!L18,5)), ",", ".")</f>
        <v>2.52963583723616 60.0289879024106</v>
      </c>
    </row>
    <row r="19" spans="1:17" x14ac:dyDescent="0.2">
      <c r="A19" s="1">
        <v>18</v>
      </c>
      <c r="B19" s="19" t="s">
        <v>10</v>
      </c>
      <c r="C19" s="19" t="s">
        <v>139</v>
      </c>
      <c r="D19" s="19" t="s">
        <v>134</v>
      </c>
      <c r="E19" s="19" t="s">
        <v>155</v>
      </c>
      <c r="F19" s="19" t="s">
        <v>86</v>
      </c>
      <c r="G19" s="19" t="s">
        <v>207</v>
      </c>
      <c r="H19" s="1" t="str">
        <f t="shared" si="1"/>
        <v>LINESTRING(1.84593600000005 61.1858300000001,3.67942866672181 60.2289728139182,5.51292133344356 59.2721156278364)</v>
      </c>
      <c r="I19" s="1">
        <v>25</v>
      </c>
      <c r="J19" s="1" t="str">
        <f t="shared" si="0"/>
        <v/>
      </c>
      <c r="K19" s="1">
        <f>INDEX(Nodes!$A:$A,MATCH(Arcs!F19,Nodes!$B:$B,0))</f>
        <v>53</v>
      </c>
      <c r="L19" s="1">
        <f>INDEX(Nodes!$A:$A,MATCH(Arcs!G19,Nodes!$B:$B,0))</f>
        <v>36</v>
      </c>
      <c r="M19" s="2">
        <v>1E-3</v>
      </c>
      <c r="N19" s="3">
        <v>1E-3</v>
      </c>
      <c r="O19" t="str" cm="1">
        <f t="array" ref="O19">SUBSTITUTE(INDEX(Nodes!$A$3:$E$64,Arcs!K19,4) &amp; " " &amp; INDEX(Nodes!$A$3:$E$64,Arcs!K19,5), ",",".")</f>
        <v>1.84593600000005 61.1858300000001</v>
      </c>
      <c r="P19" t="str" cm="1">
        <f t="array" ref="P19">SUBSTITUTE(INDEX(Nodes!$A$3:$E$64,Arcs!L19,4) &amp; " " &amp; INDEX(Nodes!$A$3:$E$64,Arcs!L19,5), ",",".")</f>
        <v>5.51292133344356 59.2721156278364</v>
      </c>
      <c r="Q19" t="str">
        <f>SUBSTITUTE(AVERAGE(INDEX(Nodes!$A$3:$E$64,Arcs!K19,4), INDEX(Nodes!$A$3:$E$64,Arcs!L19,4)) &amp; " " &amp; AVERAGE(INDEX(Nodes!$A$3:$E$64,Arcs!K19,5), INDEX(Nodes!$A$3:$E$64,Arcs!L19,5)), ",", ".")</f>
        <v>3.67942866672181 60.2289728139182</v>
      </c>
    </row>
    <row r="20" spans="1:17" x14ac:dyDescent="0.2">
      <c r="A20" s="1">
        <v>19</v>
      </c>
      <c r="B20" s="19" t="s">
        <v>10</v>
      </c>
      <c r="C20" s="19" t="s">
        <v>139</v>
      </c>
      <c r="D20" s="19" t="s">
        <v>134</v>
      </c>
      <c r="E20" s="19" t="s">
        <v>156</v>
      </c>
      <c r="F20" s="19" t="s">
        <v>97</v>
      </c>
      <c r="G20" s="19" t="s">
        <v>107</v>
      </c>
      <c r="H20" s="1" t="str">
        <f t="shared" si="1"/>
        <v>LINESTRING(2.23452257796894 59.5707378727449,2.35412777628591 58.8775735508799,2.47373297460288 58.1844092290148)</v>
      </c>
      <c r="I20" s="42">
        <v>30.7</v>
      </c>
      <c r="J20" s="1" t="str">
        <f t="shared" si="0"/>
        <v/>
      </c>
      <c r="K20" s="1">
        <f>INDEX(Nodes!$A:$A,MATCH(Arcs!F20,Nodes!$B:$B,0))</f>
        <v>32</v>
      </c>
      <c r="L20" s="1">
        <f>INDEX(Nodes!$A:$A,MATCH(Arcs!G20,Nodes!$B:$B,0))</f>
        <v>16</v>
      </c>
      <c r="M20" s="2">
        <v>1E-3</v>
      </c>
      <c r="N20" s="3">
        <v>1E-3</v>
      </c>
      <c r="O20" t="str" cm="1">
        <f t="array" ref="O20">SUBSTITUTE(INDEX(Nodes!$A$3:$E$64,Arcs!K20,4) &amp; " " &amp; INDEX(Nodes!$A$3:$E$64,Arcs!K20,5), ",",".")</f>
        <v>2.23452257796894 59.5707378727449</v>
      </c>
      <c r="P20" t="str" cm="1">
        <f t="array" ref="P20">SUBSTITUTE(INDEX(Nodes!$A$3:$E$64,Arcs!L20,4) &amp; " " &amp; INDEX(Nodes!$A$3:$E$64,Arcs!L20,5), ",",".")</f>
        <v>2.47373297460288 58.1844092290148</v>
      </c>
      <c r="Q20" t="str">
        <f>SUBSTITUTE(AVERAGE(INDEX(Nodes!$A$3:$E$64,Arcs!K20,4), INDEX(Nodes!$A$3:$E$64,Arcs!L20,4)) &amp; " " &amp; AVERAGE(INDEX(Nodes!$A$3:$E$64,Arcs!K20,5), INDEX(Nodes!$A$3:$E$64,Arcs!L20,5)), ",", ".")</f>
        <v>2.35412777628591 58.8775735508799</v>
      </c>
    </row>
    <row r="21" spans="1:17" x14ac:dyDescent="0.2">
      <c r="A21" s="1">
        <v>20</v>
      </c>
      <c r="B21" s="19" t="s">
        <v>10</v>
      </c>
      <c r="C21" s="19" t="s">
        <v>139</v>
      </c>
      <c r="D21" s="19" t="s">
        <v>134</v>
      </c>
      <c r="E21" s="19" t="s">
        <v>156</v>
      </c>
      <c r="F21" s="19" t="s">
        <v>207</v>
      </c>
      <c r="G21" s="19" t="s">
        <v>107</v>
      </c>
      <c r="H21" s="1" t="str">
        <f t="shared" si="1"/>
        <v>LINESTRING(5.51292133344356 59.2721156278364,3.99332715402322 58.7282624284256,2.47373297460288 58.1844092290148)</v>
      </c>
      <c r="I21" s="42">
        <v>21.1</v>
      </c>
      <c r="J21" s="1" t="str">
        <f t="shared" si="0"/>
        <v/>
      </c>
      <c r="K21" s="1">
        <f>INDEX(Nodes!$A:$A,MATCH(Arcs!F21,Nodes!$B:$B,0))</f>
        <v>36</v>
      </c>
      <c r="L21" s="1">
        <f>INDEX(Nodes!$A:$A,MATCH(Arcs!G21,Nodes!$B:$B,0))</f>
        <v>16</v>
      </c>
      <c r="M21" s="2">
        <v>1E-3</v>
      </c>
      <c r="N21" s="3">
        <v>1E-3</v>
      </c>
      <c r="O21" t="str" cm="1">
        <f t="array" ref="O21">SUBSTITUTE(INDEX(Nodes!$A$3:$E$64,Arcs!K21,4) &amp; " " &amp; INDEX(Nodes!$A$3:$E$64,Arcs!K21,5), ",",".")</f>
        <v>5.51292133344356 59.2721156278364</v>
      </c>
      <c r="P21" t="str" cm="1">
        <f t="array" ref="P21">SUBSTITUTE(INDEX(Nodes!$A$3:$E$64,Arcs!L21,4) &amp; " " &amp; INDEX(Nodes!$A$3:$E$64,Arcs!L21,5), ",",".")</f>
        <v>2.47373297460288 58.1844092290148</v>
      </c>
      <c r="Q21" t="str">
        <f>SUBSTITUTE(AVERAGE(INDEX(Nodes!$A$3:$E$64,Arcs!K21,4), INDEX(Nodes!$A$3:$E$64,Arcs!L21,4)) &amp; " " &amp; AVERAGE(INDEX(Nodes!$A$3:$E$64,Arcs!K21,5), INDEX(Nodes!$A$3:$E$64,Arcs!L21,5)), ",", ".")</f>
        <v>3.99332715402322 58.7282624284256</v>
      </c>
    </row>
    <row r="22" spans="1:17" x14ac:dyDescent="0.2">
      <c r="A22" s="1">
        <v>21</v>
      </c>
      <c r="B22" s="19" t="s">
        <v>10</v>
      </c>
      <c r="C22" s="19" t="s">
        <v>139</v>
      </c>
      <c r="D22" s="19" t="s">
        <v>134</v>
      </c>
      <c r="E22" s="19" t="s">
        <v>156</v>
      </c>
      <c r="F22" s="19" t="s">
        <v>107</v>
      </c>
      <c r="G22" s="19" t="s">
        <v>111</v>
      </c>
      <c r="H22" s="1" t="str">
        <f t="shared" si="1"/>
        <v>LINESTRING(2.47373297460288 58.1844092290148,2.90211798730145 57.3373891145074,3.33050300000002 56.490369)</v>
      </c>
      <c r="I22" s="42">
        <v>44.4</v>
      </c>
      <c r="J22" s="1" t="str">
        <f t="shared" si="0"/>
        <v/>
      </c>
      <c r="K22" s="1">
        <f>INDEX(Nodes!$A:$A,MATCH(Arcs!F22,Nodes!$B:$B,0))</f>
        <v>16</v>
      </c>
      <c r="L22" s="1">
        <f>INDEX(Nodes!$A:$A,MATCH(Arcs!G22,Nodes!$B:$B,0))</f>
        <v>43</v>
      </c>
      <c r="M22" s="2">
        <v>1E-3</v>
      </c>
      <c r="N22" s="3">
        <v>1E-3</v>
      </c>
      <c r="O22" t="str" cm="1">
        <f t="array" ref="O22">SUBSTITUTE(INDEX(Nodes!$A$3:$E$64,Arcs!K22,4) &amp; " " &amp; INDEX(Nodes!$A$3:$E$64,Arcs!K22,5), ",",".")</f>
        <v>2.47373297460288 58.1844092290148</v>
      </c>
      <c r="P22" t="str" cm="1">
        <f t="array" ref="P22">SUBSTITUTE(INDEX(Nodes!$A$3:$E$64,Arcs!L22,4) &amp; " " &amp; INDEX(Nodes!$A$3:$E$64,Arcs!L22,5), ",",".")</f>
        <v>3.33050300000002 56.490369</v>
      </c>
      <c r="Q22" t="str">
        <f>SUBSTITUTE(AVERAGE(INDEX(Nodes!$A$3:$E$64,Arcs!K22,4), INDEX(Nodes!$A$3:$E$64,Arcs!L22,4)) &amp; " " &amp; AVERAGE(INDEX(Nodes!$A$3:$E$64,Arcs!K22,5), INDEX(Nodes!$A$3:$E$64,Arcs!L22,5)), ",", ".")</f>
        <v>2.90211798730145 57.3373891145074</v>
      </c>
    </row>
    <row r="23" spans="1:17" x14ac:dyDescent="0.2">
      <c r="A23" s="1">
        <v>22</v>
      </c>
      <c r="B23" s="19" t="s">
        <v>10</v>
      </c>
      <c r="C23" s="19" t="s">
        <v>139</v>
      </c>
      <c r="D23" s="19" t="s">
        <v>134</v>
      </c>
      <c r="E23" s="19" t="s">
        <v>155</v>
      </c>
      <c r="F23" s="19" t="s">
        <v>85</v>
      </c>
      <c r="G23" s="19" t="s">
        <v>86</v>
      </c>
      <c r="H23" s="1" t="str">
        <f t="shared" si="1"/>
        <v>LINESTRING(1.83152577758408 61.2024450476016,1.83873088879207 61.1941375238008,1.84593600000005 61.1858300000001)</v>
      </c>
      <c r="I23" s="1">
        <v>25</v>
      </c>
      <c r="J23" s="1" t="str">
        <f t="shared" si="0"/>
        <v/>
      </c>
      <c r="K23" s="1">
        <f>INDEX(Nodes!$A:$A,MATCH(Arcs!F23,Nodes!$B:$B,0))</f>
        <v>54</v>
      </c>
      <c r="L23" s="1">
        <f>INDEX(Nodes!$A:$A,MATCH(Arcs!G23,Nodes!$B:$B,0))</f>
        <v>53</v>
      </c>
      <c r="M23" s="2">
        <v>1E-3</v>
      </c>
      <c r="N23" s="3">
        <v>1E-3</v>
      </c>
      <c r="O23" t="str" cm="1">
        <f t="array" ref="O23">SUBSTITUTE(INDEX(Nodes!$A$3:$E$64,Arcs!K23,4) &amp; " " &amp; INDEX(Nodes!$A$3:$E$64,Arcs!K23,5), ",",".")</f>
        <v>1.83152577758408 61.2024450476016</v>
      </c>
      <c r="P23" t="str" cm="1">
        <f t="array" ref="P23">SUBSTITUTE(INDEX(Nodes!$A$3:$E$64,Arcs!L23,4) &amp; " " &amp; INDEX(Nodes!$A$3:$E$64,Arcs!L23,5), ",",".")</f>
        <v>1.84593600000005 61.1858300000001</v>
      </c>
      <c r="Q23" t="str">
        <f>SUBSTITUTE(AVERAGE(INDEX(Nodes!$A$3:$E$64,Arcs!K23,4), INDEX(Nodes!$A$3:$E$64,Arcs!L23,4)) &amp; " " &amp; AVERAGE(INDEX(Nodes!$A$3:$E$64,Arcs!K23,5), INDEX(Nodes!$A$3:$E$64,Arcs!L23,5)), ",", ".")</f>
        <v>1.83873088879207 61.1941375238008</v>
      </c>
    </row>
    <row r="24" spans="1:17" x14ac:dyDescent="0.2">
      <c r="A24" s="1">
        <v>23</v>
      </c>
      <c r="B24" s="19" t="s">
        <v>5</v>
      </c>
      <c r="C24" s="19" t="s">
        <v>139</v>
      </c>
      <c r="D24" s="19" t="s">
        <v>134</v>
      </c>
      <c r="E24" s="19" t="s">
        <v>157</v>
      </c>
      <c r="F24" s="19" t="s">
        <v>85</v>
      </c>
      <c r="G24" s="19" t="s">
        <v>88</v>
      </c>
      <c r="H24" s="1" t="str">
        <f t="shared" si="1"/>
        <v>LINESTRING(1.83152577758408 61.2024450476016,1.76585744579207 61.1122317403008,1.70018911400007 61.022018433)</v>
      </c>
      <c r="I24" s="42">
        <v>25</v>
      </c>
      <c r="J24" s="1" t="str">
        <f t="shared" si="0"/>
        <v/>
      </c>
      <c r="K24" s="1">
        <f>INDEX(Nodes!$A:$A,MATCH(Arcs!F24,Nodes!$B:$B,0))</f>
        <v>54</v>
      </c>
      <c r="L24" s="1">
        <f>INDEX(Nodes!$A:$A,MATCH(Arcs!G24,Nodes!$B:$B,0))</f>
        <v>24</v>
      </c>
      <c r="M24" s="2">
        <v>1E-3</v>
      </c>
      <c r="N24" s="3">
        <v>1E-3</v>
      </c>
      <c r="O24" t="str" cm="1">
        <f t="array" ref="O24">SUBSTITUTE(INDEX(Nodes!$A$3:$E$64,Arcs!K24,4) &amp; " " &amp; INDEX(Nodes!$A$3:$E$64,Arcs!K24,5), ",",".")</f>
        <v>1.83152577758408 61.2024450476016</v>
      </c>
      <c r="P24" t="str" cm="1">
        <f t="array" ref="P24">SUBSTITUTE(INDEX(Nodes!$A$3:$E$64,Arcs!L24,4) &amp; " " &amp; INDEX(Nodes!$A$3:$E$64,Arcs!L24,5), ",",".")</f>
        <v>1.70018911400007 61.022018433</v>
      </c>
      <c r="Q24" t="str">
        <f>SUBSTITUTE(AVERAGE(INDEX(Nodes!$A$3:$E$64,Arcs!K24,4), INDEX(Nodes!$A$3:$E$64,Arcs!L24,4)) &amp; " " &amp; AVERAGE(INDEX(Nodes!$A$3:$E$64,Arcs!K24,5), INDEX(Nodes!$A$3:$E$64,Arcs!L24,5)), ",", ".")</f>
        <v>1.76585744579207 61.1122317403008</v>
      </c>
    </row>
    <row r="25" spans="1:17" x14ac:dyDescent="0.2">
      <c r="A25" s="1">
        <v>24</v>
      </c>
      <c r="B25" s="19" t="s">
        <v>6</v>
      </c>
      <c r="C25" s="19" t="s">
        <v>139</v>
      </c>
      <c r="D25" s="19" t="s">
        <v>134</v>
      </c>
      <c r="E25" s="19" t="s">
        <v>154</v>
      </c>
      <c r="F25" s="19" t="s">
        <v>96</v>
      </c>
      <c r="G25" s="19" t="s">
        <v>109</v>
      </c>
      <c r="H25" s="1" t="str">
        <f t="shared" si="1"/>
        <v>LINESTRING(2.23522548749309 59.5710753512132,0.204787243746546 58.5755231756066,-1.825651 57.579971)</v>
      </c>
      <c r="I25" s="42">
        <v>36.9</v>
      </c>
      <c r="J25" s="1" t="str">
        <f t="shared" si="0"/>
        <v/>
      </c>
      <c r="K25" s="1">
        <f>INDEX(Nodes!$A:$A,MATCH(Arcs!F25,Nodes!$B:$B,0))</f>
        <v>33</v>
      </c>
      <c r="L25" s="1">
        <f>INDEX(Nodes!$A:$A,MATCH(Arcs!G25,Nodes!$B:$B,0))</f>
        <v>52</v>
      </c>
      <c r="M25" s="2">
        <v>1E-3</v>
      </c>
      <c r="N25" s="3">
        <v>1E-3</v>
      </c>
      <c r="O25" t="str" cm="1">
        <f t="array" ref="O25">SUBSTITUTE(INDEX(Nodes!$A$3:$E$64,Arcs!K25,4) &amp; " " &amp; INDEX(Nodes!$A$3:$E$64,Arcs!K25,5), ",",".")</f>
        <v>2.23522548749309 59.5710753512132</v>
      </c>
      <c r="P25" t="str" cm="1">
        <f t="array" ref="P25">SUBSTITUTE(INDEX(Nodes!$A$3:$E$64,Arcs!L25,4) &amp; " " &amp; INDEX(Nodes!$A$3:$E$64,Arcs!L25,5), ",",".")</f>
        <v>-1.825651 57.579971</v>
      </c>
      <c r="Q25" t="str">
        <f>SUBSTITUTE(AVERAGE(INDEX(Nodes!$A$3:$E$64,Arcs!K25,4), INDEX(Nodes!$A$3:$E$64,Arcs!L25,4)) &amp; " " &amp; AVERAGE(INDEX(Nodes!$A$3:$E$64,Arcs!K25,5), INDEX(Nodes!$A$3:$E$64,Arcs!L25,5)), ",", ".")</f>
        <v>0.204787243746546 58.5755231756066</v>
      </c>
    </row>
    <row r="26" spans="1:17" x14ac:dyDescent="0.2">
      <c r="A26" s="1">
        <v>25</v>
      </c>
      <c r="B26" s="19" t="s">
        <v>158</v>
      </c>
      <c r="C26" s="19" t="s">
        <v>139</v>
      </c>
      <c r="D26" s="19" t="s">
        <v>134</v>
      </c>
      <c r="E26" s="19" t="s">
        <v>159</v>
      </c>
      <c r="F26" s="19" t="s">
        <v>105</v>
      </c>
      <c r="G26" s="19" t="s">
        <v>114</v>
      </c>
      <c r="H26" s="1" t="str">
        <f t="shared" si="1"/>
        <v>LINESTRING(1.91586639699623 58.3649441738375,2.60784119849812 56.5772190869188,3.29981600000002 54.789494)</v>
      </c>
      <c r="I26" s="42">
        <v>42.2</v>
      </c>
      <c r="J26" s="1" t="str">
        <f t="shared" si="0"/>
        <v/>
      </c>
      <c r="K26" s="1">
        <f>INDEX(Nodes!$A:$A,MATCH(Arcs!F26,Nodes!$B:$B,0))</f>
        <v>51</v>
      </c>
      <c r="L26" s="1">
        <f>INDEX(Nodes!$A:$A,MATCH(Arcs!G26,Nodes!$B:$B,0))</f>
        <v>59</v>
      </c>
      <c r="M26" s="2">
        <v>1E-3</v>
      </c>
      <c r="N26" s="3">
        <v>1E-3</v>
      </c>
      <c r="O26" t="str" cm="1">
        <f t="array" ref="O26">SUBSTITUTE(INDEX(Nodes!$A$3:$E$64,Arcs!K26,4) &amp; " " &amp; INDEX(Nodes!$A$3:$E$64,Arcs!K26,5), ",",".")</f>
        <v>1.91586639699623 58.3649441738375</v>
      </c>
      <c r="P26" t="str" cm="1">
        <f t="array" ref="P26">SUBSTITUTE(INDEX(Nodes!$A$3:$E$64,Arcs!L26,4) &amp; " " &amp; INDEX(Nodes!$A$3:$E$64,Arcs!L26,5), ",",".")</f>
        <v>3.29981600000002 54.789494</v>
      </c>
      <c r="Q26" t="str">
        <f>SUBSTITUTE(AVERAGE(INDEX(Nodes!$A$3:$E$64,Arcs!K26,4), INDEX(Nodes!$A$3:$E$64,Arcs!L26,4)) &amp; " " &amp; AVERAGE(INDEX(Nodes!$A$3:$E$64,Arcs!K26,5), INDEX(Nodes!$A$3:$E$64,Arcs!L26,5)), ",", ".")</f>
        <v>2.60784119849812 56.5772190869188</v>
      </c>
    </row>
    <row r="27" spans="1:17" x14ac:dyDescent="0.2">
      <c r="A27" s="1">
        <v>26</v>
      </c>
      <c r="B27" s="19" t="s">
        <v>158</v>
      </c>
      <c r="C27" s="19" t="s">
        <v>139</v>
      </c>
      <c r="D27" s="19" t="s">
        <v>134</v>
      </c>
      <c r="E27" s="19" t="s">
        <v>159</v>
      </c>
      <c r="F27" s="19" t="s">
        <v>114</v>
      </c>
      <c r="G27" s="19" t="s">
        <v>121</v>
      </c>
      <c r="H27" s="1" t="str">
        <f t="shared" si="1"/>
        <v>LINESTRING(3.29981600000002 54.789494,3.26480650000005 53.070001,3.22979700000008 51.350508)</v>
      </c>
      <c r="I27" s="42">
        <v>42.2</v>
      </c>
      <c r="J27" s="1" t="str">
        <f t="shared" si="0"/>
        <v/>
      </c>
      <c r="K27" s="1">
        <f>INDEX(Nodes!$A:$A,MATCH(Arcs!F27,Nodes!$B:$B,0))</f>
        <v>59</v>
      </c>
      <c r="L27" s="1">
        <f>INDEX(Nodes!$A:$A,MATCH(Arcs!G27,Nodes!$B:$B,0))</f>
        <v>58</v>
      </c>
      <c r="M27" s="2">
        <v>1E-3</v>
      </c>
      <c r="N27" s="3">
        <v>1E-3</v>
      </c>
      <c r="O27" t="str" cm="1">
        <f t="array" ref="O27">SUBSTITUTE(INDEX(Nodes!$A$3:$E$64,Arcs!K27,4) &amp; " " &amp; INDEX(Nodes!$A$3:$E$64,Arcs!K27,5), ",",".")</f>
        <v>3.29981600000002 54.789494</v>
      </c>
      <c r="P27" t="str" cm="1">
        <f t="array" ref="P27">SUBSTITUTE(INDEX(Nodes!$A$3:$E$64,Arcs!L27,4) &amp; " " &amp; INDEX(Nodes!$A$3:$E$64,Arcs!L27,5), ",",".")</f>
        <v>3.22979700000008 51.350508</v>
      </c>
      <c r="Q27" t="str">
        <f>SUBSTITUTE(AVERAGE(INDEX(Nodes!$A$3:$E$64,Arcs!K27,4), INDEX(Nodes!$A$3:$E$64,Arcs!L27,4)) &amp; " " &amp; AVERAGE(INDEX(Nodes!$A$3:$E$64,Arcs!K27,5), INDEX(Nodes!$A$3:$E$64,Arcs!L27,5)), ",", ".")</f>
        <v>3.26480650000005 53.070001</v>
      </c>
    </row>
    <row r="28" spans="1:17" x14ac:dyDescent="0.2">
      <c r="A28" s="1">
        <v>27</v>
      </c>
      <c r="B28" s="19" t="s">
        <v>8</v>
      </c>
      <c r="C28" s="19" t="s">
        <v>139</v>
      </c>
      <c r="D28" s="19" t="s">
        <v>134</v>
      </c>
      <c r="E28" s="19" t="s">
        <v>160</v>
      </c>
      <c r="F28" s="19" t="s">
        <v>91</v>
      </c>
      <c r="G28" s="19" t="s">
        <v>105</v>
      </c>
      <c r="H28" s="1" t="str">
        <f t="shared" si="1"/>
        <v>LINESTRING(4.838597003381 60.5453484863646,3.37723170018861 59.455146330101,1.91586639699623 58.3649441738375)</v>
      </c>
      <c r="I28" s="42">
        <v>74</v>
      </c>
      <c r="J28" s="1" t="str">
        <f t="shared" si="0"/>
        <v/>
      </c>
      <c r="K28" s="1">
        <f>INDEX(Nodes!$A:$A,MATCH(Arcs!F28,Nodes!$B:$B,0))</f>
        <v>37</v>
      </c>
      <c r="L28" s="1">
        <f>INDEX(Nodes!$A:$A,MATCH(Arcs!G28,Nodes!$B:$B,0))</f>
        <v>51</v>
      </c>
      <c r="M28" s="2">
        <v>1E-3</v>
      </c>
      <c r="N28" s="3">
        <v>1E-3</v>
      </c>
      <c r="O28" t="str" cm="1">
        <f t="array" ref="O28">SUBSTITUTE(INDEX(Nodes!$A$3:$E$64,Arcs!K28,4) &amp; " " &amp; INDEX(Nodes!$A$3:$E$64,Arcs!K28,5), ",",".")</f>
        <v>4.838597003381 60.5453484863646</v>
      </c>
      <c r="P28" t="str" cm="1">
        <f t="array" ref="P28">SUBSTITUTE(INDEX(Nodes!$A$3:$E$64,Arcs!L28,4) &amp; " " &amp; INDEX(Nodes!$A$3:$E$64,Arcs!L28,5), ",",".")</f>
        <v>1.91586639699623 58.3649441738375</v>
      </c>
      <c r="Q28" t="str">
        <f>SUBSTITUTE(AVERAGE(INDEX(Nodes!$A$3:$E$64,Arcs!K28,4), INDEX(Nodes!$A$3:$E$64,Arcs!L28,4)) &amp; " " &amp; AVERAGE(INDEX(Nodes!$A$3:$E$64,Arcs!K28,5), INDEX(Nodes!$A$3:$E$64,Arcs!L28,5)), ",", ".")</f>
        <v>3.37723170018861 59.455146330101</v>
      </c>
    </row>
    <row r="29" spans="1:17" x14ac:dyDescent="0.2">
      <c r="A29" s="1">
        <v>28</v>
      </c>
      <c r="B29" s="19" t="s">
        <v>9</v>
      </c>
      <c r="C29" s="19" t="s">
        <v>139</v>
      </c>
      <c r="D29" s="19" t="s">
        <v>134</v>
      </c>
      <c r="E29" s="19" t="s">
        <v>161</v>
      </c>
      <c r="F29" s="19" t="s">
        <v>91</v>
      </c>
      <c r="G29" s="19" t="s">
        <v>106</v>
      </c>
      <c r="H29" s="1" t="str">
        <f t="shared" si="1"/>
        <v>LINESTRING(4.838597003381 60.5453484863646,3.65150058471732 59.3667487518886,2.46440416605363 58.1881490174125)</v>
      </c>
      <c r="I29" s="42">
        <v>73</v>
      </c>
      <c r="J29" s="1" t="str">
        <f t="shared" si="0"/>
        <v/>
      </c>
      <c r="K29" s="1">
        <f>INDEX(Nodes!$A:$A,MATCH(Arcs!F29,Nodes!$B:$B,0))</f>
        <v>37</v>
      </c>
      <c r="L29" s="1">
        <f>INDEX(Nodes!$A:$A,MATCH(Arcs!G29,Nodes!$B:$B,0))</f>
        <v>15</v>
      </c>
      <c r="M29" s="2">
        <v>1E-3</v>
      </c>
      <c r="N29" s="3">
        <v>1E-3</v>
      </c>
      <c r="O29" t="str" cm="1">
        <f t="array" ref="O29">SUBSTITUTE(INDEX(Nodes!$A$3:$E$64,Arcs!K29,4) &amp; " " &amp; INDEX(Nodes!$A$3:$E$64,Arcs!K29,5), ",",".")</f>
        <v>4.838597003381 60.5453484863646</v>
      </c>
      <c r="P29" t="str" cm="1">
        <f t="array" ref="P29">SUBSTITUTE(INDEX(Nodes!$A$3:$E$64,Arcs!L29,4) &amp; " " &amp; INDEX(Nodes!$A$3:$E$64,Arcs!L29,5), ",",".")</f>
        <v>2.46440416605363 58.1881490174125</v>
      </c>
      <c r="Q29" t="str">
        <f>SUBSTITUTE(AVERAGE(INDEX(Nodes!$A$3:$E$64,Arcs!K29,4), INDEX(Nodes!$A$3:$E$64,Arcs!L29,4)) &amp; " " &amp; AVERAGE(INDEX(Nodes!$A$3:$E$64,Arcs!K29,5), INDEX(Nodes!$A$3:$E$64,Arcs!L29,5)), ",", ".")</f>
        <v>3.65150058471732 59.3667487518886</v>
      </c>
    </row>
    <row r="30" spans="1:17" x14ac:dyDescent="0.2">
      <c r="A30" s="1">
        <v>29</v>
      </c>
      <c r="B30" s="19" t="s">
        <v>187</v>
      </c>
      <c r="C30" s="19" t="s">
        <v>139</v>
      </c>
      <c r="D30" s="19" t="s">
        <v>134</v>
      </c>
      <c r="E30" s="19" t="s">
        <v>162</v>
      </c>
      <c r="F30" s="19" t="s">
        <v>188</v>
      </c>
      <c r="G30" s="19" t="s">
        <v>189</v>
      </c>
      <c r="H30" s="1" t="str">
        <f t="shared" si="1"/>
        <v>LINESTRING(1.69998526600006 61.02079773,2.80248752933371 61.1754957531437,3.90498979266736 61.3301937762874)</v>
      </c>
      <c r="I30" s="42">
        <v>18.2</v>
      </c>
      <c r="J30" s="1" t="str">
        <f t="shared" si="0"/>
        <v/>
      </c>
      <c r="K30" s="1">
        <f>INDEX(Nodes!$A:$A,MATCH(Arcs!F30,Nodes!$B:$B,0))</f>
        <v>26</v>
      </c>
      <c r="L30" s="1">
        <f>INDEX(Nodes!$A:$A,MATCH(Arcs!G30,Nodes!$B:$B,0))</f>
        <v>27</v>
      </c>
      <c r="M30" s="2">
        <v>1E-3</v>
      </c>
      <c r="N30" s="3">
        <v>1E-3</v>
      </c>
      <c r="O30" t="str" cm="1">
        <f t="array" ref="O30">SUBSTITUTE(INDEX(Nodes!$A$3:$E$64,Arcs!K30,4) &amp; " " &amp; INDEX(Nodes!$A$3:$E$64,Arcs!K30,5), ",",".")</f>
        <v>1.69998526600006 61.02079773</v>
      </c>
      <c r="P30" t="str" cm="1">
        <f t="array" ref="P30">SUBSTITUTE(INDEX(Nodes!$A$3:$E$64,Arcs!L30,4) &amp; " " &amp; INDEX(Nodes!$A$3:$E$64,Arcs!L30,5), ",",".")</f>
        <v>3.90498979266736 61.3301937762874</v>
      </c>
      <c r="Q30" t="str">
        <f>SUBSTITUTE(AVERAGE(INDEX(Nodes!$A$3:$E$64,Arcs!K30,4), INDEX(Nodes!$A$3:$E$64,Arcs!L30,4)) &amp; " " &amp; AVERAGE(INDEX(Nodes!$A$3:$E$64,Arcs!K30,5), INDEX(Nodes!$A$3:$E$64,Arcs!L30,5)), ",", ".")</f>
        <v>2.80248752933371 61.1754957531437</v>
      </c>
    </row>
    <row r="31" spans="1:17" x14ac:dyDescent="0.2">
      <c r="A31" s="1">
        <v>30</v>
      </c>
      <c r="B31" s="19" t="s">
        <v>190</v>
      </c>
      <c r="C31" s="19" t="s">
        <v>163</v>
      </c>
      <c r="D31" s="19" t="s">
        <v>134</v>
      </c>
      <c r="E31" s="19" t="s">
        <v>164</v>
      </c>
      <c r="F31" s="19" t="s">
        <v>96</v>
      </c>
      <c r="G31" s="19" t="s">
        <v>100</v>
      </c>
      <c r="H31" s="1" t="str">
        <f t="shared" si="1"/>
        <v>LINESTRING(2.23522548749309 59.5710753512132,2.36128039402701 59.3704008474222,2.48733530056093 59.1697263436312)</v>
      </c>
      <c r="I31" s="1">
        <v>10</v>
      </c>
      <c r="J31" s="1" t="str">
        <f t="shared" si="0"/>
        <v/>
      </c>
      <c r="K31" s="1">
        <f>INDEX(Nodes!$A:$A,MATCH(Arcs!F31,Nodes!$B:$B,0))</f>
        <v>33</v>
      </c>
      <c r="L31" s="1">
        <f>INDEX(Nodes!$A:$A,MATCH(Arcs!G31,Nodes!$B:$B,0))</f>
        <v>28</v>
      </c>
      <c r="M31" s="2">
        <v>1E-3</v>
      </c>
      <c r="N31" s="3">
        <v>1E-3</v>
      </c>
      <c r="O31" t="str" cm="1">
        <f t="array" ref="O31">SUBSTITUTE(INDEX(Nodes!$A$3:$E$64,Arcs!K31,4) &amp; " " &amp; INDEX(Nodes!$A$3:$E$64,Arcs!K31,5), ",",".")</f>
        <v>2.23522548749309 59.5710753512132</v>
      </c>
      <c r="P31" t="str" cm="1">
        <f t="array" ref="P31">SUBSTITUTE(INDEX(Nodes!$A$3:$E$64,Arcs!L31,4) &amp; " " &amp; INDEX(Nodes!$A$3:$E$64,Arcs!L31,5), ",",".")</f>
        <v>2.48733530056093 59.1697263436312</v>
      </c>
      <c r="Q31" t="str">
        <f>SUBSTITUTE(AVERAGE(INDEX(Nodes!$A$3:$E$64,Arcs!K31,4), INDEX(Nodes!$A$3:$E$64,Arcs!L31,4)) &amp; " " &amp; AVERAGE(INDEX(Nodes!$A$3:$E$64,Arcs!K31,5), INDEX(Nodes!$A$3:$E$64,Arcs!L31,5)), ",", ".")</f>
        <v>2.36128039402701 59.3704008474222</v>
      </c>
    </row>
    <row r="32" spans="1:17" x14ac:dyDescent="0.2">
      <c r="A32" s="1">
        <v>31</v>
      </c>
      <c r="B32" s="19" t="s">
        <v>191</v>
      </c>
      <c r="C32" s="19" t="s">
        <v>163</v>
      </c>
      <c r="D32" s="19" t="s">
        <v>134</v>
      </c>
      <c r="E32" s="19" t="s">
        <v>165</v>
      </c>
      <c r="F32" s="19" t="s">
        <v>101</v>
      </c>
      <c r="G32" s="19" t="s">
        <v>104</v>
      </c>
      <c r="H32" s="1" t="str">
        <f t="shared" si="1"/>
        <v>LINESTRING(1.7504700744274 58.8424105628707,1.82461800400345 58.6064721852943,1.89876593357951 58.370533807718)</v>
      </c>
      <c r="I32" s="1">
        <v>291.7</v>
      </c>
      <c r="J32" s="1" t="str">
        <f t="shared" si="0"/>
        <v/>
      </c>
      <c r="K32" s="1">
        <f>INDEX(Nodes!$A:$A,MATCH(Arcs!F32,Nodes!$B:$B,0))</f>
        <v>29</v>
      </c>
      <c r="L32" s="1">
        <f>INDEX(Nodes!$A:$A,MATCH(Arcs!G32,Nodes!$B:$B,0))</f>
        <v>50</v>
      </c>
      <c r="M32" s="2">
        <v>1E-3</v>
      </c>
      <c r="N32" s="3">
        <v>1E-3</v>
      </c>
      <c r="O32" t="str" cm="1">
        <f t="array" ref="O32">SUBSTITUTE(INDEX(Nodes!$A$3:$E$64,Arcs!K32,4) &amp; " " &amp; INDEX(Nodes!$A$3:$E$64,Arcs!K32,5), ",",".")</f>
        <v>1.7504700744274 58.8424105628707</v>
      </c>
      <c r="P32" t="str" cm="1">
        <f t="array" ref="P32">SUBSTITUTE(INDEX(Nodes!$A$3:$E$64,Arcs!L32,4) &amp; " " &amp; INDEX(Nodes!$A$3:$E$64,Arcs!L32,5), ",",".")</f>
        <v>1.89876593357951 58.370533807718</v>
      </c>
      <c r="Q32" t="str">
        <f>SUBSTITUTE(AVERAGE(INDEX(Nodes!$A$3:$E$64,Arcs!K32,4), INDEX(Nodes!$A$3:$E$64,Arcs!L32,4)) &amp; " " &amp; AVERAGE(INDEX(Nodes!$A$3:$E$64,Arcs!K32,5), INDEX(Nodes!$A$3:$E$64,Arcs!L32,5)), ",", ".")</f>
        <v>1.82461800400345 58.6064721852943</v>
      </c>
    </row>
    <row r="33" spans="1:17" x14ac:dyDescent="0.2">
      <c r="A33" s="1">
        <v>32</v>
      </c>
      <c r="B33" s="19" t="s">
        <v>166</v>
      </c>
      <c r="C33" s="19" t="s">
        <v>139</v>
      </c>
      <c r="D33" s="19" t="s">
        <v>134</v>
      </c>
      <c r="E33" s="19" t="s">
        <v>167</v>
      </c>
      <c r="F33" s="19" t="s">
        <v>77</v>
      </c>
      <c r="G33" s="19" t="s">
        <v>83</v>
      </c>
      <c r="H33" s="1" t="str">
        <f t="shared" si="1"/>
        <v>LINESTRING(7.32024542386713 65.3214995786325,7.98923048166803 64.3601952705966,8.65821553946893 63.3988909625608)</v>
      </c>
      <c r="I33" s="42">
        <v>4.7</v>
      </c>
      <c r="J33" s="1" t="str">
        <f t="shared" si="0"/>
        <v/>
      </c>
      <c r="K33" s="1">
        <f>INDEX(Nodes!$A:$A,MATCH(Arcs!F33,Nodes!$B:$B,0))</f>
        <v>31</v>
      </c>
      <c r="L33" s="1">
        <f>INDEX(Nodes!$A:$A,MATCH(Arcs!G33,Nodes!$B:$B,0))</f>
        <v>56</v>
      </c>
      <c r="M33" s="2">
        <v>1E-3</v>
      </c>
      <c r="N33" s="3">
        <v>1E-3</v>
      </c>
      <c r="O33" t="str" cm="1">
        <f t="array" ref="O33">SUBSTITUTE(INDEX(Nodes!$A$3:$E$64,Arcs!K33,4) &amp; " " &amp; INDEX(Nodes!$A$3:$E$64,Arcs!K33,5), ",",".")</f>
        <v>7.32024542386713 65.3214995786325</v>
      </c>
      <c r="P33" t="str" cm="1">
        <f t="array" ref="P33">SUBSTITUTE(INDEX(Nodes!$A$3:$E$64,Arcs!L33,4) &amp; " " &amp; INDEX(Nodes!$A$3:$E$64,Arcs!L33,5), ",",".")</f>
        <v>8.65821553946893 63.3988909625608</v>
      </c>
      <c r="Q33" t="str">
        <f>SUBSTITUTE(AVERAGE(INDEX(Nodes!$A$3:$E$64,Arcs!K33,4), INDEX(Nodes!$A$3:$E$64,Arcs!L33,4)) &amp; " " &amp; AVERAGE(INDEX(Nodes!$A$3:$E$64,Arcs!K33,5), INDEX(Nodes!$A$3:$E$64,Arcs!L33,5)), ",", ".")</f>
        <v>7.98923048166803 64.3601952705966</v>
      </c>
    </row>
    <row r="34" spans="1:17" x14ac:dyDescent="0.2">
      <c r="A34" s="1">
        <v>33</v>
      </c>
      <c r="B34" s="19" t="s">
        <v>168</v>
      </c>
      <c r="C34" s="19" t="s">
        <v>163</v>
      </c>
      <c r="D34" s="19" t="s">
        <v>134</v>
      </c>
      <c r="E34" s="19" t="s">
        <v>149</v>
      </c>
      <c r="F34" s="19" t="s">
        <v>77</v>
      </c>
      <c r="G34" s="19" t="s">
        <v>78</v>
      </c>
      <c r="H34" s="1" t="str">
        <f t="shared" si="1"/>
        <v>LINESTRING(7.32024542386713 65.3214995786325,7.0608532119336 65.2030077893163,6.80146100000007 65.0845160000001)</v>
      </c>
      <c r="I34" s="1">
        <v>11</v>
      </c>
      <c r="J34" s="1" t="str">
        <f t="shared" si="0"/>
        <v/>
      </c>
      <c r="K34" s="1">
        <f>INDEX(Nodes!$A:$A,MATCH(Arcs!F34,Nodes!$B:$B,0))</f>
        <v>31</v>
      </c>
      <c r="L34" s="1">
        <f>INDEX(Nodes!$A:$A,MATCH(Arcs!G34,Nodes!$B:$B,0))</f>
        <v>42</v>
      </c>
      <c r="M34" s="2">
        <v>1E-3</v>
      </c>
      <c r="N34" s="3">
        <v>1E-3</v>
      </c>
      <c r="O34" t="str" cm="1">
        <f t="array" ref="O34">SUBSTITUTE(INDEX(Nodes!$A$3:$E$64,Arcs!K34,4) &amp; " " &amp; INDEX(Nodes!$A$3:$E$64,Arcs!K34,5), ",",".")</f>
        <v>7.32024542386713 65.3214995786325</v>
      </c>
      <c r="P34" t="str" cm="1">
        <f t="array" ref="P34">SUBSTITUTE(INDEX(Nodes!$A$3:$E$64,Arcs!L34,4) &amp; " " &amp; INDEX(Nodes!$A$3:$E$64,Arcs!L34,5), ",",".")</f>
        <v>6.80146100000007 65.0845160000001</v>
      </c>
      <c r="Q34" t="str">
        <f>SUBSTITUTE(AVERAGE(INDEX(Nodes!$A$3:$E$64,Arcs!K34,4), INDEX(Nodes!$A$3:$E$64,Arcs!L34,4)) &amp; " " &amp; AVERAGE(INDEX(Nodes!$A$3:$E$64,Arcs!K34,5), INDEX(Nodes!$A$3:$E$64,Arcs!L34,5)), ",", ".")</f>
        <v>7.0608532119336 65.2030077893163</v>
      </c>
    </row>
    <row r="35" spans="1:17" x14ac:dyDescent="0.2">
      <c r="A35" s="1">
        <v>34</v>
      </c>
      <c r="B35" s="19" t="s">
        <v>192</v>
      </c>
      <c r="C35" s="19" t="s">
        <v>163</v>
      </c>
      <c r="D35" s="19" t="s">
        <v>134</v>
      </c>
      <c r="E35" s="19" t="s">
        <v>169</v>
      </c>
      <c r="F35" s="19" t="s">
        <v>99</v>
      </c>
      <c r="G35" s="19" t="s">
        <v>102</v>
      </c>
      <c r="H35" s="1" t="str">
        <f t="shared" si="1"/>
        <v>LINESTRING(5.05417600000004 59.326808,3.80597375650467 59.0843695361675,2.5577715130093 58.8419310723351)</v>
      </c>
      <c r="I35" s="1">
        <v>5</v>
      </c>
      <c r="J35" s="1" t="str">
        <f t="shared" si="0"/>
        <v/>
      </c>
      <c r="K35" s="1">
        <f>INDEX(Nodes!$A:$A,MATCH(Arcs!F35,Nodes!$B:$B,0))</f>
        <v>34</v>
      </c>
      <c r="L35" s="1">
        <f>INDEX(Nodes!$A:$A,MATCH(Arcs!G35,Nodes!$B:$B,0))</f>
        <v>35</v>
      </c>
      <c r="M35" s="2">
        <v>1E-3</v>
      </c>
      <c r="N35" s="3">
        <v>1E-3</v>
      </c>
      <c r="O35" t="str" cm="1">
        <f t="array" ref="O35">SUBSTITUTE(INDEX(Nodes!$A$3:$E$64,Arcs!K35,4) &amp; " " &amp; INDEX(Nodes!$A$3:$E$64,Arcs!K35,5), ",",".")</f>
        <v>5.05417600000004 59.326808</v>
      </c>
      <c r="P35" t="str" cm="1">
        <f t="array" ref="P35">SUBSTITUTE(INDEX(Nodes!$A$3:$E$64,Arcs!L35,4) &amp; " " &amp; INDEX(Nodes!$A$3:$E$64,Arcs!L35,5), ",",".")</f>
        <v>2.5577715130093 58.8419310723351</v>
      </c>
      <c r="Q35" t="str">
        <f>SUBSTITUTE(AVERAGE(INDEX(Nodes!$A$3:$E$64,Arcs!K35,4), INDEX(Nodes!$A$3:$E$64,Arcs!L35,4)) &amp; " " &amp; AVERAGE(INDEX(Nodes!$A$3:$E$64,Arcs!K35,5), INDEX(Nodes!$A$3:$E$64,Arcs!L35,5)), ",", ".")</f>
        <v>3.80597375650467 59.0843695361675</v>
      </c>
    </row>
    <row r="36" spans="1:17" x14ac:dyDescent="0.2">
      <c r="A36" s="1">
        <v>35</v>
      </c>
      <c r="B36" s="19" t="s">
        <v>193</v>
      </c>
      <c r="C36" s="19" t="s">
        <v>163</v>
      </c>
      <c r="D36" s="19" t="s">
        <v>134</v>
      </c>
      <c r="E36" s="19" t="s">
        <v>170</v>
      </c>
      <c r="F36" s="19" t="s">
        <v>95</v>
      </c>
      <c r="G36" s="19" t="s">
        <v>93</v>
      </c>
      <c r="H36" s="1" t="str">
        <f t="shared" si="1"/>
        <v>LINESTRING(2.01751548100003 59.8949619730001,2.01445157351417 60.1984986400223,2.01138766602831 60.5020353070445)</v>
      </c>
      <c r="I36" s="1">
        <v>48.1</v>
      </c>
      <c r="J36" s="1" t="str">
        <f t="shared" si="0"/>
        <v/>
      </c>
      <c r="K36" s="1">
        <f>INDEX(Nodes!$A:$A,MATCH(Arcs!F36,Nodes!$B:$B,0))</f>
        <v>39</v>
      </c>
      <c r="L36" s="1">
        <f>INDEX(Nodes!$A:$A,MATCH(Arcs!G36,Nodes!$B:$B,0))</f>
        <v>25</v>
      </c>
      <c r="M36" s="2">
        <v>1E-3</v>
      </c>
      <c r="N36" s="3">
        <v>1E-3</v>
      </c>
      <c r="O36" t="str" cm="1">
        <f t="array" ref="O36">SUBSTITUTE(INDEX(Nodes!$A$3:$E$64,Arcs!K36,4) &amp; " " &amp; INDEX(Nodes!$A$3:$E$64,Arcs!K36,5), ",",".")</f>
        <v>2.01751548100003 59.8949619730001</v>
      </c>
      <c r="P36" t="str" cm="1">
        <f t="array" ref="P36">SUBSTITUTE(INDEX(Nodes!$A$3:$E$64,Arcs!L36,4) &amp; " " &amp; INDEX(Nodes!$A$3:$E$64,Arcs!L36,5), ",",".")</f>
        <v>2.01138766602831 60.5020353070445</v>
      </c>
      <c r="Q36" t="str">
        <f>SUBSTITUTE(AVERAGE(INDEX(Nodes!$A$3:$E$64,Arcs!K36,4), INDEX(Nodes!$A$3:$E$64,Arcs!L36,4)) &amp; " " &amp; AVERAGE(INDEX(Nodes!$A$3:$E$64,Arcs!K36,5), INDEX(Nodes!$A$3:$E$64,Arcs!L36,5)), ",", ".")</f>
        <v>2.01445157351417 60.1984986400223</v>
      </c>
    </row>
    <row r="37" spans="1:17" x14ac:dyDescent="0.2">
      <c r="A37" s="1">
        <v>36</v>
      </c>
      <c r="B37" s="19" t="s">
        <v>171</v>
      </c>
      <c r="C37" s="19" t="s">
        <v>172</v>
      </c>
      <c r="D37" s="19" t="s">
        <v>134</v>
      </c>
      <c r="E37" s="19" t="s">
        <v>146</v>
      </c>
      <c r="F37" s="19" t="s">
        <v>81</v>
      </c>
      <c r="G37" s="19" t="s">
        <v>84</v>
      </c>
      <c r="H37" s="1" t="str">
        <f t="shared" si="1"/>
        <v>LINESTRING(5.38676357200006 63.5280816700001,6.16626739450007 63.1898201775001,6.94577121700007 62.851558685)</v>
      </c>
      <c r="I37" s="43">
        <v>61</v>
      </c>
      <c r="J37" s="1" t="str">
        <f t="shared" si="0"/>
        <v/>
      </c>
      <c r="K37" s="1">
        <f>INDEX(Nodes!$A:$A,MATCH(Arcs!F37,Nodes!$B:$B,0))</f>
        <v>45</v>
      </c>
      <c r="L37" s="1">
        <f>INDEX(Nodes!$A:$A,MATCH(Arcs!G37,Nodes!$B:$B,0))</f>
        <v>44</v>
      </c>
      <c r="M37" s="2">
        <v>1E-3</v>
      </c>
      <c r="N37" s="3">
        <v>1E-3</v>
      </c>
      <c r="O37" t="str" cm="1">
        <f t="array" ref="O37">SUBSTITUTE(INDEX(Nodes!$A$3:$E$64,Arcs!K37,4) &amp; " " &amp; INDEX(Nodes!$A$3:$E$64,Arcs!K37,5), ",",".")</f>
        <v>5.38676357200006 63.5280816700001</v>
      </c>
      <c r="P37" t="str" cm="1">
        <f t="array" ref="P37">SUBSTITUTE(INDEX(Nodes!$A$3:$E$64,Arcs!L37,4) &amp; " " &amp; INDEX(Nodes!$A$3:$E$64,Arcs!L37,5), ",",".")</f>
        <v>6.94577121700007 62.851558685</v>
      </c>
      <c r="Q37" t="str">
        <f>SUBSTITUTE(AVERAGE(INDEX(Nodes!$A$3:$E$64,Arcs!K37,4), INDEX(Nodes!$A$3:$E$64,Arcs!L37,4)) &amp; " " &amp; AVERAGE(INDEX(Nodes!$A$3:$E$64,Arcs!K37,5), INDEX(Nodes!$A$3:$E$64,Arcs!L37,5)), ",", ".")</f>
        <v>6.16626739450007 63.1898201775001</v>
      </c>
    </row>
    <row r="38" spans="1:17" x14ac:dyDescent="0.2">
      <c r="A38" s="1">
        <v>37</v>
      </c>
      <c r="B38" s="19" t="s">
        <v>175</v>
      </c>
      <c r="C38" s="19" t="s">
        <v>139</v>
      </c>
      <c r="D38" s="19" t="s">
        <v>134</v>
      </c>
      <c r="E38" s="19" t="s">
        <v>176</v>
      </c>
      <c r="F38" s="19" t="s">
        <v>74</v>
      </c>
      <c r="G38" s="19" t="s">
        <v>84</v>
      </c>
      <c r="H38" s="1" t="str">
        <f t="shared" si="1"/>
        <v>LINESTRING(7.10722700000002 67.0556100000001,7.02649910850005 64.9535843425001,6.94577121700007 62.851558685)</v>
      </c>
      <c r="I38" s="42">
        <v>57.6</v>
      </c>
      <c r="J38" s="1" t="str">
        <f t="shared" si="0"/>
        <v/>
      </c>
      <c r="K38" s="1">
        <f>INDEX(Nodes!$A:$A,MATCH(Arcs!F38,Nodes!$B:$B,0))</f>
        <v>1</v>
      </c>
      <c r="L38" s="1">
        <f>INDEX(Nodes!$A:$A,MATCH(Arcs!G38,Nodes!$B:$B,0))</f>
        <v>44</v>
      </c>
      <c r="M38" s="2">
        <v>1E-3</v>
      </c>
      <c r="N38" s="3">
        <v>1E-3</v>
      </c>
      <c r="O38" t="str" cm="1">
        <f t="array" ref="O38">SUBSTITUTE(INDEX(Nodes!$A$3:$E$64,Arcs!K38,4) &amp; " " &amp; INDEX(Nodes!$A$3:$E$64,Arcs!K38,5), ",",".")</f>
        <v>7.10722700000002 67.0556100000001</v>
      </c>
      <c r="P38" t="str" cm="1">
        <f t="array" ref="P38">SUBSTITUTE(INDEX(Nodes!$A$3:$E$64,Arcs!L38,4) &amp; " " &amp; INDEX(Nodes!$A$3:$E$64,Arcs!L38,5), ",",".")</f>
        <v>6.94577121700007 62.851558685</v>
      </c>
      <c r="Q38" t="str">
        <f>SUBSTITUTE(AVERAGE(INDEX(Nodes!$A$3:$E$64,Arcs!K38,4), INDEX(Nodes!$A$3:$E$64,Arcs!L38,4)) &amp; " " &amp; AVERAGE(INDEX(Nodes!$A$3:$E$64,Arcs!K38,5), INDEX(Nodes!$A$3:$E$64,Arcs!L38,5)), ",", ".")</f>
        <v>7.02649910850005 64.9535843425001</v>
      </c>
    </row>
    <row r="39" spans="1:17" x14ac:dyDescent="0.2">
      <c r="A39" s="1">
        <v>38</v>
      </c>
      <c r="B39" s="19" t="s">
        <v>194</v>
      </c>
      <c r="C39" s="19" t="s">
        <v>177</v>
      </c>
      <c r="D39" s="19" t="s">
        <v>134</v>
      </c>
      <c r="E39" s="19" t="s">
        <v>178</v>
      </c>
      <c r="F39" s="19" t="s">
        <v>76</v>
      </c>
      <c r="G39" s="19" t="s">
        <v>205</v>
      </c>
      <c r="H39" s="1" t="str">
        <f t="shared" si="1"/>
        <v>LINESTRING(7.65583281980168 65.6937438991215,7.22974632790087 65.3941076995608,6.80365983600007 65.0944715000001)</v>
      </c>
      <c r="I39" s="1">
        <v>48.1</v>
      </c>
      <c r="J39" s="1" t="str">
        <f t="shared" si="0"/>
        <v/>
      </c>
      <c r="K39" s="1">
        <f>INDEX(Nodes!$A:$A,MATCH(Arcs!F39,Nodes!$B:$B,0))</f>
        <v>49</v>
      </c>
      <c r="L39" s="1">
        <f>INDEX(Nodes!$A:$A,MATCH(Arcs!G39,Nodes!$B:$B,0))</f>
        <v>3</v>
      </c>
      <c r="M39" s="2">
        <v>1E-3</v>
      </c>
      <c r="N39" s="3">
        <v>1E-3</v>
      </c>
      <c r="O39" t="str" cm="1">
        <f t="array" ref="O39">SUBSTITUTE(INDEX(Nodes!$A$3:$E$64,Arcs!K39,4) &amp; " " &amp; INDEX(Nodes!$A$3:$E$64,Arcs!K39,5), ",",".")</f>
        <v>7.65583281980168 65.6937438991215</v>
      </c>
      <c r="P39" t="str" cm="1">
        <f t="array" ref="P39">SUBSTITUTE(INDEX(Nodes!$A$3:$E$64,Arcs!L39,4) &amp; " " &amp; INDEX(Nodes!$A$3:$E$64,Arcs!L39,5), ",",".")</f>
        <v>6.80365983600007 65.0944715000001</v>
      </c>
      <c r="Q39" t="str">
        <f>SUBSTITUTE(AVERAGE(INDEX(Nodes!$A$3:$E$64,Arcs!K39,4), INDEX(Nodes!$A$3:$E$64,Arcs!L39,4)) &amp; " " &amp; AVERAGE(INDEX(Nodes!$A$3:$E$64,Arcs!K39,5), INDEX(Nodes!$A$3:$E$64,Arcs!L39,5)), ",", ".")</f>
        <v>7.22974632790087 65.3941076995608</v>
      </c>
    </row>
    <row r="40" spans="1:17" x14ac:dyDescent="0.2">
      <c r="A40" s="1">
        <v>39</v>
      </c>
      <c r="B40" s="19" t="s">
        <v>196</v>
      </c>
      <c r="C40" s="19" t="s">
        <v>163</v>
      </c>
      <c r="D40" s="19" t="s">
        <v>134</v>
      </c>
      <c r="E40" s="19" t="s">
        <v>160</v>
      </c>
      <c r="F40" s="19" t="s">
        <v>90</v>
      </c>
      <c r="G40" s="19" t="s">
        <v>91</v>
      </c>
      <c r="H40" s="1" t="str">
        <f t="shared" si="1"/>
        <v>LINESTRING(4.83583000000004 60.5501750000001,4.83721350169052 60.5477617431823,4.838597003381 60.5453484863646)</v>
      </c>
      <c r="I40" s="43">
        <v>110</v>
      </c>
      <c r="J40" s="1" t="str">
        <f t="shared" si="0"/>
        <v/>
      </c>
      <c r="K40" s="1">
        <f>INDEX(Nodes!$A:$A,MATCH(Arcs!F40,Nodes!$B:$B,0))</f>
        <v>57</v>
      </c>
      <c r="L40" s="1">
        <f>INDEX(Nodes!$A:$A,MATCH(Arcs!G40,Nodes!$B:$B,0))</f>
        <v>37</v>
      </c>
      <c r="M40" s="2">
        <v>1E-3</v>
      </c>
      <c r="N40" s="3">
        <v>1E-3</v>
      </c>
      <c r="O40" t="str" cm="1">
        <f t="array" ref="O40">SUBSTITUTE(INDEX(Nodes!$A$3:$E$64,Arcs!K40,4) &amp; " " &amp; INDEX(Nodes!$A$3:$E$64,Arcs!K40,5), ",",".")</f>
        <v>4.83583000000004 60.5501750000001</v>
      </c>
      <c r="P40" t="str" cm="1">
        <f t="array" ref="P40">SUBSTITUTE(INDEX(Nodes!$A$3:$E$64,Arcs!L40,4) &amp; " " &amp; INDEX(Nodes!$A$3:$E$64,Arcs!L40,5), ",",".")</f>
        <v>4.838597003381 60.5453484863646</v>
      </c>
      <c r="Q40" t="str">
        <f>SUBSTITUTE(AVERAGE(INDEX(Nodes!$A$3:$E$64,Arcs!K40,4), INDEX(Nodes!$A$3:$E$64,Arcs!L40,4)) &amp; " " &amp; AVERAGE(INDEX(Nodes!$A$3:$E$64,Arcs!K40,5), INDEX(Nodes!$A$3:$E$64,Arcs!L40,5)), ",", ".")</f>
        <v>4.83721350169052 60.5477617431823</v>
      </c>
    </row>
    <row r="41" spans="1:17" x14ac:dyDescent="0.2">
      <c r="A41" s="1">
        <v>40</v>
      </c>
      <c r="B41" s="19" t="s">
        <v>199</v>
      </c>
      <c r="C41" s="19" t="s">
        <v>139</v>
      </c>
      <c r="D41" s="19" t="s">
        <v>134</v>
      </c>
      <c r="E41" s="19" t="s">
        <v>182</v>
      </c>
      <c r="F41" s="19" t="s">
        <v>98</v>
      </c>
      <c r="G41" s="19" t="s">
        <v>103</v>
      </c>
      <c r="H41" s="1" t="str">
        <f t="shared" si="1"/>
        <v>LINESTRING(1.39113707900003 59.477978469,1.82264345536872 59.1586920721751,2.25414983173741 58.8394056753501)</v>
      </c>
      <c r="I41" s="1">
        <v>5</v>
      </c>
      <c r="J41" s="1" t="str">
        <f t="shared" si="0"/>
        <v/>
      </c>
      <c r="K41" s="1">
        <f>INDEX(Nodes!$A:$A,MATCH(Arcs!F41,Nodes!$B:$B,0))</f>
        <v>19</v>
      </c>
      <c r="L41" s="1">
        <f>INDEX(Nodes!$A:$A,MATCH(Arcs!G41,Nodes!$B:$B,0))</f>
        <v>48</v>
      </c>
      <c r="M41" s="2">
        <v>1E-3</v>
      </c>
      <c r="N41" s="3">
        <v>1E-3</v>
      </c>
      <c r="O41" t="str" cm="1">
        <f t="array" ref="O41">SUBSTITUTE(INDEX(Nodes!$A$3:$E$64,Arcs!K41,4) &amp; " " &amp; INDEX(Nodes!$A$3:$E$64,Arcs!K41,5), ",",".")</f>
        <v>1.39113707900003 59.477978469</v>
      </c>
      <c r="P41" t="str" cm="1">
        <f t="array" ref="P41">SUBSTITUTE(INDEX(Nodes!$A$3:$E$64,Arcs!L41,4) &amp; " " &amp; INDEX(Nodes!$A$3:$E$64,Arcs!L41,5), ",",".")</f>
        <v>2.25414983173741 58.8394056753501</v>
      </c>
      <c r="Q41" t="str">
        <f>SUBSTITUTE(AVERAGE(INDEX(Nodes!$A$3:$E$64,Arcs!K41,4), INDEX(Nodes!$A$3:$E$64,Arcs!L41,4)) &amp; " " &amp; AVERAGE(INDEX(Nodes!$A$3:$E$64,Arcs!K41,5), INDEX(Nodes!$A$3:$E$64,Arcs!L41,5)), ",", ".")</f>
        <v>1.82264345536872 59.1586920721751</v>
      </c>
    </row>
    <row r="42" spans="1:17" x14ac:dyDescent="0.2">
      <c r="A42" s="1">
        <v>41</v>
      </c>
      <c r="B42" s="19" t="s">
        <v>158</v>
      </c>
      <c r="C42" s="19" t="s">
        <v>139</v>
      </c>
      <c r="D42" s="19" t="s">
        <v>134</v>
      </c>
      <c r="E42" s="19" t="s">
        <v>159</v>
      </c>
      <c r="F42" s="19" t="s">
        <v>105</v>
      </c>
      <c r="G42" s="19" t="s">
        <v>107</v>
      </c>
      <c r="H42" s="1" t="str">
        <f t="shared" si="1"/>
        <v>LINESTRING(1.91586639699623 58.3649441738375,2.19479968579955 58.2746767014261,2.47373297460288 58.1844092290148)</v>
      </c>
      <c r="I42" s="42">
        <v>55</v>
      </c>
      <c r="J42" s="1" t="str">
        <f t="shared" si="0"/>
        <v/>
      </c>
      <c r="K42" s="1">
        <f>INDEX(Nodes!$A:$A,MATCH(Arcs!F42,Nodes!$B:$B,0))</f>
        <v>51</v>
      </c>
      <c r="L42" s="1">
        <f>INDEX(Nodes!$A:$A,MATCH(Arcs!G42,Nodes!$B:$B,0))</f>
        <v>16</v>
      </c>
      <c r="M42" s="2">
        <v>1E-3</v>
      </c>
      <c r="N42" s="3">
        <v>1E-3</v>
      </c>
      <c r="O42" t="str" cm="1">
        <f t="array" ref="O42">SUBSTITUTE(INDEX(Nodes!$A$3:$E$64,Arcs!K42,4) &amp; " " &amp; INDEX(Nodes!$A$3:$E$64,Arcs!K42,5), ",",".")</f>
        <v>1.91586639699623 58.3649441738375</v>
      </c>
      <c r="P42" t="str" cm="1">
        <f t="array" ref="P42">SUBSTITUTE(INDEX(Nodes!$A$3:$E$64,Arcs!L42,4) &amp; " " &amp; INDEX(Nodes!$A$3:$E$64,Arcs!L42,5), ",",".")</f>
        <v>2.47373297460288 58.1844092290148</v>
      </c>
      <c r="Q42" t="str">
        <f>SUBSTITUTE(AVERAGE(INDEX(Nodes!$A$3:$E$64,Arcs!K42,4), INDEX(Nodes!$A$3:$E$64,Arcs!L42,4)) &amp; " " &amp; AVERAGE(INDEX(Nodes!$A$3:$E$64,Arcs!K42,5), INDEX(Nodes!$A$3:$E$64,Arcs!L42,5)), ",", ".")</f>
        <v>2.19479968579955 58.2746767014261</v>
      </c>
    </row>
    <row r="43" spans="1:17" x14ac:dyDescent="0.2">
      <c r="A43" s="1">
        <v>42</v>
      </c>
      <c r="B43" s="19" t="s">
        <v>303</v>
      </c>
      <c r="C43" s="19"/>
      <c r="D43" s="19"/>
      <c r="E43" s="19"/>
      <c r="F43" s="20" t="s">
        <v>112</v>
      </c>
      <c r="G43" s="20" t="s">
        <v>123</v>
      </c>
      <c r="H43" s="1" t="str">
        <f t="shared" si="1"/>
        <v>LINESTRING(6.5038 55.71,7.45555 55.7275,8.4073 55.745)</v>
      </c>
      <c r="I43" s="21">
        <v>32</v>
      </c>
      <c r="J43" s="1" t="str">
        <f t="shared" si="0"/>
        <v/>
      </c>
      <c r="K43" s="1">
        <f>INDEX(Nodes!$A:$A,MATCH(Arcs!F43,Nodes!$B:$B,0))</f>
        <v>5</v>
      </c>
      <c r="L43" s="1">
        <f>INDEX(Nodes!$A:$A,MATCH(Arcs!G43,Nodes!$B:$B,0))</f>
        <v>9</v>
      </c>
      <c r="M43" s="2">
        <v>1E-3</v>
      </c>
      <c r="N43" s="3">
        <v>1E-3</v>
      </c>
      <c r="O43" t="str" cm="1">
        <f t="array" ref="O43">SUBSTITUTE(INDEX(Nodes!$A$3:$E$64,Arcs!K43,4) &amp; " " &amp; INDEX(Nodes!$A$3:$E$64,Arcs!K43,5), ",",".")</f>
        <v>6.5038 55.71</v>
      </c>
      <c r="P43" t="str" cm="1">
        <f t="array" ref="P43">SUBSTITUTE(INDEX(Nodes!$A$3:$E$64,Arcs!L43,4) &amp; " " &amp; INDEX(Nodes!$A$3:$E$64,Arcs!L43,5), ",",".")</f>
        <v>8.4073 55.745</v>
      </c>
      <c r="Q43" t="str">
        <f>SUBSTITUTE(AVERAGE(INDEX(Nodes!$A$3:$E$64,Arcs!K43,4), INDEX(Nodes!$A$3:$E$64,Arcs!L43,4)) &amp; " " &amp; AVERAGE(INDEX(Nodes!$A$3:$E$64,Arcs!K43,5), INDEX(Nodes!$A$3:$E$64,Arcs!L43,5)), ",", ".")</f>
        <v>7.45555 55.7275</v>
      </c>
    </row>
    <row r="44" spans="1:17" x14ac:dyDescent="0.2">
      <c r="A44" s="1">
        <v>43</v>
      </c>
      <c r="B44" s="19" t="s">
        <v>304</v>
      </c>
      <c r="C44" s="19"/>
      <c r="D44" s="19"/>
      <c r="E44" s="19"/>
      <c r="F44" s="20" t="s">
        <v>124</v>
      </c>
      <c r="G44" s="20" t="s">
        <v>125</v>
      </c>
      <c r="H44" s="1" t="str">
        <f t="shared" si="1"/>
        <v>LINESTRING(9.3108 55.617,10.05295 55.452,10.7951 55.287)</v>
      </c>
      <c r="I44" s="21">
        <v>52</v>
      </c>
      <c r="J44" s="1" t="str">
        <f t="shared" si="0"/>
        <v/>
      </c>
      <c r="K44" s="1">
        <f>INDEX(Nodes!$A:$A,MATCH(Arcs!F44,Nodes!$B:$B,0))</f>
        <v>10</v>
      </c>
      <c r="L44" s="1">
        <f>INDEX(Nodes!$A:$A,MATCH(Arcs!G44,Nodes!$B:$B,0))</f>
        <v>11</v>
      </c>
      <c r="M44" s="2">
        <v>1E-3</v>
      </c>
      <c r="N44" s="3">
        <v>1E-3</v>
      </c>
      <c r="O44" t="str" cm="1">
        <f t="array" ref="O44">SUBSTITUTE(INDEX(Nodes!$A$3:$E$64,Arcs!K44,4) &amp; " " &amp; INDEX(Nodes!$A$3:$E$64,Arcs!K44,5), ",",".")</f>
        <v>9.3108 55.617</v>
      </c>
      <c r="P44" t="str" cm="1">
        <f t="array" ref="P44">SUBSTITUTE(INDEX(Nodes!$A$3:$E$64,Arcs!L44,4) &amp; " " &amp; INDEX(Nodes!$A$3:$E$64,Arcs!L44,5), ",",".")</f>
        <v>10.7951 55.287</v>
      </c>
      <c r="Q44" t="str">
        <f>SUBSTITUTE(AVERAGE(INDEX(Nodes!$A$3:$E$64,Arcs!K44,4), INDEX(Nodes!$A$3:$E$64,Arcs!L44,4)) &amp; " " &amp; AVERAGE(INDEX(Nodes!$A$3:$E$64,Arcs!K44,5), INDEX(Nodes!$A$3:$E$64,Arcs!L44,5)), ",", ".")</f>
        <v>10.05295 55.452</v>
      </c>
    </row>
    <row r="45" spans="1:17" x14ac:dyDescent="0.2">
      <c r="A45" s="1">
        <v>44</v>
      </c>
      <c r="B45" s="19" t="s">
        <v>305</v>
      </c>
      <c r="C45" s="19"/>
      <c r="D45" s="19"/>
      <c r="E45" s="19"/>
      <c r="F45" s="20" t="s">
        <v>126</v>
      </c>
      <c r="G45" s="20" t="s">
        <v>117</v>
      </c>
      <c r="H45" s="1" t="str">
        <f t="shared" si="1"/>
        <v>LINESTRING(11.2102 55.389,13.23505 54.5945,15.2599 53.8)</v>
      </c>
      <c r="I45" s="21">
        <v>32</v>
      </c>
      <c r="J45" s="1" t="str">
        <f t="shared" si="0"/>
        <v/>
      </c>
      <c r="K45" s="1">
        <f>INDEX(Nodes!$A:$A,MATCH(Arcs!F45,Nodes!$B:$B,0))</f>
        <v>12</v>
      </c>
      <c r="L45" s="1">
        <f>INDEX(Nodes!$A:$A,MATCH(Arcs!G45,Nodes!$B:$B,0))</f>
        <v>47</v>
      </c>
      <c r="M45" s="2">
        <v>1E-3</v>
      </c>
      <c r="N45" s="3">
        <v>1E-3</v>
      </c>
      <c r="O45" t="str" cm="1">
        <f t="array" ref="O45">SUBSTITUTE(INDEX(Nodes!$A$3:$E$64,Arcs!K45,4) &amp; " " &amp; INDEX(Nodes!$A$3:$E$64,Arcs!K45,5), ",",".")</f>
        <v>11.2102 55.389</v>
      </c>
      <c r="P45" t="str" cm="1">
        <f t="array" ref="P45">SUBSTITUTE(INDEX(Nodes!$A$3:$E$64,Arcs!L45,4) &amp; " " &amp; INDEX(Nodes!$A$3:$E$64,Arcs!L45,5), ",",".")</f>
        <v>15.2599 53.8</v>
      </c>
      <c r="Q45" t="str">
        <f>SUBSTITUTE(AVERAGE(INDEX(Nodes!$A$3:$E$64,Arcs!K45,4), INDEX(Nodes!$A$3:$E$64,Arcs!L45,4)) &amp; " " &amp; AVERAGE(INDEX(Nodes!$A$3:$E$64,Arcs!K45,5), INDEX(Nodes!$A$3:$E$64,Arcs!L45,5)), ",", ".")</f>
        <v>13.23505 54.5945</v>
      </c>
    </row>
    <row r="46" spans="1:17" x14ac:dyDescent="0.2">
      <c r="A46" s="1">
        <v>45</v>
      </c>
      <c r="B46" s="19" t="s">
        <v>183</v>
      </c>
      <c r="C46" s="19"/>
      <c r="D46" s="19"/>
      <c r="E46" s="19"/>
      <c r="F46" s="50" t="s">
        <v>108</v>
      </c>
      <c r="G46" s="50" t="s">
        <v>115</v>
      </c>
      <c r="H46" s="1" t="str">
        <f t="shared" si="1"/>
        <v>LINESTRING(1.803328 57.758069,0.349372 56.1913345,-1.104584 54.6246)</v>
      </c>
      <c r="I46" s="21">
        <v>48</v>
      </c>
      <c r="J46" s="1" t="s">
        <v>321</v>
      </c>
      <c r="K46" s="1">
        <f>INDEX(Nodes!$A:$A,MATCH(Arcs!F46,Nodes!$B:$B,0))</f>
        <v>8</v>
      </c>
      <c r="L46" s="1">
        <f>INDEX(Nodes!$A:$A,MATCH(Arcs!G46,Nodes!$B:$B,0))</f>
        <v>55</v>
      </c>
      <c r="M46" s="2">
        <v>1E-3</v>
      </c>
      <c r="N46" s="3">
        <v>1E-3</v>
      </c>
      <c r="O46" t="str" cm="1">
        <f t="array" ref="O46">SUBSTITUTE(INDEX(Nodes!$A$3:$E$64,Arcs!K46,4) &amp; " " &amp; INDEX(Nodes!$A$3:$E$64,Arcs!K46,5), ",",".")</f>
        <v>1.803328 57.758069</v>
      </c>
      <c r="P46" t="str" cm="1">
        <f t="array" ref="P46">SUBSTITUTE(INDEX(Nodes!$A$3:$E$64,Arcs!L46,4) &amp; " " &amp; INDEX(Nodes!$A$3:$E$64,Arcs!L46,5), ",",".")</f>
        <v>-1.104584 54.6246</v>
      </c>
      <c r="Q46" t="str">
        <f>SUBSTITUTE(AVERAGE(INDEX(Nodes!$A$3:$E$64,Arcs!K46,4), INDEX(Nodes!$A$3:$E$64,Arcs!L46,4)) &amp; " " &amp; AVERAGE(INDEX(Nodes!$A$3:$E$64,Arcs!K46,5), INDEX(Nodes!$A$3:$E$64,Arcs!L46,5)), ",", ".")</f>
        <v>0.349372 56.1913345</v>
      </c>
    </row>
    <row r="47" spans="1:17" x14ac:dyDescent="0.2">
      <c r="A47" s="1">
        <v>46</v>
      </c>
      <c r="B47" s="19" t="s">
        <v>184</v>
      </c>
      <c r="C47" s="19"/>
      <c r="D47" s="19"/>
      <c r="E47" s="19"/>
      <c r="F47" s="19" t="s">
        <v>87</v>
      </c>
      <c r="G47" s="19" t="s">
        <v>109</v>
      </c>
      <c r="H47" s="1" t="str">
        <f t="shared" si="1"/>
        <v>LINESTRING(1.705013 61.034477,-0.060319 59.307224,-1.825651 57.579971)</v>
      </c>
      <c r="I47" s="21">
        <v>33</v>
      </c>
      <c r="J47" s="1" t="str">
        <f t="shared" ref="J47:J55" si="2">IF(I47=100,"Capacity unknown","")</f>
        <v/>
      </c>
      <c r="K47" s="1">
        <f>INDEX(Nodes!$A:$A,MATCH(Arcs!F47,Nodes!$B:$B,0))</f>
        <v>40</v>
      </c>
      <c r="L47" s="1">
        <f>INDEX(Nodes!$A:$A,MATCH(Arcs!G47,Nodes!$B:$B,0))</f>
        <v>52</v>
      </c>
      <c r="M47" s="2">
        <v>1E-3</v>
      </c>
      <c r="N47" s="3">
        <v>1E-3</v>
      </c>
      <c r="O47" t="str" cm="1">
        <f t="array" ref="O47">SUBSTITUTE(INDEX(Nodes!$A$3:$E$64,Arcs!K47,4) &amp; " " &amp; INDEX(Nodes!$A$3:$E$64,Arcs!K47,5), ",",".")</f>
        <v>1.705013 61.034477</v>
      </c>
      <c r="P47" t="str" cm="1">
        <f t="array" ref="P47">SUBSTITUTE(INDEX(Nodes!$A$3:$E$64,Arcs!L47,4) &amp; " " &amp; INDEX(Nodes!$A$3:$E$64,Arcs!L47,5), ",",".")</f>
        <v>-1.825651 57.579971</v>
      </c>
      <c r="Q47" t="str">
        <f>SUBSTITUTE(AVERAGE(INDEX(Nodes!$A$3:$E$64,Arcs!K47,4), INDEX(Nodes!$A$3:$E$64,Arcs!L47,4)) &amp; " " &amp; AVERAGE(INDEX(Nodes!$A$3:$E$64,Arcs!K47,5), INDEX(Nodes!$A$3:$E$64,Arcs!L47,5)), ",", ".")</f>
        <v>-0.060319 59.307224</v>
      </c>
    </row>
    <row r="48" spans="1:17" x14ac:dyDescent="0.2">
      <c r="A48" s="1">
        <v>47</v>
      </c>
      <c r="B48" s="31" t="s">
        <v>220</v>
      </c>
      <c r="F48" s="32" t="s">
        <v>123</v>
      </c>
      <c r="G48" s="32" t="s">
        <v>124</v>
      </c>
      <c r="H48" s="1" t="str">
        <f t="shared" si="1"/>
        <v>LINESTRING(8.4073 55.745,8.85905 55.681,9.3108 55.617)</v>
      </c>
      <c r="I48" s="33">
        <v>1000</v>
      </c>
      <c r="J48" s="30" t="str">
        <f t="shared" si="2"/>
        <v/>
      </c>
      <c r="K48" s="1">
        <f>INDEX(Nodes!$A:$A,MATCH(Arcs!F48,Nodes!$B:$B,0))</f>
        <v>9</v>
      </c>
      <c r="L48" s="1">
        <f>INDEX(Nodes!$A:$A,MATCH(Arcs!G48,Nodes!$B:$B,0))</f>
        <v>10</v>
      </c>
      <c r="M48" s="2">
        <v>1E-3</v>
      </c>
      <c r="N48" s="3">
        <v>1E-3</v>
      </c>
      <c r="O48" t="str" cm="1">
        <f t="array" ref="O48">SUBSTITUTE(INDEX(Nodes!$A$3:$E$64,Arcs!K48,4) &amp; " " &amp; INDEX(Nodes!$A$3:$E$64,Arcs!K48,5), ",",".")</f>
        <v>8.4073 55.745</v>
      </c>
      <c r="P48" t="str" cm="1">
        <f t="array" ref="P48">SUBSTITUTE(INDEX(Nodes!$A$3:$E$64,Arcs!L48,4) &amp; " " &amp; INDEX(Nodes!$A$3:$E$64,Arcs!L48,5), ",",".")</f>
        <v>9.3108 55.617</v>
      </c>
      <c r="Q48" t="str">
        <f>SUBSTITUTE(AVERAGE(INDEX(Nodes!$A$3:$E$64,Arcs!K48,4), INDEX(Nodes!$A$3:$E$64,Arcs!L48,4)) &amp; " " &amp; AVERAGE(INDEX(Nodes!$A$3:$E$64,Arcs!K48,5), INDEX(Nodes!$A$3:$E$64,Arcs!L48,5)), ",", ".")</f>
        <v>8.85905 55.681</v>
      </c>
    </row>
    <row r="49" spans="1:17" x14ac:dyDescent="0.2">
      <c r="A49" s="1">
        <v>48</v>
      </c>
      <c r="B49" s="31" t="s">
        <v>221</v>
      </c>
      <c r="F49" s="20" t="s">
        <v>125</v>
      </c>
      <c r="G49" s="20" t="s">
        <v>126</v>
      </c>
      <c r="H49" s="1" t="str">
        <f t="shared" si="1"/>
        <v>LINESTRING(10.7951 55.287,11.00265 55.338,11.2102 55.389)</v>
      </c>
      <c r="I49" s="33">
        <v>1000</v>
      </c>
      <c r="J49" s="30" t="str">
        <f t="shared" si="2"/>
        <v/>
      </c>
      <c r="K49" s="1">
        <f>INDEX(Nodes!$A:$A,MATCH(Arcs!F49,Nodes!$B:$B,0))</f>
        <v>11</v>
      </c>
      <c r="L49" s="1">
        <f>INDEX(Nodes!$A:$A,MATCH(Arcs!G49,Nodes!$B:$B,0))</f>
        <v>12</v>
      </c>
      <c r="M49" s="2">
        <v>1E-3</v>
      </c>
      <c r="N49" s="3">
        <v>1E-3</v>
      </c>
      <c r="O49" t="str" cm="1">
        <f t="array" ref="O49">SUBSTITUTE(INDEX(Nodes!$A$3:$E$64,Arcs!K49,4) &amp; " " &amp; INDEX(Nodes!$A$3:$E$64,Arcs!K49,5), ",",".")</f>
        <v>10.7951 55.287</v>
      </c>
      <c r="P49" t="str" cm="1">
        <f t="array" ref="P49">SUBSTITUTE(INDEX(Nodes!$A$3:$E$64,Arcs!L49,4) &amp; " " &amp; INDEX(Nodes!$A$3:$E$64,Arcs!L49,5), ",",".")</f>
        <v>11.2102 55.389</v>
      </c>
      <c r="Q49" t="str">
        <f>SUBSTITUTE(AVERAGE(INDEX(Nodes!$A$3:$E$64,Arcs!K49,4), INDEX(Nodes!$A$3:$E$64,Arcs!L49,4)) &amp; " " &amp; AVERAGE(INDEX(Nodes!$A$3:$E$64,Arcs!K49,5), INDEX(Nodes!$A$3:$E$64,Arcs!L49,5)), ",", ".")</f>
        <v>11.00265 55.338</v>
      </c>
    </row>
    <row r="50" spans="1:17" x14ac:dyDescent="0.2">
      <c r="A50" s="1">
        <v>49</v>
      </c>
      <c r="B50" s="31" t="s">
        <v>316</v>
      </c>
      <c r="F50" s="32" t="s">
        <v>107</v>
      </c>
      <c r="G50" s="32" t="s">
        <v>106</v>
      </c>
      <c r="H50" s="1" t="str">
        <f t="shared" si="1"/>
        <v>LINESTRING(2.47373297460288 58.1844092290148,2.46906857032826 58.1862791232136,2.46440416605363 58.1881490174125)</v>
      </c>
      <c r="I50" s="33">
        <v>1000</v>
      </c>
      <c r="J50" s="30" t="str">
        <f t="shared" si="2"/>
        <v/>
      </c>
      <c r="K50" s="1">
        <f>INDEX(Nodes!$A:$A,MATCH(Arcs!F50,Nodes!$B:$B,0))</f>
        <v>16</v>
      </c>
      <c r="L50" s="1">
        <f>INDEX(Nodes!$A:$A,MATCH(Arcs!G50,Nodes!$B:$B,0))</f>
        <v>15</v>
      </c>
      <c r="M50" s="2">
        <v>1E-3</v>
      </c>
      <c r="N50" s="3">
        <v>1E-3</v>
      </c>
      <c r="O50" t="str" cm="1">
        <f t="array" ref="O50">SUBSTITUTE(INDEX(Nodes!$A$3:$E$64,Arcs!K50,4) &amp; " " &amp; INDEX(Nodes!$A$3:$E$64,Arcs!K50,5), ",",".")</f>
        <v>2.47373297460288 58.1844092290148</v>
      </c>
      <c r="P50" t="str" cm="1">
        <f t="array" ref="P50">SUBSTITUTE(INDEX(Nodes!$A$3:$E$64,Arcs!L50,4) &amp; " " &amp; INDEX(Nodes!$A$3:$E$64,Arcs!L50,5), ",",".")</f>
        <v>2.46440416605363 58.1881490174125</v>
      </c>
      <c r="Q50" t="str">
        <f>SUBSTITUTE(AVERAGE(INDEX(Nodes!$A$3:$E$64,Arcs!K50,4), INDEX(Nodes!$A$3:$E$64,Arcs!L50,4)) &amp; " " &amp; AVERAGE(INDEX(Nodes!$A$3:$E$64,Arcs!K50,5), INDEX(Nodes!$A$3:$E$64,Arcs!L50,5)), ",", ".")</f>
        <v>2.46906857032826 58.1862791232136</v>
      </c>
    </row>
    <row r="51" spans="1:17" x14ac:dyDescent="0.2">
      <c r="A51" s="1">
        <v>50</v>
      </c>
      <c r="B51" s="31" t="s">
        <v>317</v>
      </c>
      <c r="F51" s="32" t="s">
        <v>104</v>
      </c>
      <c r="G51" s="32" t="s">
        <v>105</v>
      </c>
      <c r="H51" s="1" t="str">
        <f t="shared" si="1"/>
        <v>LINESTRING(1.89876593357951 58.370533807718,1.90731616528787 58.3677389907777,1.91586639699623 58.3649441738375)</v>
      </c>
      <c r="I51" s="33">
        <v>1000</v>
      </c>
      <c r="J51" s="30" t="str">
        <f t="shared" si="2"/>
        <v/>
      </c>
      <c r="K51" s="1">
        <f>INDEX(Nodes!$A:$A,MATCH(Arcs!F51,Nodes!$B:$B,0))</f>
        <v>50</v>
      </c>
      <c r="L51" s="1">
        <f>INDEX(Nodes!$A:$A,MATCH(Arcs!G51,Nodes!$B:$B,0))</f>
        <v>51</v>
      </c>
      <c r="M51" s="2">
        <v>1E-3</v>
      </c>
      <c r="N51" s="3">
        <v>1E-3</v>
      </c>
      <c r="O51" t="str" cm="1">
        <f t="array" ref="O51">SUBSTITUTE(INDEX(Nodes!$A$3:$E$64,Arcs!K51,4) &amp; " " &amp; INDEX(Nodes!$A$3:$E$64,Arcs!K51,5), ",",".")</f>
        <v>1.89876593357951 58.370533807718</v>
      </c>
      <c r="P51" t="str" cm="1">
        <f t="array" ref="P51">SUBSTITUTE(INDEX(Nodes!$A$3:$E$64,Arcs!L51,4) &amp; " " &amp; INDEX(Nodes!$A$3:$E$64,Arcs!L51,5), ",",".")</f>
        <v>1.91586639699623 58.3649441738375</v>
      </c>
      <c r="Q51" t="str">
        <f>SUBSTITUTE(AVERAGE(INDEX(Nodes!$A$3:$E$64,Arcs!K51,4), INDEX(Nodes!$A$3:$E$64,Arcs!L51,4)) &amp; " " &amp; AVERAGE(INDEX(Nodes!$A$3:$E$64,Arcs!K51,5), INDEX(Nodes!$A$3:$E$64,Arcs!L51,5)), ",", ".")</f>
        <v>1.90731616528787 58.3677389907777</v>
      </c>
    </row>
    <row r="52" spans="1:17" x14ac:dyDescent="0.2">
      <c r="A52" s="1">
        <v>51</v>
      </c>
      <c r="B52" s="31" t="s">
        <v>318</v>
      </c>
      <c r="F52" s="32" t="s">
        <v>110</v>
      </c>
      <c r="G52" s="32" t="s">
        <v>111</v>
      </c>
      <c r="H52" s="1" t="str">
        <f t="shared" si="1"/>
        <v>LINESTRING(3.23 56.55,3.28025150000001 56.5201845,3.33050300000002 56.490369)</v>
      </c>
      <c r="I52" s="33">
        <v>1000</v>
      </c>
      <c r="J52" s="30" t="str">
        <f t="shared" si="2"/>
        <v/>
      </c>
      <c r="K52" s="1">
        <f>INDEX(Nodes!$A:$A,MATCH(Arcs!F52,Nodes!$B:$B,0))</f>
        <v>20</v>
      </c>
      <c r="L52" s="1">
        <f>INDEX(Nodes!$A:$A,MATCH(Arcs!G52,Nodes!$B:$B,0))</f>
        <v>43</v>
      </c>
      <c r="M52" s="2">
        <v>1E-3</v>
      </c>
      <c r="N52" s="3">
        <v>1E-3</v>
      </c>
      <c r="O52" t="str" cm="1">
        <f t="array" ref="O52">SUBSTITUTE(INDEX(Nodes!$A$3:$E$64,Arcs!K52,4) &amp; " " &amp; INDEX(Nodes!$A$3:$E$64,Arcs!K52,5), ",",".")</f>
        <v>3.23 56.55</v>
      </c>
      <c r="P52" t="str" cm="1">
        <f t="array" ref="P52">SUBSTITUTE(INDEX(Nodes!$A$3:$E$64,Arcs!L52,4) &amp; " " &amp; INDEX(Nodes!$A$3:$E$64,Arcs!L52,5), ",",".")</f>
        <v>3.33050300000002 56.490369</v>
      </c>
      <c r="Q52" t="str">
        <f>SUBSTITUTE(AVERAGE(INDEX(Nodes!$A$3:$E$64,Arcs!K52,4), INDEX(Nodes!$A$3:$E$64,Arcs!L52,4)) &amp; " " &amp; AVERAGE(INDEX(Nodes!$A$3:$E$64,Arcs!K52,5), INDEX(Nodes!$A$3:$E$64,Arcs!L52,5)), ",", ".")</f>
        <v>3.28025150000001 56.5201845</v>
      </c>
    </row>
    <row r="53" spans="1:17" x14ac:dyDescent="0.2">
      <c r="A53" s="1">
        <v>52</v>
      </c>
      <c r="B53" s="31" t="s">
        <v>319</v>
      </c>
      <c r="C53" s="1">
        <v>52</v>
      </c>
      <c r="D53" s="31" t="s">
        <v>319</v>
      </c>
      <c r="E53" s="1">
        <v>52</v>
      </c>
      <c r="F53" s="32" t="s">
        <v>79</v>
      </c>
      <c r="G53" s="32" t="s">
        <v>80</v>
      </c>
      <c r="H53" s="1" t="str">
        <f t="shared" si="1"/>
        <v>LINESTRING(7.79102610529196 64.3505675912103,7.11614205264601 64.2919112956052,6.44125800000006 64.233255)</v>
      </c>
      <c r="I53" s="33">
        <v>1000</v>
      </c>
      <c r="J53" s="30" t="str">
        <f t="shared" si="2"/>
        <v/>
      </c>
      <c r="K53" s="1">
        <f>INDEX(Nodes!$A:$A,MATCH(Arcs!F53,Nodes!$B:$B,0))</f>
        <v>14</v>
      </c>
      <c r="L53" s="1">
        <f>INDEX(Nodes!$A:$A,MATCH(Arcs!G53,Nodes!$B:$B,0))</f>
        <v>13</v>
      </c>
      <c r="M53" s="2">
        <v>1E-3</v>
      </c>
      <c r="N53" s="3">
        <v>1E-3</v>
      </c>
      <c r="O53" t="str" cm="1">
        <f t="array" ref="O53">SUBSTITUTE(INDEX(Nodes!$A$3:$E$64,Arcs!K53,4) &amp; " " &amp; INDEX(Nodes!$A$3:$E$64,Arcs!K53,5), ",",".")</f>
        <v>7.79102610529196 64.3505675912103</v>
      </c>
      <c r="P53" t="str" cm="1">
        <f t="array" ref="P53">SUBSTITUTE(INDEX(Nodes!$A$3:$E$64,Arcs!L53,4) &amp; " " &amp; INDEX(Nodes!$A$3:$E$64,Arcs!L53,5), ",",".")</f>
        <v>6.44125800000006 64.233255</v>
      </c>
      <c r="Q53" t="str">
        <f>SUBSTITUTE(AVERAGE(INDEX(Nodes!$A$3:$E$64,Arcs!K53,4), INDEX(Nodes!$A$3:$E$64,Arcs!L53,4)) &amp; " " &amp; AVERAGE(INDEX(Nodes!$A$3:$E$64,Arcs!K53,5), INDEX(Nodes!$A$3:$E$64,Arcs!L53,5)), ",", ".")</f>
        <v>7.11614205264601 64.2919112956052</v>
      </c>
    </row>
    <row r="54" spans="1:17" x14ac:dyDescent="0.2">
      <c r="A54" s="1">
        <v>53</v>
      </c>
      <c r="B54" s="31" t="s">
        <v>320</v>
      </c>
      <c r="C54" s="1">
        <v>53</v>
      </c>
      <c r="D54" s="31" t="s">
        <v>320</v>
      </c>
      <c r="E54" s="1">
        <v>53</v>
      </c>
      <c r="F54" s="32" t="s">
        <v>88</v>
      </c>
      <c r="G54" s="32" t="s">
        <v>87</v>
      </c>
      <c r="H54" s="1" t="str">
        <f t="shared" si="1"/>
        <v>LINESTRING(1.70018911400007 61.022018433,1.70260105700003 61.0282477165,1.705013 61.034477)</v>
      </c>
      <c r="I54" s="33">
        <v>1000</v>
      </c>
      <c r="J54" s="30" t="str">
        <f t="shared" si="2"/>
        <v/>
      </c>
      <c r="K54" s="1">
        <f>INDEX(Nodes!$A:$A,MATCH(Arcs!F54,Nodes!$B:$B,0))</f>
        <v>24</v>
      </c>
      <c r="L54" s="1">
        <f>INDEX(Nodes!$A:$A,MATCH(Arcs!G54,Nodes!$B:$B,0))</f>
        <v>40</v>
      </c>
      <c r="M54" s="2">
        <v>1E-3</v>
      </c>
      <c r="N54" s="3">
        <v>1E-3</v>
      </c>
      <c r="O54" t="str" cm="1">
        <f t="array" ref="O54">SUBSTITUTE(INDEX(Nodes!$A$3:$E$64,Arcs!K54,4) &amp; " " &amp; INDEX(Nodes!$A$3:$E$64,Arcs!K54,5), ",",".")</f>
        <v>1.70018911400007 61.022018433</v>
      </c>
      <c r="P54" t="str" cm="1">
        <f t="array" ref="P54">SUBSTITUTE(INDEX(Nodes!$A$3:$E$64,Arcs!L54,4) &amp; " " &amp; INDEX(Nodes!$A$3:$E$64,Arcs!L54,5), ",",".")</f>
        <v>1.705013 61.034477</v>
      </c>
      <c r="Q54" t="str">
        <f>SUBSTITUTE(AVERAGE(INDEX(Nodes!$A$3:$E$64,Arcs!K54,4), INDEX(Nodes!$A$3:$E$64,Arcs!L54,4)) &amp; " " &amp; AVERAGE(INDEX(Nodes!$A$3:$E$64,Arcs!K54,5), INDEX(Nodes!$A$3:$E$64,Arcs!L54,5)), ",", ".")</f>
        <v>1.70260105700003 61.0282477165</v>
      </c>
    </row>
    <row r="55" spans="1:17" x14ac:dyDescent="0.2">
      <c r="A55" s="1">
        <v>54</v>
      </c>
      <c r="B55" s="31" t="s">
        <v>324</v>
      </c>
      <c r="C55" s="1">
        <v>54</v>
      </c>
      <c r="D55" s="31" t="s">
        <v>324</v>
      </c>
      <c r="E55" s="1">
        <v>54</v>
      </c>
      <c r="F55" s="32" t="s">
        <v>205</v>
      </c>
      <c r="G55" s="19" t="s">
        <v>206</v>
      </c>
      <c r="H55" s="1" t="str">
        <f t="shared" si="1"/>
        <v>LINESTRING(6.80365983600007 65.0944715000001,5.74610048159499 63.6986000692747,4.68854112718991 62.3027286385494)</v>
      </c>
      <c r="I55" s="33">
        <v>1000</v>
      </c>
      <c r="J55" s="30" t="str">
        <f t="shared" si="2"/>
        <v/>
      </c>
      <c r="K55" s="1">
        <f>INDEX(Nodes!$A:$A,MATCH(Arcs!F55,Nodes!$B:$B,0))</f>
        <v>3</v>
      </c>
      <c r="L55" s="1">
        <f>INDEX(Nodes!$A:$A,MATCH(Arcs!G55,Nodes!$B:$B,0))</f>
        <v>2</v>
      </c>
      <c r="M55" s="2">
        <v>1E-3</v>
      </c>
      <c r="N55" s="3">
        <v>1E-3</v>
      </c>
      <c r="O55" t="str" cm="1">
        <f t="array" ref="O55">SUBSTITUTE(INDEX(Nodes!$A$3:$E$64,Arcs!K55,4) &amp; " " &amp; INDEX(Nodes!$A$3:$E$64,Arcs!K55,5), ",",".")</f>
        <v>6.80365983600007 65.0944715000001</v>
      </c>
      <c r="P55" t="str" cm="1">
        <f t="array" ref="P55">SUBSTITUTE(INDEX(Nodes!$A$3:$E$64,Arcs!L55,4) &amp; " " &amp; INDEX(Nodes!$A$3:$E$64,Arcs!L55,5), ",",".")</f>
        <v>4.68854112718991 62.3027286385494</v>
      </c>
      <c r="Q55" t="str">
        <f>SUBSTITUTE(AVERAGE(INDEX(Nodes!$A$3:$E$64,Arcs!K55,4), INDEX(Nodes!$A$3:$E$64,Arcs!L55,4)) &amp; " " &amp; AVERAGE(INDEX(Nodes!$A$3:$E$64,Arcs!K55,5), INDEX(Nodes!$A$3:$E$64,Arcs!L55,5)), ",", ".")</f>
        <v>5.74610048159499 63.6986000692747</v>
      </c>
    </row>
    <row r="56" spans="1:17" x14ac:dyDescent="0.2">
      <c r="A56" s="1">
        <v>55</v>
      </c>
      <c r="B56" s="31" t="s">
        <v>325</v>
      </c>
      <c r="F56" s="32" t="s">
        <v>92</v>
      </c>
      <c r="G56" s="32" t="s">
        <v>94</v>
      </c>
      <c r="H56" s="1" t="str">
        <f t="shared" si="1"/>
        <v>LINESTRING(3.0378254949277 60.5433289978974,2.93093584095346 60.5151147257528,2.82404618697923 60.4869004536081)</v>
      </c>
      <c r="I56" s="33">
        <v>1000</v>
      </c>
      <c r="J56" s="30" t="str">
        <f t="shared" ref="J56:J60" si="3">IF(I56=100,"Capacity unknown","")</f>
        <v/>
      </c>
      <c r="K56" s="1">
        <f>INDEX(Nodes!$A:$A,MATCH(Arcs!F56,Nodes!$B:$B,0))</f>
        <v>7</v>
      </c>
      <c r="L56" s="1">
        <f>INDEX(Nodes!$A:$A,MATCH(Arcs!G56,Nodes!$B:$B,0))</f>
        <v>46</v>
      </c>
      <c r="M56" s="2">
        <v>1E-3</v>
      </c>
      <c r="N56" s="3">
        <v>1E-3</v>
      </c>
      <c r="O56" t="str" cm="1">
        <f t="array" ref="O56">SUBSTITUTE(INDEX(Nodes!$A$3:$E$64,Arcs!K56,4) &amp; " " &amp; INDEX(Nodes!$A$3:$E$64,Arcs!K56,5), ",",".")</f>
        <v>3.0378254949277 60.5433289978974</v>
      </c>
      <c r="P56" t="str" cm="1">
        <f t="array" ref="P56">SUBSTITUTE(INDEX(Nodes!$A$3:$E$64,Arcs!L56,4) &amp; " " &amp; INDEX(Nodes!$A$3:$E$64,Arcs!L56,5), ",",".")</f>
        <v>2.82404618697923 60.4869004536081</v>
      </c>
      <c r="Q56" t="str">
        <f>SUBSTITUTE(AVERAGE(INDEX(Nodes!$A$3:$E$64,Arcs!K56,4), INDEX(Nodes!$A$3:$E$64,Arcs!L56,4)) &amp; " " &amp; AVERAGE(INDEX(Nodes!$A$3:$E$64,Arcs!K56,5), INDEX(Nodes!$A$3:$E$64,Arcs!L56,5)), ",", ".")</f>
        <v>2.93093584095346 60.5151147257528</v>
      </c>
    </row>
    <row r="57" spans="1:17" x14ac:dyDescent="0.2">
      <c r="A57" s="1">
        <v>56</v>
      </c>
      <c r="B57" s="31" t="s">
        <v>326</v>
      </c>
      <c r="F57" s="32" t="s">
        <v>79</v>
      </c>
      <c r="G57" s="32" t="s">
        <v>206</v>
      </c>
      <c r="H57" s="1" t="str">
        <f t="shared" si="1"/>
        <v>LINESTRING(7.79102610529196 64.3505675912103,6.23978361624093 63.3266481148799,4.68854112718991 62.3027286385494)</v>
      </c>
      <c r="I57" s="33">
        <v>1000</v>
      </c>
      <c r="J57" s="30" t="str">
        <f t="shared" si="3"/>
        <v/>
      </c>
      <c r="K57" s="1">
        <f>INDEX(Nodes!$A:$A,MATCH(Arcs!F57,Nodes!$B:$B,0))</f>
        <v>14</v>
      </c>
      <c r="L57" s="1">
        <f>INDEX(Nodes!$A:$A,MATCH(Arcs!G57,Nodes!$B:$B,0))</f>
        <v>2</v>
      </c>
      <c r="M57" s="2">
        <v>1E-3</v>
      </c>
      <c r="N57" s="3">
        <v>1E-3</v>
      </c>
      <c r="O57" t="str" cm="1">
        <f t="array" ref="O57">SUBSTITUTE(INDEX(Nodes!$A$3:$E$64,Arcs!K57,4) &amp; " " &amp; INDEX(Nodes!$A$3:$E$64,Arcs!K57,5), ",",".")</f>
        <v>7.79102610529196 64.3505675912103</v>
      </c>
      <c r="P57" t="str" cm="1">
        <f t="array" ref="P57">SUBSTITUTE(INDEX(Nodes!$A$3:$E$64,Arcs!L57,4) &amp; " " &amp; INDEX(Nodes!$A$3:$E$64,Arcs!L57,5), ",",".")</f>
        <v>4.68854112718991 62.3027286385494</v>
      </c>
      <c r="Q57" t="str">
        <f>SUBSTITUTE(AVERAGE(INDEX(Nodes!$A$3:$E$64,Arcs!K57,4), INDEX(Nodes!$A$3:$E$64,Arcs!L57,4)) &amp; " " &amp; AVERAGE(INDEX(Nodes!$A$3:$E$64,Arcs!K57,5), INDEX(Nodes!$A$3:$E$64,Arcs!L57,5)), ",", ".")</f>
        <v>6.23978361624093 63.3266481148799</v>
      </c>
    </row>
    <row r="58" spans="1:17" x14ac:dyDescent="0.2">
      <c r="A58" s="1">
        <v>57</v>
      </c>
      <c r="B58" s="31" t="s">
        <v>327</v>
      </c>
      <c r="F58" s="32" t="s">
        <v>103</v>
      </c>
      <c r="G58" t="s">
        <v>99</v>
      </c>
      <c r="H58" s="1" t="str">
        <f t="shared" si="1"/>
        <v>LINESTRING(2.25414983173741 58.8394056753501,3.65416291586873 59.0831068376751,5.05417600000004 59.326808)</v>
      </c>
      <c r="I58" s="33">
        <v>1000</v>
      </c>
      <c r="J58" s="30" t="str">
        <f t="shared" si="3"/>
        <v/>
      </c>
      <c r="K58" s="1">
        <f>INDEX(Nodes!$A:$A,MATCH(Arcs!F58,Nodes!$B:$B,0))</f>
        <v>48</v>
      </c>
      <c r="L58" s="1">
        <f>INDEX(Nodes!$A:$A,MATCH(Arcs!G58,Nodes!$B:$B,0))</f>
        <v>34</v>
      </c>
      <c r="M58" s="2">
        <v>1E-3</v>
      </c>
      <c r="N58" s="3">
        <v>1E-3</v>
      </c>
      <c r="O58" t="str" cm="1">
        <f t="array" ref="O58">SUBSTITUTE(INDEX(Nodes!$A$3:$E$64,Arcs!K58,4) &amp; " " &amp; INDEX(Nodes!$A$3:$E$64,Arcs!K58,5), ",",".")</f>
        <v>2.25414983173741 58.8394056753501</v>
      </c>
      <c r="P58" t="str" cm="1">
        <f t="array" ref="P58">SUBSTITUTE(INDEX(Nodes!$A$3:$E$64,Arcs!L58,4) &amp; " " &amp; INDEX(Nodes!$A$3:$E$64,Arcs!L58,5), ",",".")</f>
        <v>5.05417600000004 59.326808</v>
      </c>
      <c r="Q58" t="str">
        <f>SUBSTITUTE(AVERAGE(INDEX(Nodes!$A$3:$E$64,Arcs!K58,4), INDEX(Nodes!$A$3:$E$64,Arcs!L58,4)) &amp; " " &amp; AVERAGE(INDEX(Nodes!$A$3:$E$64,Arcs!K58,5), INDEX(Nodes!$A$3:$E$64,Arcs!L58,5)), ",", ".")</f>
        <v>3.65416291586873 59.0831068376751</v>
      </c>
    </row>
    <row r="59" spans="1:17" x14ac:dyDescent="0.2">
      <c r="A59" s="1">
        <v>58</v>
      </c>
      <c r="B59" s="31" t="s">
        <v>328</v>
      </c>
      <c r="F59" t="s">
        <v>102</v>
      </c>
      <c r="G59" s="52" t="s">
        <v>207</v>
      </c>
      <c r="H59" s="1" t="str">
        <f t="shared" si="1"/>
        <v>LINESTRING(2.5577715130093 58.8419310723351,4.03534642322643 59.0570233500857,5.51292133344356 59.2721156278364)</v>
      </c>
      <c r="I59" s="33">
        <v>1000</v>
      </c>
      <c r="J59" s="30" t="str">
        <f t="shared" si="3"/>
        <v/>
      </c>
      <c r="K59" s="1">
        <f>INDEX(Nodes!$A:$A,MATCH(Arcs!F59,Nodes!$B:$B,0))</f>
        <v>35</v>
      </c>
      <c r="L59" s="1">
        <f>INDEX(Nodes!$A:$A,MATCH(Arcs!G59,Nodes!$B:$B,0))</f>
        <v>36</v>
      </c>
      <c r="M59" s="2">
        <v>1E-3</v>
      </c>
      <c r="N59" s="3">
        <v>1E-3</v>
      </c>
      <c r="O59" t="str" cm="1">
        <f t="array" ref="O59">SUBSTITUTE(INDEX(Nodes!$A$3:$E$64,Arcs!K59,4) &amp; " " &amp; INDEX(Nodes!$A$3:$E$64,Arcs!K59,5), ",",".")</f>
        <v>2.5577715130093 58.8419310723351</v>
      </c>
      <c r="P59" t="str" cm="1">
        <f t="array" ref="P59">SUBSTITUTE(INDEX(Nodes!$A$3:$E$64,Arcs!L59,4) &amp; " " &amp; INDEX(Nodes!$A$3:$E$64,Arcs!L59,5), ",",".")</f>
        <v>5.51292133344356 59.2721156278364</v>
      </c>
      <c r="Q59" t="str">
        <f>SUBSTITUTE(AVERAGE(INDEX(Nodes!$A$3:$E$64,Arcs!K59,4), INDEX(Nodes!$A$3:$E$64,Arcs!L59,4)) &amp; " " &amp; AVERAGE(INDEX(Nodes!$A$3:$E$64,Arcs!K59,5), INDEX(Nodes!$A$3:$E$64,Arcs!L59,5)), ",", ".")</f>
        <v>4.03534642322643 59.0570233500857</v>
      </c>
    </row>
    <row r="60" spans="1:17" x14ac:dyDescent="0.2">
      <c r="A60" s="1">
        <v>59</v>
      </c>
      <c r="B60" s="31" t="s">
        <v>329</v>
      </c>
      <c r="F60" s="19" t="s">
        <v>78</v>
      </c>
      <c r="G60" s="19" t="s">
        <v>206</v>
      </c>
      <c r="H60" s="1" t="str">
        <f t="shared" si="1"/>
        <v>LINESTRING(6.80146100000007 65.0845160000001,5.74500106359499 63.6936223192747,4.68854112718991 62.3027286385494)</v>
      </c>
      <c r="I60" s="33">
        <v>1000</v>
      </c>
      <c r="J60" s="30" t="str">
        <f t="shared" si="3"/>
        <v/>
      </c>
      <c r="K60" s="1">
        <f>INDEX(Nodes!$A:$A,MATCH(Arcs!F60,Nodes!$B:$B,0))</f>
        <v>42</v>
      </c>
      <c r="L60" s="1">
        <f>INDEX(Nodes!$A:$A,MATCH(Arcs!G60,Nodes!$B:$B,0))</f>
        <v>2</v>
      </c>
      <c r="M60" s="2">
        <v>1E-3</v>
      </c>
      <c r="N60" s="3">
        <v>1E-3</v>
      </c>
      <c r="O60" t="str" cm="1">
        <f t="array" ref="O60">SUBSTITUTE(INDEX(Nodes!$A$3:$E$64,Arcs!K60,4) &amp; " " &amp; INDEX(Nodes!$A$3:$E$64,Arcs!K60,5), ",",".")</f>
        <v>6.80146100000007 65.0845160000001</v>
      </c>
      <c r="P60" t="str" cm="1">
        <f t="array" ref="P60">SUBSTITUTE(INDEX(Nodes!$A$3:$E$64,Arcs!L60,4) &amp; " " &amp; INDEX(Nodes!$A$3:$E$64,Arcs!L60,5), ",",".")</f>
        <v>4.68854112718991 62.3027286385494</v>
      </c>
      <c r="Q60" t="str">
        <f>SUBSTITUTE(AVERAGE(INDEX(Nodes!$A$3:$E$64,Arcs!K60,4), INDEX(Nodes!$A$3:$E$64,Arcs!L60,4)) &amp; " " &amp; AVERAGE(INDEX(Nodes!$A$3:$E$64,Arcs!K60,5), INDEX(Nodes!$A$3:$E$64,Arcs!L60,5)), ",", ".")</f>
        <v>5.74500106359499 63.6936223192747</v>
      </c>
    </row>
    <row r="61" spans="1:17" x14ac:dyDescent="0.2">
      <c r="A61" s="1">
        <v>60</v>
      </c>
      <c r="B61" s="31" t="s">
        <v>330</v>
      </c>
      <c r="F61" s="53" t="s">
        <v>95</v>
      </c>
      <c r="G61" s="52" t="s">
        <v>96</v>
      </c>
      <c r="H61" s="1" t="str">
        <f t="shared" si="1"/>
        <v>LINESTRING(2.01751548100003 59.8949619730001,2.12637048424656 59.7330186621066,2.23522548749309 59.5710753512132)</v>
      </c>
      <c r="I61" s="33">
        <v>1000</v>
      </c>
      <c r="J61" s="30" t="str">
        <f t="shared" ref="J61" si="4">IF(I61=100,"Capacity unknown","")</f>
        <v/>
      </c>
      <c r="K61" s="1">
        <f>INDEX(Nodes!$A:$A,MATCH(Arcs!F61,Nodes!$B:$B,0))</f>
        <v>39</v>
      </c>
      <c r="L61" s="1">
        <f>INDEX(Nodes!$A:$A,MATCH(Arcs!G61,Nodes!$B:$B,0))</f>
        <v>33</v>
      </c>
      <c r="M61" s="2">
        <v>1E-3</v>
      </c>
      <c r="N61" s="3">
        <v>1E-3</v>
      </c>
      <c r="O61" t="str" cm="1">
        <f t="array" ref="O61">SUBSTITUTE(INDEX(Nodes!$A$3:$E$64,Arcs!K61,4) &amp; " " &amp; INDEX(Nodes!$A$3:$E$64,Arcs!K61,5), ",",".")</f>
        <v>2.01751548100003 59.8949619730001</v>
      </c>
      <c r="P61" t="str" cm="1">
        <f t="array" ref="P61">SUBSTITUTE(INDEX(Nodes!$A$3:$E$64,Arcs!L61,4) &amp; " " &amp; INDEX(Nodes!$A$3:$E$64,Arcs!L61,5), ",",".")</f>
        <v>2.23522548749309 59.5710753512132</v>
      </c>
      <c r="Q61" t="str">
        <f>SUBSTITUTE(AVERAGE(INDEX(Nodes!$A$3:$E$64,Arcs!K61,4), INDEX(Nodes!$A$3:$E$64,Arcs!L61,4)) &amp; " " &amp; AVERAGE(INDEX(Nodes!$A$3:$E$64,Arcs!K61,5), INDEX(Nodes!$A$3:$E$64,Arcs!L61,5)), ",", ".")</f>
        <v>2.12637048424656 59.7330186621066</v>
      </c>
    </row>
    <row r="62" spans="1:17" x14ac:dyDescent="0.2">
      <c r="A62" s="1">
        <v>61</v>
      </c>
      <c r="B62" s="31" t="s">
        <v>341</v>
      </c>
      <c r="F62" s="19" t="s">
        <v>189</v>
      </c>
      <c r="G62" s="52" t="s">
        <v>88</v>
      </c>
      <c r="H62" s="1" t="str">
        <f t="shared" si="1"/>
        <v>LINESTRING(3.90498979266736 61.3301937762874,2.80258945333371 61.1761061046437,1.70018911400007 61.022018433)</v>
      </c>
      <c r="I62" s="42">
        <v>18.2</v>
      </c>
      <c r="K62" s="1">
        <f>INDEX(Nodes!$A:$A,MATCH(Arcs!F62,Nodes!$B:$B,0))</f>
        <v>27</v>
      </c>
      <c r="L62" s="1">
        <f>INDEX(Nodes!$A:$A,MATCH(Arcs!G62,Nodes!$B:$B,0))</f>
        <v>24</v>
      </c>
      <c r="M62" s="2">
        <v>1E-3</v>
      </c>
      <c r="N62" s="3">
        <v>1E-3</v>
      </c>
      <c r="O62" t="str" cm="1">
        <f t="array" ref="O62">SUBSTITUTE(INDEX(Nodes!$A$3:$E$64,Arcs!K62,4) &amp; " " &amp; INDEX(Nodes!$A$3:$E$64,Arcs!K62,5), ",",".")</f>
        <v>3.90498979266736 61.3301937762874</v>
      </c>
      <c r="P62" t="str" cm="1">
        <f t="array" ref="P62">SUBSTITUTE(INDEX(Nodes!$A$3:$E$64,Arcs!L62,4) &amp; " " &amp; INDEX(Nodes!$A$3:$E$64,Arcs!L62,5), ",",".")</f>
        <v>1.70018911400007 61.022018433</v>
      </c>
      <c r="Q62" t="str">
        <f>SUBSTITUTE(AVERAGE(INDEX(Nodes!$A$3:$E$64,Arcs!K62,4), INDEX(Nodes!$A$3:$E$64,Arcs!L62,4)) &amp; " " &amp; AVERAGE(INDEX(Nodes!$A$3:$E$64,Arcs!K62,5), INDEX(Nodes!$A$3:$E$64,Arcs!L62,5)), ",", ".")</f>
        <v>2.80258945333371 61.1761061046437</v>
      </c>
    </row>
  </sheetData>
  <autoFilter ref="A1:N54" xr:uid="{2902688A-D2A3-854F-B341-C0BEC53AF991}"/>
  <phoneticPr fontId="1"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9A445-15C0-AB40-A0A7-7DAECA950535}">
  <dimension ref="A1:H20"/>
  <sheetViews>
    <sheetView zoomScale="200" zoomScaleNormal="200" workbookViewId="0">
      <selection activeCell="D5" sqref="D5"/>
    </sheetView>
  </sheetViews>
  <sheetFormatPr baseColWidth="10" defaultRowHeight="16" x14ac:dyDescent="0.2"/>
  <cols>
    <col min="1" max="1" width="15" bestFit="1" customWidth="1"/>
    <col min="2" max="2" width="13.83203125" bestFit="1" customWidth="1"/>
    <col min="3" max="3" width="26.5" bestFit="1" customWidth="1"/>
    <col min="4" max="4" width="30" bestFit="1" customWidth="1"/>
    <col min="5" max="5" width="22.6640625" bestFit="1" customWidth="1"/>
    <col min="6" max="6" width="22.83203125" bestFit="1" customWidth="1"/>
    <col min="7" max="7" width="17.5" bestFit="1" customWidth="1"/>
    <col min="8" max="8" width="23.1640625" bestFit="1" customWidth="1"/>
  </cols>
  <sheetData>
    <row r="1" spans="1:8" x14ac:dyDescent="0.2">
      <c r="A1" s="27" t="s">
        <v>172</v>
      </c>
      <c r="B1" s="27" t="s">
        <v>177</v>
      </c>
      <c r="C1" s="27" t="s">
        <v>210</v>
      </c>
      <c r="D1" s="27" t="s">
        <v>163</v>
      </c>
      <c r="E1" s="27" t="s">
        <v>211</v>
      </c>
      <c r="F1" s="27" t="s">
        <v>212</v>
      </c>
      <c r="G1" s="27" t="s">
        <v>214</v>
      </c>
      <c r="H1" s="27" t="s">
        <v>213</v>
      </c>
    </row>
    <row r="2" spans="1:8" x14ac:dyDescent="0.2">
      <c r="A2" s="1" t="s">
        <v>81</v>
      </c>
      <c r="B2" t="s">
        <v>76</v>
      </c>
      <c r="C2" t="s">
        <v>110</v>
      </c>
      <c r="D2" s="26" t="s">
        <v>74</v>
      </c>
      <c r="E2" s="26" t="s">
        <v>98</v>
      </c>
      <c r="F2" s="51" t="s">
        <v>188</v>
      </c>
      <c r="G2" s="51" t="s">
        <v>75</v>
      </c>
      <c r="H2" s="51" t="s">
        <v>89</v>
      </c>
    </row>
    <row r="3" spans="1:8" x14ac:dyDescent="0.2">
      <c r="D3" s="26" t="s">
        <v>101</v>
      </c>
      <c r="H3" s="26"/>
    </row>
    <row r="4" spans="1:8" x14ac:dyDescent="0.2">
      <c r="D4" s="26" t="s">
        <v>77</v>
      </c>
    </row>
    <row r="5" spans="1:8" x14ac:dyDescent="0.2">
      <c r="B5" s="13"/>
      <c r="D5" s="1" t="s">
        <v>99</v>
      </c>
    </row>
    <row r="6" spans="1:8" x14ac:dyDescent="0.2">
      <c r="D6" s="26" t="s">
        <v>186</v>
      </c>
    </row>
    <row r="7" spans="1:8" x14ac:dyDescent="0.2">
      <c r="D7" s="26" t="s">
        <v>95</v>
      </c>
    </row>
    <row r="8" spans="1:8" x14ac:dyDescent="0.2">
      <c r="D8" s="26" t="s">
        <v>94</v>
      </c>
    </row>
    <row r="9" spans="1:8" x14ac:dyDescent="0.2">
      <c r="D9" s="26" t="s">
        <v>104</v>
      </c>
    </row>
    <row r="10" spans="1:8" x14ac:dyDescent="0.2">
      <c r="D10" s="26" t="s">
        <v>85</v>
      </c>
    </row>
    <row r="11" spans="1:8" x14ac:dyDescent="0.2">
      <c r="D11" s="26" t="s">
        <v>90</v>
      </c>
    </row>
    <row r="12" spans="1:8" x14ac:dyDescent="0.2">
      <c r="D12" s="26" t="s">
        <v>105</v>
      </c>
    </row>
    <row r="13" spans="1:8" x14ac:dyDescent="0.2">
      <c r="D13" s="51" t="s">
        <v>108</v>
      </c>
    </row>
    <row r="15" spans="1:8" x14ac:dyDescent="0.2">
      <c r="A15" cm="1">
        <f t="array" ref="A15">SUM(IF(ISNUMBER(VLOOKUP(A2:A13,Nodes!$B$3:$I$61,8)),VLOOKUP(A2:A13,Nodes!$B$3:$I$61,8)))</f>
        <v>32.633767123287676</v>
      </c>
      <c r="B15" cm="1">
        <f t="array" ref="B15">SUM(IF(ISNUMBER(VLOOKUP(B2:B13,Nodes!$B$3:$I$61,8)),VLOOKUP(B2:B13,Nodes!$B$3:$I$61,8)))</f>
        <v>8.8860904109589036</v>
      </c>
      <c r="C15" cm="1">
        <f t="array" ref="C15">SUM(IF(ISNUMBER(VLOOKUP(C2:C13,Nodes!$B$3:$I$61,8)),VLOOKUP(C2:C13,Nodes!$B$3:$I$61,8)))</f>
        <v>3.8482712328767121</v>
      </c>
      <c r="D15" cm="1">
        <f t="array" ref="D15">SUM(IF(ISNUMBER(VLOOKUP(D2:D13,Nodes!$B$3:$I$61,8)),VLOOKUP(D2:D13,Nodes!$B$3:$I$61,8)))</f>
        <v>242.49738630136986</v>
      </c>
      <c r="E15" cm="1">
        <f t="array" ref="E15">SUM(IF(ISNUMBER(VLOOKUP(E2:E13,Nodes!$B$3:$I$61,8)),VLOOKUP(E2:E13,Nodes!$B$3:$I$61,8)))</f>
        <v>4.0645178082191773</v>
      </c>
      <c r="F15" s="41" cm="1">
        <f t="array" ref="F15">SUM(IF(ISNUMBER(VLOOKUP(F2:F13,Nodes!$B$3:$I$61,8)),VLOOKUP(F2:F13,Nodes!$B$3:$I$61,8)))</f>
        <v>10.738131506849314</v>
      </c>
      <c r="G15" s="41" cm="1">
        <f t="array" ref="G15">SUM(IF(ISNUMBER(VLOOKUP(G2:G13,Nodes!$B$3:$I$61,8)),VLOOKUP(G2:G13,Nodes!$B$3:$I$61,8)))</f>
        <v>1.5822602739726026</v>
      </c>
      <c r="H15" s="41" cm="1">
        <f t="array" ref="H15">SUM(IF(ISNUMBER(VLOOKUP(H2:H13,Nodes!$B$3:$I$61,8)),VLOOKUP(H2:H13,Nodes!$B$3:$I$61,8)))</f>
        <v>0.35852054794520549</v>
      </c>
    </row>
    <row r="17" spans="8:8" x14ac:dyDescent="0.2">
      <c r="H17" s="26" t="s">
        <v>337</v>
      </c>
    </row>
    <row r="18" spans="8:8" x14ac:dyDescent="0.2">
      <c r="H18" t="s">
        <v>338</v>
      </c>
    </row>
    <row r="19" spans="8:8" x14ac:dyDescent="0.2">
      <c r="H19" t="s">
        <v>339</v>
      </c>
    </row>
    <row r="20" spans="8:8" x14ac:dyDescent="0.2">
      <c r="H20" t="s">
        <v>340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7B38E3-302C-2E43-9786-274195CEF373}">
  <dimension ref="A1:L10"/>
  <sheetViews>
    <sheetView zoomScale="200" zoomScaleNormal="200" workbookViewId="0">
      <selection activeCell="F8" sqref="F8"/>
    </sheetView>
  </sheetViews>
  <sheetFormatPr baseColWidth="10" defaultRowHeight="16" x14ac:dyDescent="0.2"/>
  <cols>
    <col min="1" max="1" width="26" bestFit="1" customWidth="1"/>
    <col min="2" max="2" width="10.5" bestFit="1" customWidth="1"/>
    <col min="3" max="3" width="11.1640625" bestFit="1" customWidth="1"/>
    <col min="4" max="4" width="9" bestFit="1" customWidth="1"/>
    <col min="5" max="5" width="7.5" bestFit="1" customWidth="1"/>
    <col min="6" max="6" width="9" bestFit="1" customWidth="1"/>
    <col min="7" max="7" width="11.5" bestFit="1" customWidth="1"/>
    <col min="8" max="8" width="12.1640625" bestFit="1" customWidth="1"/>
    <col min="9" max="9" width="8.1640625" bestFit="1" customWidth="1"/>
    <col min="11" max="11" width="19.1640625" bestFit="1" customWidth="1"/>
    <col min="12" max="12" width="16.1640625" bestFit="1" customWidth="1"/>
  </cols>
  <sheetData>
    <row r="1" spans="1:12" x14ac:dyDescent="0.2">
      <c r="A1" s="8" t="s">
        <v>299</v>
      </c>
      <c r="B1" s="8" t="s">
        <v>109</v>
      </c>
      <c r="C1" s="8" t="s">
        <v>119</v>
      </c>
      <c r="D1" s="8" t="s">
        <v>115</v>
      </c>
      <c r="E1" s="8" t="s">
        <v>120</v>
      </c>
      <c r="F1" s="8" t="s">
        <v>334</v>
      </c>
      <c r="G1" s="8" t="s">
        <v>121</v>
      </c>
      <c r="H1" s="8" t="s">
        <v>122</v>
      </c>
      <c r="I1" s="8" t="s">
        <v>117</v>
      </c>
      <c r="K1" s="8" t="s">
        <v>306</v>
      </c>
      <c r="L1" s="8" t="s">
        <v>307</v>
      </c>
    </row>
    <row r="2" spans="1:12" x14ac:dyDescent="0.2">
      <c r="A2" t="s">
        <v>172</v>
      </c>
      <c r="B2">
        <f>0</f>
        <v>0</v>
      </c>
      <c r="C2">
        <v>0.4</v>
      </c>
      <c r="D2">
        <v>0</v>
      </c>
      <c r="E2">
        <v>0</v>
      </c>
      <c r="F2">
        <v>0</v>
      </c>
      <c r="G2">
        <f>12.5/40</f>
        <v>0.3125</v>
      </c>
      <c r="H2">
        <f>12.5/40</f>
        <v>0.3125</v>
      </c>
      <c r="I2">
        <v>0</v>
      </c>
      <c r="K2">
        <f>HLOOKUP(A2,Traders!$A$1:$H$15,15,)</f>
        <v>32.633767123287676</v>
      </c>
      <c r="L2" cm="1">
        <f t="array" ref="L2">SUM(B2:I2*MAX('Demand Stage 1'!$B$5:$I$12))</f>
        <v>46.125</v>
      </c>
    </row>
    <row r="3" spans="1:12" x14ac:dyDescent="0.2">
      <c r="A3" t="s">
        <v>177</v>
      </c>
      <c r="B3">
        <v>0</v>
      </c>
      <c r="C3">
        <v>0</v>
      </c>
      <c r="D3">
        <v>0</v>
      </c>
      <c r="E3">
        <v>0</v>
      </c>
      <c r="F3">
        <f>2.5/45</f>
        <v>5.5555555555555552E-2</v>
      </c>
      <c r="G3">
        <v>0</v>
      </c>
      <c r="H3">
        <v>0</v>
      </c>
      <c r="I3">
        <v>0.2</v>
      </c>
      <c r="K3">
        <f>HLOOKUP(A3,Traders!$A$1:$H$15,15,)</f>
        <v>8.8860904109589036</v>
      </c>
      <c r="L3" cm="1">
        <f t="array" ref="L3">SUM(B3:I3*MAX('Demand Stage 1'!$B$5:$I$12))</f>
        <v>11.5</v>
      </c>
    </row>
    <row r="4" spans="1:12" x14ac:dyDescent="0.2">
      <c r="A4" t="s">
        <v>210</v>
      </c>
      <c r="B4">
        <v>0</v>
      </c>
      <c r="C4">
        <v>0</v>
      </c>
      <c r="D4">
        <v>0</v>
      </c>
      <c r="E4">
        <f>3.5/45</f>
        <v>7.7777777777777779E-2</v>
      </c>
      <c r="F4">
        <v>0</v>
      </c>
      <c r="G4">
        <v>0</v>
      </c>
      <c r="H4">
        <v>0</v>
      </c>
      <c r="I4">
        <v>0</v>
      </c>
      <c r="K4">
        <f>HLOOKUP(A4,Traders!$A$1:$H$15,15,)</f>
        <v>3.8482712328767121</v>
      </c>
      <c r="L4" cm="1">
        <f t="array" ref="L4">SUM(B4:I4*MAX('Demand Stage 1'!$B$5:$I$12))</f>
        <v>3.5</v>
      </c>
    </row>
    <row r="5" spans="1:12" x14ac:dyDescent="0.2">
      <c r="A5" t="s">
        <v>163</v>
      </c>
      <c r="B5">
        <v>0.4</v>
      </c>
      <c r="C5">
        <v>0.6</v>
      </c>
      <c r="D5">
        <v>1</v>
      </c>
      <c r="E5">
        <f>8/9</f>
        <v>0.88888888888888884</v>
      </c>
      <c r="F5">
        <f>8/9</f>
        <v>0.88888888888888884</v>
      </c>
      <c r="G5">
        <v>0.6875</v>
      </c>
      <c r="H5">
        <v>0.6875</v>
      </c>
      <c r="I5">
        <v>0.8</v>
      </c>
      <c r="K5">
        <f>HLOOKUP(A5,Traders!$A$1:$H$15,15,)</f>
        <v>242.49738630136986</v>
      </c>
      <c r="L5" cm="1">
        <f t="array" ref="L5">SUM(B5:I5*MAX('Demand Stage 1'!$B$5:$I$12))</f>
        <v>267.875</v>
      </c>
    </row>
    <row r="6" spans="1:12" x14ac:dyDescent="0.2">
      <c r="A6" t="s">
        <v>211</v>
      </c>
      <c r="B6">
        <v>0</v>
      </c>
      <c r="C6">
        <v>0</v>
      </c>
      <c r="D6">
        <v>0</v>
      </c>
      <c r="E6">
        <f>1.5/45</f>
        <v>3.3333333333333333E-2</v>
      </c>
      <c r="F6">
        <f>1.5/45</f>
        <v>3.3333333333333333E-2</v>
      </c>
      <c r="G6">
        <v>0</v>
      </c>
      <c r="H6">
        <v>0</v>
      </c>
      <c r="I6">
        <v>0</v>
      </c>
      <c r="K6">
        <f>HLOOKUP(A6,Traders!$A$1:$H$15,15,)</f>
        <v>4.0645178082191773</v>
      </c>
      <c r="L6" cm="1">
        <f t="array" ref="L6">SUM(B6:I6*MAX('Demand Stage 1'!$B$5:$I$12))</f>
        <v>3</v>
      </c>
    </row>
    <row r="7" spans="1:12" x14ac:dyDescent="0.2">
      <c r="A7" t="s">
        <v>212</v>
      </c>
      <c r="B7">
        <v>0.57499999999999996</v>
      </c>
      <c r="C7">
        <v>0</v>
      </c>
      <c r="D7">
        <v>0</v>
      </c>
      <c r="E7">
        <v>0</v>
      </c>
      <c r="F7">
        <v>0</v>
      </c>
      <c r="G7">
        <v>0</v>
      </c>
      <c r="H7">
        <v>0</v>
      </c>
      <c r="I7">
        <v>0</v>
      </c>
      <c r="K7">
        <f>HLOOKUP(A7,Traders!$A$1:$H$15,15,)</f>
        <v>10.738131506849314</v>
      </c>
      <c r="L7" cm="1">
        <f t="array" ref="L7">SUM(B7:I7*MAX('Demand Stage 1'!$B$5:$I$12))</f>
        <v>25.874999999999996</v>
      </c>
    </row>
    <row r="8" spans="1:12" x14ac:dyDescent="0.2">
      <c r="A8" t="s">
        <v>214</v>
      </c>
      <c r="B8">
        <v>0</v>
      </c>
      <c r="C8">
        <v>0</v>
      </c>
      <c r="D8">
        <v>0</v>
      </c>
      <c r="E8">
        <v>0</v>
      </c>
      <c r="F8">
        <f>1/45</f>
        <v>2.2222222222222223E-2</v>
      </c>
      <c r="G8">
        <v>0</v>
      </c>
      <c r="H8">
        <v>0</v>
      </c>
      <c r="I8">
        <v>0</v>
      </c>
      <c r="K8">
        <f>HLOOKUP(A8,Traders!$A$1:$H$15,15,)</f>
        <v>1.5822602739726026</v>
      </c>
      <c r="L8" cm="1">
        <f t="array" ref="L8">SUM(B8:I8*MAX('Demand Stage 1'!$B$5:$I$12))</f>
        <v>1</v>
      </c>
    </row>
    <row r="9" spans="1:12" ht="17" thickBot="1" x14ac:dyDescent="0.25">
      <c r="A9" s="40" t="s">
        <v>213</v>
      </c>
      <c r="B9">
        <v>2.5000000000000001E-2</v>
      </c>
      <c r="C9">
        <v>0</v>
      </c>
      <c r="D9">
        <v>0</v>
      </c>
      <c r="E9">
        <v>0</v>
      </c>
      <c r="F9">
        <v>0</v>
      </c>
      <c r="G9">
        <v>0</v>
      </c>
      <c r="H9">
        <v>0</v>
      </c>
      <c r="I9">
        <v>0</v>
      </c>
      <c r="J9" s="40"/>
      <c r="K9">
        <f>HLOOKUP(A9,Traders!$A$1:$H$15,15,)</f>
        <v>0.35852054794520549</v>
      </c>
      <c r="L9" s="40" cm="1">
        <f t="array" ref="L9">SUM(B9:I9*MAX('Demand Stage 1'!$B$5:$I$12))</f>
        <v>1.125</v>
      </c>
    </row>
    <row r="10" spans="1:12" ht="17" thickTop="1" x14ac:dyDescent="0.2">
      <c r="A10" s="8" t="s">
        <v>308</v>
      </c>
      <c r="B10">
        <f>SUM(B2:B9)</f>
        <v>1</v>
      </c>
      <c r="C10">
        <f t="shared" ref="C10:I10" si="0">SUM(C2:C9)</f>
        <v>1</v>
      </c>
      <c r="D10">
        <f t="shared" si="0"/>
        <v>1</v>
      </c>
      <c r="E10">
        <f>SUM(E2:E9)</f>
        <v>0.99999999999999989</v>
      </c>
      <c r="F10">
        <f>SUM(F2:F9)</f>
        <v>1</v>
      </c>
      <c r="G10">
        <f t="shared" si="0"/>
        <v>1</v>
      </c>
      <c r="H10">
        <f t="shared" si="0"/>
        <v>1</v>
      </c>
      <c r="I10">
        <f t="shared" si="0"/>
        <v>1</v>
      </c>
      <c r="L10" cm="1">
        <f t="array" ref="L10">SUM(B10:I10*MAX('Demand Stage 1'!$B$5:$I$12))</f>
        <v>360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F2103-BB5B-1146-8172-40BAC814D614}">
  <dimension ref="A1:B3"/>
  <sheetViews>
    <sheetView zoomScale="200" zoomScaleNormal="200" workbookViewId="0">
      <selection activeCell="B3" sqref="B3"/>
    </sheetView>
  </sheetViews>
  <sheetFormatPr baseColWidth="10" defaultRowHeight="16" x14ac:dyDescent="0.2"/>
  <sheetData>
    <row r="1" spans="1:2" x14ac:dyDescent="0.2">
      <c r="A1" s="4" t="s">
        <v>0</v>
      </c>
      <c r="B1" s="4" t="s">
        <v>1</v>
      </c>
    </row>
    <row r="2" spans="1:2" x14ac:dyDescent="0.2">
      <c r="A2" s="1">
        <v>1</v>
      </c>
      <c r="B2" s="1" t="s">
        <v>15</v>
      </c>
    </row>
    <row r="3" spans="1:2" x14ac:dyDescent="0.2">
      <c r="A3" s="1">
        <v>2</v>
      </c>
      <c r="B3" s="1" t="s">
        <v>16</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D9D31-8EFB-9D43-A52A-8F2DB4E9DCA7}">
  <dimension ref="A1:C5"/>
  <sheetViews>
    <sheetView workbookViewId="0">
      <selection activeCell="D9" sqref="D9"/>
    </sheetView>
  </sheetViews>
  <sheetFormatPr baseColWidth="10" defaultRowHeight="16" x14ac:dyDescent="0.2"/>
  <sheetData>
    <row r="1" spans="1:3" x14ac:dyDescent="0.2">
      <c r="A1" t="s">
        <v>17</v>
      </c>
      <c r="B1" t="s">
        <v>218</v>
      </c>
      <c r="C1" t="s">
        <v>219</v>
      </c>
    </row>
    <row r="2" spans="1:3" x14ac:dyDescent="0.2">
      <c r="A2">
        <v>1</v>
      </c>
      <c r="B2">
        <f>C2/SUM($C$2:$C$5)</f>
        <v>0.5</v>
      </c>
      <c r="C2">
        <v>12</v>
      </c>
    </row>
    <row r="3" spans="1:3" x14ac:dyDescent="0.2">
      <c r="A3">
        <v>2</v>
      </c>
      <c r="B3">
        <f t="shared" ref="B3:B5" si="0">C3/SUM($C$2:$C$5)</f>
        <v>0.125</v>
      </c>
      <c r="C3">
        <v>3</v>
      </c>
    </row>
    <row r="4" spans="1:3" x14ac:dyDescent="0.2">
      <c r="A4">
        <v>3</v>
      </c>
      <c r="B4">
        <f t="shared" si="0"/>
        <v>0.25</v>
      </c>
      <c r="C4">
        <v>6</v>
      </c>
    </row>
    <row r="5" spans="1:3" x14ac:dyDescent="0.2">
      <c r="A5">
        <v>4</v>
      </c>
      <c r="B5">
        <f t="shared" si="0"/>
        <v>0.125</v>
      </c>
      <c r="C5">
        <v>3</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B95C95-5100-B242-B62A-0A2629824349}">
  <dimension ref="A1:C5"/>
  <sheetViews>
    <sheetView tabSelected="1" workbookViewId="0">
      <selection activeCell="G4" sqref="G4"/>
    </sheetView>
  </sheetViews>
  <sheetFormatPr baseColWidth="10" defaultRowHeight="16" x14ac:dyDescent="0.2"/>
  <cols>
    <col min="1" max="1" width="21.5" bestFit="1" customWidth="1"/>
  </cols>
  <sheetData>
    <row r="1" spans="1:3" x14ac:dyDescent="0.2">
      <c r="A1" t="s">
        <v>99</v>
      </c>
      <c r="B1" s="55" t="s">
        <v>85</v>
      </c>
      <c r="C1" s="8" t="s">
        <v>26</v>
      </c>
    </row>
    <row r="2" spans="1:3" x14ac:dyDescent="0.2">
      <c r="A2">
        <v>0.1</v>
      </c>
      <c r="B2">
        <v>0.8</v>
      </c>
      <c r="C2">
        <v>0.35</v>
      </c>
    </row>
    <row r="3" spans="1:3" x14ac:dyDescent="0.2">
      <c r="A3">
        <v>0.1</v>
      </c>
      <c r="B3">
        <v>4</v>
      </c>
      <c r="C3">
        <v>0.2</v>
      </c>
    </row>
    <row r="4" spans="1:3" x14ac:dyDescent="0.2">
      <c r="A4">
        <v>0.5</v>
      </c>
      <c r="B4">
        <v>0.8</v>
      </c>
      <c r="C4">
        <v>0.1</v>
      </c>
    </row>
    <row r="5" spans="1:3" x14ac:dyDescent="0.2">
      <c r="A5">
        <v>0.5</v>
      </c>
      <c r="B5">
        <v>4</v>
      </c>
      <c r="C5">
        <v>0.35</v>
      </c>
    </row>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935FD-94E0-3546-BCCF-D34968C9C73A}">
  <dimension ref="A1:H53"/>
  <sheetViews>
    <sheetView zoomScale="180" zoomScaleNormal="180" workbookViewId="0">
      <selection activeCell="C54" sqref="C54"/>
    </sheetView>
  </sheetViews>
  <sheetFormatPr baseColWidth="10" defaultColWidth="8.83203125" defaultRowHeight="16" x14ac:dyDescent="0.2"/>
  <cols>
    <col min="1" max="1" width="13.6640625" bestFit="1" customWidth="1"/>
    <col min="2" max="4" width="11" bestFit="1" customWidth="1"/>
    <col min="5" max="5" width="21.5" bestFit="1" customWidth="1"/>
    <col min="6" max="6" width="16.83203125" bestFit="1" customWidth="1"/>
  </cols>
  <sheetData>
    <row r="1" spans="1:8" x14ac:dyDescent="0.2">
      <c r="A1" s="34" t="s">
        <v>222</v>
      </c>
      <c r="B1" s="34" t="s">
        <v>223</v>
      </c>
      <c r="C1" s="34" t="s">
        <v>223</v>
      </c>
      <c r="D1" s="34" t="s">
        <v>223</v>
      </c>
      <c r="E1" s="36" t="s">
        <v>274</v>
      </c>
      <c r="F1" s="36" t="s">
        <v>275</v>
      </c>
      <c r="H1" s="36" t="s">
        <v>2</v>
      </c>
    </row>
    <row r="2" spans="1:8" x14ac:dyDescent="0.2">
      <c r="A2" t="s">
        <v>224</v>
      </c>
      <c r="B2" s="35">
        <v>8889.5949999999993</v>
      </c>
      <c r="C2" s="35">
        <v>8919.5750000000007</v>
      </c>
      <c r="D2" s="35">
        <v>8749.3649999999998</v>
      </c>
      <c r="E2" s="37" t="s">
        <v>74</v>
      </c>
      <c r="F2">
        <f>D2/365</f>
        <v>23.970863013698629</v>
      </c>
    </row>
    <row r="3" spans="1:8" x14ac:dyDescent="0.2">
      <c r="A3" t="s">
        <v>225</v>
      </c>
      <c r="B3" s="35">
        <v>1329.308</v>
      </c>
      <c r="C3" s="35">
        <v>683.63900000000001</v>
      </c>
      <c r="D3" s="35">
        <v>593.24699999999996</v>
      </c>
      <c r="E3" t="s">
        <v>98</v>
      </c>
      <c r="F3">
        <f t="shared" ref="F3:F51" si="0">D3/365</f>
        <v>1.6253342465753424</v>
      </c>
      <c r="H3" s="38" t="s">
        <v>278</v>
      </c>
    </row>
    <row r="4" spans="1:8" x14ac:dyDescent="0.2">
      <c r="A4" t="s">
        <v>226</v>
      </c>
      <c r="B4" s="35"/>
      <c r="C4" s="35"/>
      <c r="D4" s="35">
        <v>6606.7179999999998</v>
      </c>
      <c r="E4" s="1" t="s">
        <v>205</v>
      </c>
      <c r="F4">
        <f t="shared" si="0"/>
        <v>18.100597260273972</v>
      </c>
    </row>
    <row r="5" spans="1:8" x14ac:dyDescent="0.2">
      <c r="A5" t="s">
        <v>227</v>
      </c>
      <c r="B5" s="35">
        <v>0</v>
      </c>
      <c r="C5" s="35">
        <v>0</v>
      </c>
      <c r="D5" s="35">
        <v>3.9390000000000001</v>
      </c>
      <c r="F5">
        <f t="shared" si="0"/>
        <v>1.0791780821917809E-2</v>
      </c>
      <c r="H5" t="s">
        <v>279</v>
      </c>
    </row>
    <row r="6" spans="1:8" x14ac:dyDescent="0.2">
      <c r="A6" t="s">
        <v>228</v>
      </c>
      <c r="B6" s="35">
        <v>48.064999999999998</v>
      </c>
      <c r="C6" s="35">
        <v>81.236000000000004</v>
      </c>
      <c r="D6" s="35">
        <v>130.86000000000001</v>
      </c>
      <c r="E6" s="1" t="s">
        <v>89</v>
      </c>
      <c r="F6">
        <f t="shared" si="0"/>
        <v>0.35852054794520549</v>
      </c>
    </row>
    <row r="7" spans="1:8" x14ac:dyDescent="0.2">
      <c r="A7" t="s">
        <v>229</v>
      </c>
      <c r="B7" s="35">
        <v>0</v>
      </c>
      <c r="C7" s="35">
        <v>0</v>
      </c>
      <c r="D7" s="35">
        <v>3.72</v>
      </c>
      <c r="E7" s="1" t="s">
        <v>80</v>
      </c>
      <c r="F7">
        <f t="shared" si="0"/>
        <v>1.0191780821917809E-2</v>
      </c>
    </row>
    <row r="8" spans="1:8" x14ac:dyDescent="0.2">
      <c r="A8" t="s">
        <v>230</v>
      </c>
      <c r="B8" s="35">
        <v>0</v>
      </c>
      <c r="C8" s="35">
        <v>0</v>
      </c>
      <c r="D8" s="35"/>
      <c r="E8" t="s">
        <v>188</v>
      </c>
      <c r="F8">
        <f t="shared" si="0"/>
        <v>0</v>
      </c>
      <c r="H8" s="38" t="s">
        <v>280</v>
      </c>
    </row>
    <row r="9" spans="1:8" x14ac:dyDescent="0.2">
      <c r="A9" t="s">
        <v>231</v>
      </c>
      <c r="B9" s="35">
        <v>471.73399999999998</v>
      </c>
      <c r="C9" s="35">
        <v>491.40300000000002</v>
      </c>
      <c r="D9" s="35">
        <v>449.49099999999999</v>
      </c>
      <c r="E9" s="1" t="s">
        <v>98</v>
      </c>
      <c r="F9">
        <f t="shared" si="0"/>
        <v>1.2314821917808219</v>
      </c>
    </row>
    <row r="10" spans="1:8" x14ac:dyDescent="0.2">
      <c r="A10" t="s">
        <v>232</v>
      </c>
      <c r="B10" s="35">
        <v>578.78499999999997</v>
      </c>
      <c r="C10" s="35">
        <v>656.80499999999995</v>
      </c>
      <c r="D10" s="35">
        <v>738.14400000000001</v>
      </c>
      <c r="E10" t="s">
        <v>110</v>
      </c>
      <c r="F10">
        <f t="shared" si="0"/>
        <v>2.0223123287671232</v>
      </c>
    </row>
    <row r="11" spans="1:8" x14ac:dyDescent="0.2">
      <c r="A11" t="s">
        <v>233</v>
      </c>
      <c r="B11" s="35">
        <v>222.233</v>
      </c>
      <c r="C11" s="35">
        <v>302.17500000000001</v>
      </c>
      <c r="D11" s="35">
        <v>247.51400000000001</v>
      </c>
      <c r="E11" t="s">
        <v>110</v>
      </c>
      <c r="F11">
        <f t="shared" si="0"/>
        <v>0.67812054794520549</v>
      </c>
      <c r="H11" t="s">
        <v>281</v>
      </c>
    </row>
    <row r="12" spans="1:8" x14ac:dyDescent="0.2">
      <c r="A12" t="s">
        <v>234</v>
      </c>
      <c r="B12" s="35">
        <v>1282.3420000000001</v>
      </c>
      <c r="C12" s="35">
        <v>1073.472</v>
      </c>
      <c r="D12" s="35">
        <v>1162.1959999999999</v>
      </c>
      <c r="E12" t="s">
        <v>90</v>
      </c>
      <c r="F12">
        <f t="shared" si="0"/>
        <v>3.1840986301369862</v>
      </c>
      <c r="H12" t="s">
        <v>282</v>
      </c>
    </row>
    <row r="13" spans="1:8" x14ac:dyDescent="0.2">
      <c r="A13" t="s">
        <v>235</v>
      </c>
      <c r="B13" s="35">
        <v>2811.1990000000001</v>
      </c>
      <c r="C13" s="35">
        <v>726.50099999999998</v>
      </c>
      <c r="D13" s="35">
        <v>247.86099999999999</v>
      </c>
      <c r="E13" t="s">
        <v>104</v>
      </c>
      <c r="F13">
        <f t="shared" si="0"/>
        <v>0.67907123287671234</v>
      </c>
      <c r="H13" t="s">
        <v>283</v>
      </c>
    </row>
    <row r="14" spans="1:8" x14ac:dyDescent="0.2">
      <c r="A14" t="s">
        <v>236</v>
      </c>
      <c r="B14" s="35">
        <v>2588.0810000000001</v>
      </c>
      <c r="C14" s="35">
        <v>2436.7339999999999</v>
      </c>
      <c r="D14" s="35">
        <v>2344.2719999999999</v>
      </c>
      <c r="E14" s="1" t="s">
        <v>188</v>
      </c>
      <c r="F14">
        <f t="shared" si="0"/>
        <v>6.4226630136986298</v>
      </c>
    </row>
    <row r="15" spans="1:8" x14ac:dyDescent="0.2">
      <c r="A15" t="s">
        <v>237</v>
      </c>
      <c r="B15" s="35">
        <v>1214.5999999999999</v>
      </c>
      <c r="C15" s="35">
        <v>1206.1949999999999</v>
      </c>
      <c r="D15" s="35">
        <v>1325.316</v>
      </c>
      <c r="E15" t="s">
        <v>104</v>
      </c>
      <c r="F15">
        <f t="shared" si="0"/>
        <v>3.6310027397260276</v>
      </c>
      <c r="H15" t="s">
        <v>277</v>
      </c>
    </row>
    <row r="16" spans="1:8" x14ac:dyDescent="0.2">
      <c r="A16" t="s">
        <v>238</v>
      </c>
      <c r="B16" s="35">
        <v>0</v>
      </c>
      <c r="C16" s="35">
        <v>0</v>
      </c>
      <c r="D16" s="35">
        <v>0</v>
      </c>
      <c r="F16">
        <f t="shared" si="0"/>
        <v>0</v>
      </c>
      <c r="H16" t="s">
        <v>284</v>
      </c>
    </row>
    <row r="17" spans="1:8" x14ac:dyDescent="0.2">
      <c r="A17" t="s">
        <v>239</v>
      </c>
      <c r="B17" s="35">
        <v>5570.9179999999997</v>
      </c>
      <c r="C17" s="35">
        <v>5745.72</v>
      </c>
      <c r="D17" s="35">
        <v>4876.4679999999998</v>
      </c>
      <c r="E17" s="19" t="s">
        <v>85</v>
      </c>
      <c r="F17">
        <f t="shared" si="0"/>
        <v>13.360186301369863</v>
      </c>
      <c r="H17" s="38" t="s">
        <v>285</v>
      </c>
    </row>
    <row r="18" spans="1:8" x14ac:dyDescent="0.2">
      <c r="A18" t="s">
        <v>240</v>
      </c>
      <c r="B18" s="35">
        <v>1910.729</v>
      </c>
      <c r="C18" s="35">
        <v>1626.653</v>
      </c>
      <c r="D18" s="35">
        <v>1540.9349999999999</v>
      </c>
      <c r="E18" s="37" t="s">
        <v>77</v>
      </c>
      <c r="F18">
        <f t="shared" si="0"/>
        <v>4.2217397260273968</v>
      </c>
    </row>
    <row r="19" spans="1:8" x14ac:dyDescent="0.2">
      <c r="A19" t="s">
        <v>241</v>
      </c>
      <c r="B19" s="35">
        <v>0</v>
      </c>
      <c r="C19" s="35">
        <v>0.20399999999999999</v>
      </c>
      <c r="D19" s="35">
        <v>26.434999999999999</v>
      </c>
      <c r="E19" t="s">
        <v>97</v>
      </c>
      <c r="F19">
        <f t="shared" si="0"/>
        <v>7.2424657534246567E-2</v>
      </c>
    </row>
    <row r="20" spans="1:8" x14ac:dyDescent="0.2">
      <c r="A20" t="s">
        <v>242</v>
      </c>
      <c r="B20" s="35">
        <v>35.110999999999997</v>
      </c>
      <c r="C20" s="35">
        <v>3.0259999999999998</v>
      </c>
      <c r="D20" s="35">
        <v>4.6120000000000001</v>
      </c>
      <c r="E20" t="s">
        <v>110</v>
      </c>
      <c r="F20">
        <f t="shared" si="0"/>
        <v>1.2635616438356164E-2</v>
      </c>
      <c r="H20" t="s">
        <v>286</v>
      </c>
    </row>
    <row r="21" spans="1:8" x14ac:dyDescent="0.2">
      <c r="A21" t="s">
        <v>243</v>
      </c>
      <c r="B21" s="35">
        <v>291.70999999999998</v>
      </c>
      <c r="C21" s="35">
        <v>410.226</v>
      </c>
      <c r="D21" s="35">
        <v>440.81099999999998</v>
      </c>
      <c r="E21" t="s">
        <v>98</v>
      </c>
      <c r="F21">
        <f t="shared" si="0"/>
        <v>1.2077013698630137</v>
      </c>
      <c r="H21" t="s">
        <v>287</v>
      </c>
    </row>
    <row r="22" spans="1:8" x14ac:dyDescent="0.2">
      <c r="A22" t="s">
        <v>244</v>
      </c>
      <c r="B22" s="35">
        <v>1041.0509999999999</v>
      </c>
      <c r="C22" s="35">
        <v>1012.068</v>
      </c>
      <c r="D22" s="35">
        <v>841.24800000000005</v>
      </c>
      <c r="E22" s="1" t="s">
        <v>99</v>
      </c>
      <c r="F22">
        <f t="shared" si="0"/>
        <v>2.3047890410958907</v>
      </c>
    </row>
    <row r="23" spans="1:8" x14ac:dyDescent="0.2">
      <c r="A23" t="s">
        <v>245</v>
      </c>
      <c r="B23" s="35">
        <v>508.40300000000002</v>
      </c>
      <c r="C23" s="35">
        <v>566.721</v>
      </c>
      <c r="D23" s="35">
        <v>657.03899999999999</v>
      </c>
      <c r="E23" t="s">
        <v>205</v>
      </c>
      <c r="F23">
        <f t="shared" si="0"/>
        <v>1.8001068493150685</v>
      </c>
      <c r="H23" t="s">
        <v>288</v>
      </c>
    </row>
    <row r="24" spans="1:8" x14ac:dyDescent="0.2">
      <c r="A24" t="s">
        <v>246</v>
      </c>
      <c r="B24" s="35">
        <v>2844.82</v>
      </c>
      <c r="C24" s="35">
        <v>3478.627</v>
      </c>
      <c r="D24" s="35">
        <v>4181.5940000000001</v>
      </c>
      <c r="E24" s="1" t="s">
        <v>186</v>
      </c>
      <c r="F24">
        <f t="shared" si="0"/>
        <v>11.456421917808219</v>
      </c>
    </row>
    <row r="25" spans="1:8" x14ac:dyDescent="0.2">
      <c r="A25" t="s">
        <v>247</v>
      </c>
      <c r="B25" s="35">
        <v>2628.125</v>
      </c>
      <c r="C25" s="35">
        <v>913.13300000000004</v>
      </c>
      <c r="D25" s="35"/>
      <c r="E25" s="1" t="s">
        <v>95</v>
      </c>
      <c r="F25">
        <f t="shared" si="0"/>
        <v>0</v>
      </c>
    </row>
    <row r="26" spans="1:8" x14ac:dyDescent="0.2">
      <c r="A26" t="s">
        <v>248</v>
      </c>
      <c r="B26" s="35">
        <v>569.45500000000004</v>
      </c>
      <c r="C26" s="35">
        <v>576.18600000000004</v>
      </c>
      <c r="D26" s="35">
        <v>577.52499999999998</v>
      </c>
      <c r="E26" t="s">
        <v>75</v>
      </c>
      <c r="F26">
        <f t="shared" si="0"/>
        <v>1.5822602739726026</v>
      </c>
      <c r="H26" t="s">
        <v>289</v>
      </c>
    </row>
    <row r="27" spans="1:8" x14ac:dyDescent="0.2">
      <c r="A27" t="s">
        <v>249</v>
      </c>
      <c r="B27" s="35">
        <v>68.573999999999998</v>
      </c>
      <c r="C27" s="35">
        <v>82.480999999999995</v>
      </c>
      <c r="D27" s="35">
        <v>326.358</v>
      </c>
      <c r="E27" t="s">
        <v>205</v>
      </c>
      <c r="F27">
        <f t="shared" si="0"/>
        <v>0.89413150684931508</v>
      </c>
      <c r="H27" t="s">
        <v>290</v>
      </c>
    </row>
    <row r="28" spans="1:8" x14ac:dyDescent="0.2">
      <c r="A28" t="s">
        <v>250</v>
      </c>
      <c r="B28" s="35">
        <v>0</v>
      </c>
      <c r="C28" s="35">
        <v>0</v>
      </c>
      <c r="D28" s="35"/>
      <c r="F28">
        <f t="shared" si="0"/>
        <v>0</v>
      </c>
    </row>
    <row r="29" spans="1:8" x14ac:dyDescent="0.2">
      <c r="A29" t="s">
        <v>251</v>
      </c>
      <c r="B29" s="35">
        <v>0</v>
      </c>
      <c r="C29" s="35">
        <v>0</v>
      </c>
      <c r="D29" s="35"/>
      <c r="F29">
        <f t="shared" si="0"/>
        <v>0</v>
      </c>
    </row>
    <row r="30" spans="1:8" x14ac:dyDescent="0.2">
      <c r="A30" t="s">
        <v>252</v>
      </c>
      <c r="B30" s="35">
        <v>9559.6110000000008</v>
      </c>
      <c r="C30" s="35">
        <v>11204.512000000001</v>
      </c>
      <c r="D30" s="35">
        <v>11911.325000000001</v>
      </c>
      <c r="E30" s="1" t="s">
        <v>81</v>
      </c>
      <c r="F30">
        <f t="shared" si="0"/>
        <v>32.633767123287676</v>
      </c>
    </row>
    <row r="31" spans="1:8" x14ac:dyDescent="0.2">
      <c r="A31" t="s">
        <v>253</v>
      </c>
      <c r="B31" s="35">
        <v>6523.8289999999997</v>
      </c>
      <c r="C31" s="35">
        <v>8158.1670000000004</v>
      </c>
      <c r="D31" s="35">
        <v>3468.5250000000001</v>
      </c>
      <c r="E31" s="1" t="s">
        <v>94</v>
      </c>
      <c r="F31">
        <f t="shared" si="0"/>
        <v>9.5028082191780818</v>
      </c>
    </row>
    <row r="32" spans="1:8" x14ac:dyDescent="0.2">
      <c r="A32" t="s">
        <v>254</v>
      </c>
      <c r="B32" s="35">
        <v>4.6669999999999998</v>
      </c>
      <c r="C32" s="35">
        <v>6.3460000000000001</v>
      </c>
      <c r="D32" s="35">
        <v>8.0749999999999993</v>
      </c>
      <c r="E32" s="1" t="s">
        <v>94</v>
      </c>
      <c r="F32">
        <f t="shared" si="0"/>
        <v>2.2123287671232873E-2</v>
      </c>
    </row>
    <row r="33" spans="1:8" x14ac:dyDescent="0.2">
      <c r="A33" t="s">
        <v>255</v>
      </c>
      <c r="B33" s="35">
        <v>6523.8289999999997</v>
      </c>
      <c r="C33" s="35">
        <v>8158.1670000000004</v>
      </c>
      <c r="D33" s="35">
        <v>698.84699999999998</v>
      </c>
      <c r="E33" s="1" t="s">
        <v>94</v>
      </c>
      <c r="F33">
        <f t="shared" si="0"/>
        <v>1.9146493150684931</v>
      </c>
    </row>
    <row r="34" spans="1:8" x14ac:dyDescent="0.2">
      <c r="A34" t="s">
        <v>256</v>
      </c>
      <c r="B34" s="35">
        <v>6162.7870000000003</v>
      </c>
      <c r="C34" s="35">
        <v>4509.7179999999998</v>
      </c>
      <c r="D34" s="35">
        <v>3243.4229999999998</v>
      </c>
      <c r="E34" s="1" t="s">
        <v>76</v>
      </c>
      <c r="F34">
        <f t="shared" si="0"/>
        <v>8.8860904109589036</v>
      </c>
    </row>
    <row r="35" spans="1:8" x14ac:dyDescent="0.2">
      <c r="A35" t="s">
        <v>257</v>
      </c>
      <c r="B35" s="35">
        <v>76.070999999999998</v>
      </c>
      <c r="C35" s="35">
        <v>89.119</v>
      </c>
      <c r="D35" s="35">
        <v>145.56899999999999</v>
      </c>
      <c r="E35" s="1" t="s">
        <v>104</v>
      </c>
      <c r="F35">
        <f t="shared" si="0"/>
        <v>0.39881917808219175</v>
      </c>
    </row>
    <row r="36" spans="1:8" x14ac:dyDescent="0.2">
      <c r="A36" t="s">
        <v>258</v>
      </c>
      <c r="B36" s="35">
        <v>1334.021</v>
      </c>
      <c r="C36" s="35">
        <v>1821.5219999999999</v>
      </c>
      <c r="D36" s="35">
        <v>2270.2930000000001</v>
      </c>
      <c r="E36" s="1" t="s">
        <v>104</v>
      </c>
      <c r="F36">
        <f t="shared" si="0"/>
        <v>6.219980821917809</v>
      </c>
    </row>
    <row r="37" spans="1:8" x14ac:dyDescent="0.2">
      <c r="A37" t="s">
        <v>259</v>
      </c>
      <c r="B37" s="35">
        <v>3689.7310000000002</v>
      </c>
      <c r="C37" s="35">
        <v>0</v>
      </c>
      <c r="D37" s="35">
        <v>3776.0549999999998</v>
      </c>
      <c r="E37" s="1" t="s">
        <v>195</v>
      </c>
      <c r="F37">
        <f t="shared" si="0"/>
        <v>10.345356164383562</v>
      </c>
    </row>
    <row r="38" spans="1:8" x14ac:dyDescent="0.2">
      <c r="A38" t="s">
        <v>260</v>
      </c>
      <c r="B38" s="35">
        <v>0</v>
      </c>
      <c r="C38" s="35">
        <v>0</v>
      </c>
      <c r="D38" s="35">
        <v>0</v>
      </c>
      <c r="F38">
        <f t="shared" si="0"/>
        <v>0</v>
      </c>
      <c r="H38" t="s">
        <v>291</v>
      </c>
    </row>
    <row r="39" spans="1:8" x14ac:dyDescent="0.2">
      <c r="A39" t="s">
        <v>261</v>
      </c>
      <c r="B39" s="35">
        <v>0</v>
      </c>
      <c r="C39" s="35">
        <v>0</v>
      </c>
      <c r="D39" s="35"/>
      <c r="F39">
        <f t="shared" si="0"/>
        <v>0</v>
      </c>
    </row>
    <row r="40" spans="1:8" x14ac:dyDescent="0.2">
      <c r="A40" t="s">
        <v>262</v>
      </c>
      <c r="B40" s="35">
        <v>686.33399999999995</v>
      </c>
      <c r="C40" s="35">
        <v>822.01599999999996</v>
      </c>
      <c r="D40" s="35">
        <v>932.529</v>
      </c>
      <c r="E40" s="1" t="s">
        <v>85</v>
      </c>
      <c r="F40">
        <f t="shared" si="0"/>
        <v>2.5548739726027399</v>
      </c>
    </row>
    <row r="41" spans="1:8" x14ac:dyDescent="0.2">
      <c r="A41" t="s">
        <v>263</v>
      </c>
      <c r="B41" s="35">
        <v>85.117999999999995</v>
      </c>
      <c r="C41" s="35">
        <v>66.167000000000002</v>
      </c>
      <c r="D41" s="35">
        <v>40.765999999999998</v>
      </c>
      <c r="E41" s="19" t="s">
        <v>85</v>
      </c>
      <c r="F41">
        <f t="shared" si="0"/>
        <v>0.11168767123287671</v>
      </c>
      <c r="H41" t="s">
        <v>292</v>
      </c>
    </row>
    <row r="42" spans="1:8" x14ac:dyDescent="0.2">
      <c r="A42" t="s">
        <v>264</v>
      </c>
      <c r="B42" s="35">
        <v>0</v>
      </c>
      <c r="C42" s="35">
        <v>0</v>
      </c>
      <c r="D42" s="35">
        <v>0</v>
      </c>
      <c r="F42">
        <f t="shared" si="0"/>
        <v>0</v>
      </c>
    </row>
    <row r="43" spans="1:8" x14ac:dyDescent="0.2">
      <c r="A43" t="s">
        <v>265</v>
      </c>
      <c r="B43" s="35">
        <v>39787.256999999998</v>
      </c>
      <c r="C43" s="35">
        <v>37360.771999999997</v>
      </c>
      <c r="D43" s="35">
        <v>35059.578000000001</v>
      </c>
      <c r="E43" s="1" t="s">
        <v>90</v>
      </c>
      <c r="F43">
        <f t="shared" si="0"/>
        <v>96.053638356164385</v>
      </c>
    </row>
    <row r="44" spans="1:8" x14ac:dyDescent="0.2">
      <c r="A44" t="s">
        <v>266</v>
      </c>
      <c r="B44" s="35">
        <v>3093.8470000000002</v>
      </c>
      <c r="C44" s="35">
        <v>2643.7049999999999</v>
      </c>
      <c r="D44" s="35">
        <v>2983.739</v>
      </c>
      <c r="E44" t="s">
        <v>205</v>
      </c>
      <c r="F44">
        <f t="shared" si="0"/>
        <v>8.1746273972602737</v>
      </c>
      <c r="H44" t="s">
        <v>293</v>
      </c>
    </row>
    <row r="45" spans="1:8" x14ac:dyDescent="0.2">
      <c r="A45" t="s">
        <v>267</v>
      </c>
      <c r="B45" s="35">
        <v>0</v>
      </c>
      <c r="C45" s="35">
        <v>0</v>
      </c>
      <c r="D45" s="35">
        <v>0</v>
      </c>
      <c r="F45">
        <f t="shared" si="0"/>
        <v>0</v>
      </c>
    </row>
    <row r="46" spans="1:8" x14ac:dyDescent="0.2">
      <c r="A46" t="s">
        <v>268</v>
      </c>
      <c r="B46" s="35">
        <v>503.95400000000001</v>
      </c>
      <c r="C46" s="35">
        <v>643.67499999999995</v>
      </c>
      <c r="D46" s="35">
        <v>1023.092</v>
      </c>
      <c r="E46" t="s">
        <v>186</v>
      </c>
      <c r="F46">
        <f t="shared" si="0"/>
        <v>2.8029917808219178</v>
      </c>
      <c r="H46" t="s">
        <v>294</v>
      </c>
    </row>
    <row r="47" spans="1:8" x14ac:dyDescent="0.2">
      <c r="A47" t="s">
        <v>269</v>
      </c>
      <c r="B47" s="35">
        <v>351.137</v>
      </c>
      <c r="C47" s="35">
        <v>404.238</v>
      </c>
      <c r="D47" s="35">
        <v>414.34899999999999</v>
      </c>
      <c r="E47" t="s">
        <v>110</v>
      </c>
      <c r="F47">
        <f t="shared" si="0"/>
        <v>1.1352027397260274</v>
      </c>
      <c r="H47" t="s">
        <v>295</v>
      </c>
    </row>
    <row r="48" spans="1:8" x14ac:dyDescent="0.2">
      <c r="A48" t="s">
        <v>270</v>
      </c>
      <c r="B48" s="35">
        <v>1480.8489999999999</v>
      </c>
      <c r="C48" s="35">
        <v>1222.9880000000001</v>
      </c>
      <c r="D48" s="35">
        <v>1575.146</v>
      </c>
      <c r="E48" t="s">
        <v>188</v>
      </c>
      <c r="F48">
        <f t="shared" si="0"/>
        <v>4.3154684931506848</v>
      </c>
      <c r="H48" t="s">
        <v>296</v>
      </c>
    </row>
    <row r="49" spans="1:8" x14ac:dyDescent="0.2">
      <c r="A49" t="s">
        <v>271</v>
      </c>
      <c r="B49" s="35">
        <v>5.9009999999999998</v>
      </c>
      <c r="C49" s="35">
        <v>98.837000000000003</v>
      </c>
      <c r="D49" s="35">
        <v>122.099</v>
      </c>
      <c r="E49" t="s">
        <v>94</v>
      </c>
      <c r="F49">
        <f t="shared" si="0"/>
        <v>0.33451780821917809</v>
      </c>
      <c r="H49" t="s">
        <v>297</v>
      </c>
    </row>
    <row r="50" spans="1:8" x14ac:dyDescent="0.2">
      <c r="A50" t="s">
        <v>272</v>
      </c>
      <c r="B50" s="35">
        <v>0</v>
      </c>
      <c r="C50" s="35">
        <v>0</v>
      </c>
      <c r="D50" s="35">
        <v>0</v>
      </c>
      <c r="F50">
        <f t="shared" si="0"/>
        <v>0</v>
      </c>
    </row>
    <row r="51" spans="1:8" x14ac:dyDescent="0.2">
      <c r="A51" t="s">
        <v>273</v>
      </c>
      <c r="B51" s="35">
        <v>5759.634</v>
      </c>
      <c r="C51" s="35">
        <v>5498.473</v>
      </c>
      <c r="D51" s="35">
        <v>4297.1899999999996</v>
      </c>
      <c r="E51" t="s">
        <v>186</v>
      </c>
      <c r="F51">
        <f t="shared" si="0"/>
        <v>11.773123287671233</v>
      </c>
      <c r="H51" t="s">
        <v>298</v>
      </c>
    </row>
    <row r="53" spans="1:8" x14ac:dyDescent="0.2">
      <c r="A53" s="8" t="s">
        <v>312</v>
      </c>
      <c r="B53" s="44">
        <f>SUM(B2:B51)</f>
        <v>120533.41499999999</v>
      </c>
      <c r="C53" s="44">
        <f t="shared" ref="C53:D53" si="1">SUM(C2:C51)</f>
        <v>113701.202</v>
      </c>
      <c r="D53" s="44">
        <f t="shared" si="1"/>
        <v>108046.26800000003</v>
      </c>
    </row>
  </sheetData>
  <autoFilter ref="A1:H51" xr:uid="{0DA935FD-94E0-3546-BCCF-D34968C9C73A}"/>
  <hyperlinks>
    <hyperlink ref="H8" r:id="rId1" xr:uid="{7A7A57AB-3D6B-0E46-B9A3-67CA6B319D2E}"/>
    <hyperlink ref="H3" r:id="rId2" xr:uid="{2085202B-E0F5-474B-9A20-AE4961961052}"/>
    <hyperlink ref="H17" r:id="rId3" xr:uid="{E2BEB1AF-7CCB-DF45-90A7-ED6F0BAB7BEE}"/>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2444F6-F631-0348-A27B-77CDC677869C}">
  <dimension ref="A1:N24"/>
  <sheetViews>
    <sheetView workbookViewId="0">
      <selection activeCell="H16" sqref="A16:H16"/>
    </sheetView>
  </sheetViews>
  <sheetFormatPr baseColWidth="10" defaultRowHeight="16" x14ac:dyDescent="0.2"/>
  <sheetData>
    <row r="1" spans="1:14" x14ac:dyDescent="0.2">
      <c r="A1" t="s">
        <v>300</v>
      </c>
      <c r="B1" s="37" t="s">
        <v>143</v>
      </c>
    </row>
    <row r="4" spans="1:14" x14ac:dyDescent="0.2">
      <c r="A4" s="1">
        <v>42</v>
      </c>
      <c r="B4" s="19" t="s">
        <v>197</v>
      </c>
      <c r="C4" s="19" t="s">
        <v>163</v>
      </c>
      <c r="D4" s="19" t="s">
        <v>134</v>
      </c>
      <c r="E4" s="19" t="s">
        <v>161</v>
      </c>
      <c r="F4" s="19" t="s">
        <v>90</v>
      </c>
      <c r="G4" s="19" t="s">
        <v>91</v>
      </c>
      <c r="H4" s="1" t="s">
        <v>179</v>
      </c>
      <c r="I4" s="1">
        <v>0</v>
      </c>
      <c r="J4" s="1" t="str">
        <f>IF(I4=100,"Capacity unknown","")</f>
        <v/>
      </c>
      <c r="K4" s="1">
        <f>INDEX(Nodes!$A:$A,MATCH(Extra!F4,Nodes!$B:$B,0))</f>
        <v>57</v>
      </c>
      <c r="L4" s="1">
        <f>INDEX(Nodes!$A:$A,MATCH(Extra!G4,Nodes!$B:$B,0))</f>
        <v>37</v>
      </c>
      <c r="M4" s="2">
        <v>1</v>
      </c>
      <c r="N4" s="3">
        <v>1</v>
      </c>
    </row>
    <row r="5" spans="1:14" x14ac:dyDescent="0.2">
      <c r="A5" s="1">
        <v>43</v>
      </c>
      <c r="B5" s="19" t="s">
        <v>198</v>
      </c>
      <c r="C5" s="19" t="s">
        <v>163</v>
      </c>
      <c r="D5" s="19" t="s">
        <v>134</v>
      </c>
      <c r="E5" s="19" t="s">
        <v>180</v>
      </c>
      <c r="F5" s="19" t="s">
        <v>90</v>
      </c>
      <c r="G5" s="19" t="s">
        <v>91</v>
      </c>
      <c r="H5" s="1" t="s">
        <v>181</v>
      </c>
      <c r="I5" s="1">
        <v>0</v>
      </c>
      <c r="J5" s="1" t="str">
        <f>IF(I5=100,"Capacity unknown","")</f>
        <v/>
      </c>
      <c r="K5" s="1">
        <f>INDEX(Nodes!$A:$A,MATCH(Extra!F5,Nodes!$B:$B,0))</f>
        <v>57</v>
      </c>
      <c r="L5" s="1">
        <f>INDEX(Nodes!$A:$A,MATCH(Extra!G5,Nodes!$B:$B,0))</f>
        <v>37</v>
      </c>
      <c r="M5" s="2">
        <v>1</v>
      </c>
      <c r="N5" s="3">
        <v>1</v>
      </c>
    </row>
    <row r="6" spans="1:14" x14ac:dyDescent="0.2">
      <c r="A6" s="1">
        <v>37</v>
      </c>
      <c r="B6" s="19" t="s">
        <v>173</v>
      </c>
      <c r="C6" s="19" t="s">
        <v>172</v>
      </c>
      <c r="D6" s="19" t="s">
        <v>134</v>
      </c>
      <c r="E6" s="19" t="s">
        <v>146</v>
      </c>
      <c r="F6" s="19" t="s">
        <v>82</v>
      </c>
      <c r="G6" s="19" t="s">
        <v>84</v>
      </c>
      <c r="H6" s="1" t="s">
        <v>174</v>
      </c>
      <c r="I6" s="1">
        <v>0</v>
      </c>
      <c r="J6" s="1" t="str">
        <f>IF(I6=100,"Capacity unknown","")</f>
        <v/>
      </c>
      <c r="K6" s="1" t="e">
        <f>INDEX(Nodes!$A:$A,MATCH(Extra!F6,Nodes!$B:$B,0))</f>
        <v>#N/A</v>
      </c>
      <c r="L6" s="1">
        <f>INDEX(Nodes!$A:$A,MATCH(Extra!G6,Nodes!$B:$B,0))</f>
        <v>44</v>
      </c>
      <c r="M6" s="2">
        <v>1</v>
      </c>
      <c r="N6" s="3">
        <v>1</v>
      </c>
    </row>
    <row r="9" spans="1:14" x14ac:dyDescent="0.2">
      <c r="A9" s="45" t="s">
        <v>313</v>
      </c>
    </row>
    <row r="10" spans="1:14" x14ac:dyDescent="0.2">
      <c r="A10" s="46" t="s">
        <v>313</v>
      </c>
    </row>
    <row r="11" spans="1:14" x14ac:dyDescent="0.2">
      <c r="A11" s="47" t="s">
        <v>314</v>
      </c>
    </row>
    <row r="12" spans="1:14" x14ac:dyDescent="0.2">
      <c r="A12" s="48" t="s">
        <v>315</v>
      </c>
    </row>
    <row r="15" spans="1:14" x14ac:dyDescent="0.2">
      <c r="A15" s="8" t="s">
        <v>109</v>
      </c>
      <c r="B15" s="8" t="s">
        <v>119</v>
      </c>
      <c r="C15" s="8" t="s">
        <v>115</v>
      </c>
      <c r="D15" s="8" t="s">
        <v>120</v>
      </c>
      <c r="E15" s="8" t="s">
        <v>334</v>
      </c>
      <c r="F15" s="8" t="s">
        <v>121</v>
      </c>
      <c r="G15" s="8" t="s">
        <v>122</v>
      </c>
      <c r="H15" s="8" t="s">
        <v>117</v>
      </c>
    </row>
    <row r="16" spans="1:14" x14ac:dyDescent="0.2">
      <c r="A16">
        <f>0</f>
        <v>0</v>
      </c>
      <c r="B16">
        <v>0.4</v>
      </c>
      <c r="C16">
        <v>0</v>
      </c>
      <c r="D16">
        <v>0</v>
      </c>
      <c r="E16">
        <f>4/45</f>
        <v>8.8888888888888892E-2</v>
      </c>
      <c r="F16">
        <f>8/40</f>
        <v>0.2</v>
      </c>
      <c r="G16">
        <f>0.1</f>
        <v>0.1</v>
      </c>
      <c r="H16">
        <v>0.6</v>
      </c>
    </row>
    <row r="17" spans="1:8" x14ac:dyDescent="0.2">
      <c r="A17">
        <v>0</v>
      </c>
      <c r="B17">
        <v>0</v>
      </c>
      <c r="C17">
        <v>0</v>
      </c>
      <c r="D17">
        <v>0</v>
      </c>
      <c r="E17">
        <f>4/45</f>
        <v>8.8888888888888892E-2</v>
      </c>
      <c r="F17">
        <v>0</v>
      </c>
      <c r="G17">
        <v>0</v>
      </c>
      <c r="H17">
        <v>0.05</v>
      </c>
    </row>
    <row r="18" spans="1:8" x14ac:dyDescent="0.2">
      <c r="A18">
        <v>0</v>
      </c>
      <c r="B18">
        <v>0</v>
      </c>
      <c r="C18">
        <v>0</v>
      </c>
      <c r="D18">
        <f>3.5/45</f>
        <v>7.7777777777777779E-2</v>
      </c>
      <c r="E18">
        <v>0</v>
      </c>
      <c r="F18">
        <v>0</v>
      </c>
      <c r="G18">
        <v>0</v>
      </c>
      <c r="H18">
        <v>0</v>
      </c>
    </row>
    <row r="19" spans="1:8" x14ac:dyDescent="0.2">
      <c r="A19">
        <v>0.8</v>
      </c>
      <c r="B19">
        <v>0.57499999999999996</v>
      </c>
      <c r="C19">
        <v>1</v>
      </c>
      <c r="D19">
        <f>40/45</f>
        <v>0.88888888888888884</v>
      </c>
      <c r="E19">
        <f>33/45</f>
        <v>0.73333333333333328</v>
      </c>
      <c r="F19">
        <f>28/40</f>
        <v>0.7</v>
      </c>
      <c r="G19">
        <v>0.9</v>
      </c>
      <c r="H19">
        <v>0.35</v>
      </c>
    </row>
    <row r="20" spans="1:8" x14ac:dyDescent="0.2">
      <c r="A20">
        <v>0</v>
      </c>
      <c r="B20">
        <v>0</v>
      </c>
      <c r="C20">
        <v>0</v>
      </c>
      <c r="D20">
        <f>0.5/45</f>
        <v>1.1111111111111112E-2</v>
      </c>
      <c r="E20">
        <f>1.5/45</f>
        <v>3.3333333333333333E-2</v>
      </c>
      <c r="F20">
        <f>1/40</f>
        <v>2.5000000000000001E-2</v>
      </c>
      <c r="G20">
        <v>0</v>
      </c>
      <c r="H20">
        <v>0</v>
      </c>
    </row>
    <row r="21" spans="1:8" x14ac:dyDescent="0.2">
      <c r="A21">
        <v>0.2</v>
      </c>
      <c r="B21">
        <v>0</v>
      </c>
      <c r="C21">
        <v>0</v>
      </c>
      <c r="D21">
        <f>1/45</f>
        <v>2.2222222222222223E-2</v>
      </c>
      <c r="E21">
        <f>2.5/45</f>
        <v>5.5555555555555552E-2</v>
      </c>
      <c r="F21">
        <f>3/40</f>
        <v>7.4999999999999997E-2</v>
      </c>
      <c r="G21">
        <v>0</v>
      </c>
      <c r="H21">
        <v>0</v>
      </c>
    </row>
    <row r="22" spans="1:8" x14ac:dyDescent="0.2">
      <c r="A22">
        <v>0</v>
      </c>
      <c r="B22">
        <v>0</v>
      </c>
      <c r="C22">
        <v>0</v>
      </c>
      <c r="D22">
        <v>0</v>
      </c>
      <c r="E22">
        <v>0</v>
      </c>
      <c r="F22">
        <v>0</v>
      </c>
      <c r="G22">
        <v>0</v>
      </c>
      <c r="H22">
        <v>0</v>
      </c>
    </row>
    <row r="23" spans="1:8" x14ac:dyDescent="0.2">
      <c r="A23">
        <v>0</v>
      </c>
      <c r="B23">
        <v>2.5000000000000001E-2</v>
      </c>
      <c r="C23">
        <v>0</v>
      </c>
      <c r="D23">
        <v>0</v>
      </c>
      <c r="E23">
        <v>0</v>
      </c>
      <c r="F23">
        <v>0</v>
      </c>
      <c r="G23">
        <v>0</v>
      </c>
      <c r="H23">
        <v>0</v>
      </c>
    </row>
    <row r="24" spans="1:8" x14ac:dyDescent="0.2">
      <c r="A24">
        <f>SUM(A16:A23)</f>
        <v>1</v>
      </c>
      <c r="B24">
        <f t="shared" ref="B24:H24" si="0">SUM(B16:B23)</f>
        <v>1</v>
      </c>
      <c r="C24">
        <f t="shared" si="0"/>
        <v>1</v>
      </c>
      <c r="D24">
        <f>SUM(D16:D23)</f>
        <v>0.99999999999999989</v>
      </c>
      <c r="E24">
        <f>SUM(E16:E23)</f>
        <v>1</v>
      </c>
      <c r="F24">
        <f t="shared" si="0"/>
        <v>0.99999999999999989</v>
      </c>
      <c r="G24">
        <f t="shared" si="0"/>
        <v>1</v>
      </c>
      <c r="H24">
        <f t="shared" si="0"/>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Werkbladen</vt:lpstr>
      </vt:variant>
      <vt:variant>
        <vt:i4>17</vt:i4>
      </vt:variant>
    </vt:vector>
  </HeadingPairs>
  <TitlesOfParts>
    <vt:vector size="17" baseType="lpstr">
      <vt:lpstr>Visualisation</vt:lpstr>
      <vt:lpstr>Units</vt:lpstr>
      <vt:lpstr>Nodes</vt:lpstr>
      <vt:lpstr>Demand Stage 1</vt:lpstr>
      <vt:lpstr>Demand Stage 2</vt:lpstr>
      <vt:lpstr>Demand Stage 3</vt:lpstr>
      <vt:lpstr>SalesPriceGasMix</vt:lpstr>
      <vt:lpstr>SalesPricePureHydrogen</vt:lpstr>
      <vt:lpstr>Parameters</vt:lpstr>
      <vt:lpstr>Arcs</vt:lpstr>
      <vt:lpstr>Traders</vt:lpstr>
      <vt:lpstr>TraderPercentages</vt:lpstr>
      <vt:lpstr>Commodities</vt:lpstr>
      <vt:lpstr>Probabilities</vt:lpstr>
      <vt:lpstr>HydrogenUncertainty</vt:lpstr>
      <vt:lpstr>ProductionCapacities</vt:lpstr>
      <vt:lpstr>Extra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Markhorst, B.T. (Berend)</dc:creator>
  <cp:lastModifiedBy>Markhorst, B.T. (Berend)</cp:lastModifiedBy>
  <dcterms:created xsi:type="dcterms:W3CDTF">2024-08-20T19:36:56Z</dcterms:created>
  <dcterms:modified xsi:type="dcterms:W3CDTF">2025-04-03T10:07:43Z</dcterms:modified>
</cp:coreProperties>
</file>