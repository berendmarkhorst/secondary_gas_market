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endmarkhorst/Library/Mobile Documents/com~apple~CloudDocs/PhD/READINESS/08 - Trondheim/Data/"/>
    </mc:Choice>
  </mc:AlternateContent>
  <xr:revisionPtr revIDLastSave="0" documentId="13_ncr:1_{D38EB058-2698-A943-89DA-BBF6652BB1E7}" xr6:coauthVersionLast="47" xr6:coauthVersionMax="47" xr10:uidLastSave="{00000000-0000-0000-0000-000000000000}"/>
  <bookViews>
    <workbookView xWindow="0" yWindow="500" windowWidth="51200" windowHeight="26860" activeTab="2" xr2:uid="{D82E7092-1A4C-0041-9612-C431AA3B912B}"/>
  </bookViews>
  <sheets>
    <sheet name="Visualisation" sheetId="7" r:id="rId1"/>
    <sheet name="Units" sheetId="6" r:id="rId2"/>
    <sheet name="Nodes" sheetId="2" r:id="rId3"/>
    <sheet name="Demand Stage 2" sheetId="5" r:id="rId4"/>
    <sheet name="Demand Stage 3" sheetId="9" r:id="rId5"/>
    <sheet name="SalesPriceGasMix" sheetId="11" r:id="rId6"/>
    <sheet name="SalesPricePureHydrogen" sheetId="12" r:id="rId7"/>
    <sheet name="Parameters" sheetId="8" r:id="rId8"/>
    <sheet name="Arcs" sheetId="1" r:id="rId9"/>
    <sheet name="Traders" sheetId="3" r:id="rId10"/>
    <sheet name="Commodities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9" l="1"/>
  <c r="E30" i="5"/>
  <c r="CU5" i="9"/>
  <c r="CV5" i="9"/>
  <c r="CW5" i="9"/>
  <c r="DA5" i="9" s="1"/>
  <c r="CT5" i="9"/>
  <c r="DR2" i="9"/>
  <c r="DJ2" i="9"/>
  <c r="DB2" i="9"/>
  <c r="CT2" i="9"/>
  <c r="CL2" i="9"/>
  <c r="CD2" i="9"/>
  <c r="BV2" i="9"/>
  <c r="BN2" i="9"/>
  <c r="BF2" i="9"/>
  <c r="AX2" i="9"/>
  <c r="AP2" i="9"/>
  <c r="AH2" i="9"/>
  <c r="J1" i="9"/>
  <c r="R1" i="9" s="1"/>
  <c r="Z1" i="9" s="1"/>
  <c r="AH1" i="9" s="1"/>
  <c r="AP1" i="9" s="1"/>
  <c r="AX1" i="9" s="1"/>
  <c r="BF1" i="9" s="1"/>
  <c r="BN1" i="9" s="1"/>
  <c r="BV1" i="9" s="1"/>
  <c r="CD1" i="9" s="1"/>
  <c r="CL1" i="9" s="1"/>
  <c r="CT1" i="9" s="1"/>
  <c r="DB1" i="9" s="1"/>
  <c r="DJ1" i="9" s="1"/>
  <c r="DR1" i="9" s="1"/>
  <c r="Z2" i="9"/>
  <c r="R2" i="9"/>
  <c r="J2" i="9"/>
  <c r="B2" i="9"/>
  <c r="E5" i="9"/>
  <c r="I5" i="9" s="1"/>
  <c r="D5" i="9"/>
  <c r="L5" i="9"/>
  <c r="C5" i="9"/>
  <c r="K5" i="9"/>
  <c r="B5" i="9"/>
  <c r="F5" i="9"/>
  <c r="DU9" i="9"/>
  <c r="DT9" i="9"/>
  <c r="DM9" i="9"/>
  <c r="DL9" i="9"/>
  <c r="DE9" i="9"/>
  <c r="DD9" i="9"/>
  <c r="CW9" i="9"/>
  <c r="CV9" i="9"/>
  <c r="DU8" i="9"/>
  <c r="DT8" i="9"/>
  <c r="DM8" i="9"/>
  <c r="DL8" i="9"/>
  <c r="DE8" i="9"/>
  <c r="DD8" i="9"/>
  <c r="CW8" i="9"/>
  <c r="CV8" i="9"/>
  <c r="DX7" i="9"/>
  <c r="DW7" i="9"/>
  <c r="DV7" i="9"/>
  <c r="DU7" i="9"/>
  <c r="DT7" i="9"/>
  <c r="DP7" i="9"/>
  <c r="DO7" i="9"/>
  <c r="DN7" i="9"/>
  <c r="DM7" i="9"/>
  <c r="DL7" i="9"/>
  <c r="DH7" i="9"/>
  <c r="DG7" i="9"/>
  <c r="DF7" i="9"/>
  <c r="DE7" i="9"/>
  <c r="DD7" i="9"/>
  <c r="CZ7" i="9"/>
  <c r="CY7" i="9"/>
  <c r="CX7" i="9"/>
  <c r="CW7" i="9"/>
  <c r="CV7" i="9"/>
  <c r="DU6" i="9"/>
  <c r="DT6" i="9"/>
  <c r="DM6" i="9"/>
  <c r="DL6" i="9"/>
  <c r="DE6" i="9"/>
  <c r="DD6" i="9"/>
  <c r="CW6" i="9"/>
  <c r="CV6" i="9"/>
  <c r="CO9" i="9"/>
  <c r="CN9" i="9"/>
  <c r="CG9" i="9"/>
  <c r="CF9" i="9"/>
  <c r="BY9" i="9"/>
  <c r="BX9" i="9"/>
  <c r="BQ9" i="9"/>
  <c r="BP9" i="9"/>
  <c r="CO8" i="9"/>
  <c r="CN8" i="9"/>
  <c r="CG8" i="9"/>
  <c r="CF8" i="9"/>
  <c r="BY8" i="9"/>
  <c r="BX8" i="9"/>
  <c r="BQ8" i="9"/>
  <c r="BP8" i="9"/>
  <c r="CR7" i="9"/>
  <c r="CQ7" i="9"/>
  <c r="CP7" i="9"/>
  <c r="CO7" i="9"/>
  <c r="CN7" i="9"/>
  <c r="CJ7" i="9"/>
  <c r="CI7" i="9"/>
  <c r="CH7" i="9"/>
  <c r="CG7" i="9"/>
  <c r="CF7" i="9"/>
  <c r="CB7" i="9"/>
  <c r="CA7" i="9"/>
  <c r="BZ7" i="9"/>
  <c r="BY7" i="9"/>
  <c r="BX7" i="9"/>
  <c r="BT7" i="9"/>
  <c r="BS7" i="9"/>
  <c r="BR7" i="9"/>
  <c r="BQ7" i="9"/>
  <c r="BP7" i="9"/>
  <c r="CO6" i="9"/>
  <c r="CN6" i="9"/>
  <c r="CG6" i="9"/>
  <c r="CF6" i="9"/>
  <c r="BY6" i="9"/>
  <c r="BX6" i="9"/>
  <c r="BQ6" i="9"/>
  <c r="BP6" i="9"/>
  <c r="BI9" i="9"/>
  <c r="BH9" i="9"/>
  <c r="BA9" i="9"/>
  <c r="AZ9" i="9"/>
  <c r="AS9" i="9"/>
  <c r="AR9" i="9"/>
  <c r="AK9" i="9"/>
  <c r="AJ9" i="9"/>
  <c r="BI8" i="9"/>
  <c r="BH8" i="9"/>
  <c r="BA8" i="9"/>
  <c r="AZ8" i="9"/>
  <c r="AS8" i="9"/>
  <c r="AR8" i="9"/>
  <c r="AK8" i="9"/>
  <c r="AJ8" i="9"/>
  <c r="BL7" i="9"/>
  <c r="BK7" i="9"/>
  <c r="BJ7" i="9"/>
  <c r="BI7" i="9"/>
  <c r="BH7" i="9"/>
  <c r="BD7" i="9"/>
  <c r="BC7" i="9"/>
  <c r="BB7" i="9"/>
  <c r="BA7" i="9"/>
  <c r="AZ7" i="9"/>
  <c r="AV7" i="9"/>
  <c r="AU7" i="9"/>
  <c r="AT7" i="9"/>
  <c r="AS7" i="9"/>
  <c r="AR7" i="9"/>
  <c r="AN7" i="9"/>
  <c r="AM7" i="9"/>
  <c r="AL7" i="9"/>
  <c r="AK7" i="9"/>
  <c r="AJ7" i="9"/>
  <c r="BI6" i="9"/>
  <c r="BH6" i="9"/>
  <c r="BA6" i="9"/>
  <c r="AZ6" i="9"/>
  <c r="AS6" i="9"/>
  <c r="AR6" i="9"/>
  <c r="AK6" i="9"/>
  <c r="AJ6" i="9"/>
  <c r="AC9" i="9"/>
  <c r="AB9" i="9"/>
  <c r="U9" i="9"/>
  <c r="T9" i="9"/>
  <c r="M9" i="9"/>
  <c r="L9" i="9"/>
  <c r="E9" i="9"/>
  <c r="D9" i="9"/>
  <c r="AC8" i="9"/>
  <c r="AB8" i="9"/>
  <c r="U8" i="9"/>
  <c r="T8" i="9"/>
  <c r="M8" i="9"/>
  <c r="L8" i="9"/>
  <c r="E8" i="9"/>
  <c r="D8" i="9"/>
  <c r="AF7" i="9"/>
  <c r="AE7" i="9"/>
  <c r="AD7" i="9"/>
  <c r="AC7" i="9"/>
  <c r="AB7" i="9"/>
  <c r="X7" i="9"/>
  <c r="W7" i="9"/>
  <c r="V7" i="9"/>
  <c r="U7" i="9"/>
  <c r="T7" i="9"/>
  <c r="P7" i="9"/>
  <c r="O7" i="9"/>
  <c r="N7" i="9"/>
  <c r="M7" i="9"/>
  <c r="L7" i="9"/>
  <c r="H7" i="9"/>
  <c r="G7" i="9"/>
  <c r="F7" i="9"/>
  <c r="E7" i="9"/>
  <c r="D7" i="9"/>
  <c r="AC6" i="9"/>
  <c r="AB6" i="9"/>
  <c r="U6" i="9"/>
  <c r="T6" i="9"/>
  <c r="M6" i="9"/>
  <c r="L6" i="9"/>
  <c r="E6" i="9"/>
  <c r="D6" i="9"/>
  <c r="AB6" i="5"/>
  <c r="AC6" i="5"/>
  <c r="AB7" i="5"/>
  <c r="AC7" i="5"/>
  <c r="AB8" i="5"/>
  <c r="AC8" i="5"/>
  <c r="AC5" i="5"/>
  <c r="AB5" i="5"/>
  <c r="T6" i="5"/>
  <c r="U6" i="5"/>
  <c r="T7" i="5"/>
  <c r="U7" i="5"/>
  <c r="T8" i="5"/>
  <c r="U8" i="5"/>
  <c r="U5" i="5"/>
  <c r="T5" i="5"/>
  <c r="M6" i="5"/>
  <c r="M7" i="5"/>
  <c r="M8" i="5"/>
  <c r="M5" i="5"/>
  <c r="L8" i="5"/>
  <c r="L7" i="5"/>
  <c r="L6" i="5"/>
  <c r="L5" i="5"/>
  <c r="E6" i="5"/>
  <c r="E7" i="5"/>
  <c r="E8" i="5"/>
  <c r="E5" i="5"/>
  <c r="D6" i="5"/>
  <c r="D7" i="5"/>
  <c r="D8" i="5"/>
  <c r="D5" i="5"/>
  <c r="CZ5" i="9"/>
  <c r="CY5" i="9"/>
  <c r="CX5" i="9"/>
  <c r="DE5" i="9"/>
  <c r="DD5" i="9"/>
  <c r="DC5" i="9"/>
  <c r="DB5" i="9"/>
  <c r="M5" i="9"/>
  <c r="AF6" i="5"/>
  <c r="AE6" i="5"/>
  <c r="AD6" i="5"/>
  <c r="X6" i="5"/>
  <c r="W6" i="5"/>
  <c r="V6" i="5"/>
  <c r="AA4" i="5"/>
  <c r="AB4" i="5"/>
  <c r="AC4" i="5"/>
  <c r="Z4" i="5"/>
  <c r="AD4" i="5" s="1"/>
  <c r="S4" i="5"/>
  <c r="T4" i="5"/>
  <c r="U4" i="5"/>
  <c r="R4" i="5"/>
  <c r="V4" i="5" s="1"/>
  <c r="K4" i="5"/>
  <c r="L4" i="5"/>
  <c r="M4" i="5"/>
  <c r="J4" i="5"/>
  <c r="N4" i="5" s="1"/>
  <c r="Q4" i="5"/>
  <c r="P4" i="5"/>
  <c r="O4" i="5"/>
  <c r="Y4" i="5"/>
  <c r="X4" i="5"/>
  <c r="W4" i="5"/>
  <c r="Z2" i="5"/>
  <c r="R2" i="5"/>
  <c r="J2" i="5"/>
  <c r="B2" i="5"/>
  <c r="J1" i="5"/>
  <c r="R1" i="5" s="1"/>
  <c r="Z1" i="5" s="1"/>
  <c r="AG4" i="5"/>
  <c r="AF4" i="5"/>
  <c r="AE4" i="5"/>
  <c r="P6" i="5"/>
  <c r="O6" i="5"/>
  <c r="N6" i="5"/>
  <c r="G6" i="5"/>
  <c r="H6" i="5"/>
  <c r="F6" i="5"/>
  <c r="Z15" i="2"/>
  <c r="Z16" i="2"/>
  <c r="Z17" i="2"/>
  <c r="Z18" i="2"/>
  <c r="Z19" i="2"/>
  <c r="Z20" i="2"/>
  <c r="J5" i="9" l="1"/>
  <c r="G5" i="9"/>
  <c r="H5" i="9"/>
  <c r="DF5" i="9"/>
  <c r="DJ5" i="9"/>
  <c r="DK5" i="9"/>
  <c r="DG5" i="9"/>
  <c r="DL5" i="9"/>
  <c r="DH5" i="9"/>
  <c r="DM5" i="9"/>
  <c r="DI5" i="9"/>
  <c r="R5" i="9"/>
  <c r="N5" i="9"/>
  <c r="S5" i="9"/>
  <c r="O5" i="9"/>
  <c r="T5" i="9"/>
  <c r="P5" i="9"/>
  <c r="U5" i="9"/>
  <c r="Q5" i="9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B30" i="5"/>
  <c r="B4" i="5"/>
  <c r="F4" i="5" s="1"/>
  <c r="AA11" i="2"/>
  <c r="AA12" i="2"/>
  <c r="AA13" i="2"/>
  <c r="AA14" i="2"/>
  <c r="AA15" i="2"/>
  <c r="AA16" i="2"/>
  <c r="AA17" i="2"/>
  <c r="AA18" i="2"/>
  <c r="AA19" i="2"/>
  <c r="AA20" i="2"/>
  <c r="J22" i="2"/>
  <c r="J9" i="2" s="1"/>
  <c r="X11" i="2"/>
  <c r="X12" i="2"/>
  <c r="X13" i="2"/>
  <c r="X14" i="2"/>
  <c r="X15" i="2"/>
  <c r="X16" i="2"/>
  <c r="X17" i="2"/>
  <c r="X18" i="2"/>
  <c r="X19" i="2"/>
  <c r="X20" i="2"/>
  <c r="A9" i="6"/>
  <c r="A8" i="6"/>
  <c r="A7" i="6"/>
  <c r="A6" i="6"/>
  <c r="A5" i="6"/>
  <c r="A4" i="6"/>
  <c r="A3" i="6"/>
  <c r="A2" i="6"/>
  <c r="V1" i="2"/>
  <c r="H1" i="2"/>
  <c r="E4" i="5"/>
  <c r="I4" i="5" s="1"/>
  <c r="D4" i="5"/>
  <c r="H4" i="5" s="1"/>
  <c r="C4" i="5"/>
  <c r="G4" i="5" s="1"/>
  <c r="D4" i="1"/>
  <c r="H4" i="1" s="1"/>
  <c r="D22" i="1"/>
  <c r="H22" i="1" s="1"/>
  <c r="C22" i="1"/>
  <c r="G22" i="1" s="1"/>
  <c r="D21" i="1"/>
  <c r="H21" i="1" s="1"/>
  <c r="C21" i="1"/>
  <c r="G21" i="1" s="1"/>
  <c r="D20" i="1"/>
  <c r="H20" i="1" s="1"/>
  <c r="C20" i="1"/>
  <c r="G20" i="1" s="1"/>
  <c r="D19" i="1"/>
  <c r="H19" i="1" s="1"/>
  <c r="C19" i="1"/>
  <c r="G19" i="1" s="1"/>
  <c r="D18" i="1"/>
  <c r="H18" i="1" s="1"/>
  <c r="C18" i="1"/>
  <c r="G18" i="1" s="1"/>
  <c r="D17" i="1"/>
  <c r="H17" i="1" s="1"/>
  <c r="C17" i="1"/>
  <c r="G17" i="1" s="1"/>
  <c r="D16" i="1"/>
  <c r="H16" i="1" s="1"/>
  <c r="C16" i="1"/>
  <c r="G16" i="1" s="1"/>
  <c r="D15" i="1"/>
  <c r="H15" i="1" s="1"/>
  <c r="C15" i="1"/>
  <c r="G15" i="1" s="1"/>
  <c r="D14" i="1"/>
  <c r="H14" i="1" s="1"/>
  <c r="C14" i="1"/>
  <c r="G14" i="1" s="1"/>
  <c r="D13" i="1"/>
  <c r="H13" i="1" s="1"/>
  <c r="C13" i="1"/>
  <c r="G13" i="1" s="1"/>
  <c r="D12" i="1"/>
  <c r="H12" i="1" s="1"/>
  <c r="C12" i="1"/>
  <c r="G12" i="1" s="1"/>
  <c r="D11" i="1"/>
  <c r="H11" i="1" s="1"/>
  <c r="C11" i="1"/>
  <c r="G11" i="1" s="1"/>
  <c r="D10" i="1"/>
  <c r="H10" i="1" s="1"/>
  <c r="C10" i="1"/>
  <c r="G10" i="1" s="1"/>
  <c r="D9" i="1"/>
  <c r="H9" i="1" s="1"/>
  <c r="C9" i="1"/>
  <c r="G9" i="1" s="1"/>
  <c r="D8" i="1"/>
  <c r="H8" i="1" s="1"/>
  <c r="C8" i="1"/>
  <c r="G8" i="1" s="1"/>
  <c r="D7" i="1"/>
  <c r="H7" i="1" s="1"/>
  <c r="C7" i="1"/>
  <c r="G7" i="1" s="1"/>
  <c r="D6" i="1"/>
  <c r="H6" i="1" s="1"/>
  <c r="C6" i="1"/>
  <c r="G6" i="1" s="1"/>
  <c r="D5" i="1"/>
  <c r="H5" i="1" s="1"/>
  <c r="C5" i="1"/>
  <c r="G5" i="1" s="1"/>
  <c r="C4" i="1"/>
  <c r="G4" i="1" s="1"/>
  <c r="D3" i="1"/>
  <c r="H3" i="1" s="1"/>
  <c r="C3" i="1"/>
  <c r="G3" i="1" s="1"/>
  <c r="D2" i="1"/>
  <c r="H2" i="1" s="1"/>
  <c r="C2" i="1"/>
  <c r="G2" i="1" s="1"/>
  <c r="DU5" i="9" l="1"/>
  <c r="DY5" i="9" s="1"/>
  <c r="DQ5" i="9"/>
  <c r="DP5" i="9"/>
  <c r="DT5" i="9"/>
  <c r="DX5" i="9" s="1"/>
  <c r="DS5" i="9"/>
  <c r="DW5" i="9" s="1"/>
  <c r="DO5" i="9"/>
  <c r="DR5" i="9"/>
  <c r="DV5" i="9" s="1"/>
  <c r="DN5" i="9"/>
  <c r="AC5" i="9"/>
  <c r="Y5" i="9"/>
  <c r="W5" i="9"/>
  <c r="AA5" i="9"/>
  <c r="X5" i="9"/>
  <c r="AB5" i="9"/>
  <c r="V5" i="9"/>
  <c r="Z5" i="9"/>
  <c r="B31" i="9"/>
  <c r="J3" i="2"/>
  <c r="J6" i="2"/>
  <c r="AD5" i="9" l="1"/>
  <c r="AH5" i="9"/>
  <c r="AF5" i="9"/>
  <c r="AJ5" i="9"/>
  <c r="AE5" i="9"/>
  <c r="AI5" i="9"/>
  <c r="AG5" i="9"/>
  <c r="AK5" i="9"/>
  <c r="AO5" i="9" l="1"/>
  <c r="AS5" i="9"/>
  <c r="AM5" i="9"/>
  <c r="AQ5" i="9"/>
  <c r="AN5" i="9"/>
  <c r="AR5" i="9"/>
  <c r="AL5" i="9"/>
  <c r="AP5" i="9"/>
  <c r="AY5" i="9" l="1"/>
  <c r="AU5" i="9"/>
  <c r="AX5" i="9"/>
  <c r="AT5" i="9"/>
  <c r="AZ5" i="9"/>
  <c r="AV5" i="9"/>
  <c r="AW5" i="9"/>
  <c r="BA5" i="9"/>
  <c r="BI5" i="9" l="1"/>
  <c r="BE5" i="9"/>
  <c r="BH5" i="9"/>
  <c r="BD5" i="9"/>
  <c r="BB5" i="9"/>
  <c r="BF5" i="9"/>
  <c r="BC5" i="9"/>
  <c r="BG5" i="9"/>
  <c r="BK5" i="9" l="1"/>
  <c r="BO5" i="9"/>
  <c r="BJ5" i="9"/>
  <c r="BN5" i="9"/>
  <c r="BL5" i="9"/>
  <c r="BP5" i="9"/>
  <c r="BM5" i="9"/>
  <c r="BQ5" i="9"/>
  <c r="BU5" i="9" l="1"/>
  <c r="BY5" i="9"/>
  <c r="BT5" i="9"/>
  <c r="BX5" i="9"/>
  <c r="BV5" i="9"/>
  <c r="BR5" i="9"/>
  <c r="BS5" i="9"/>
  <c r="BW5" i="9"/>
  <c r="CF5" i="9" l="1"/>
  <c r="CB5" i="9"/>
  <c r="CE5" i="9"/>
  <c r="CA5" i="9"/>
  <c r="CC5" i="9"/>
  <c r="CG5" i="9"/>
  <c r="BZ5" i="9"/>
  <c r="CD5" i="9"/>
  <c r="CL5" i="9" l="1"/>
  <c r="CP5" i="9" s="1"/>
  <c r="CH5" i="9"/>
  <c r="CO5" i="9"/>
  <c r="CS5" i="9" s="1"/>
  <c r="CK5" i="9"/>
  <c r="CI5" i="9"/>
  <c r="CM5" i="9"/>
  <c r="CQ5" i="9" s="1"/>
  <c r="CJ5" i="9"/>
  <c r="CN5" i="9"/>
  <c r="CR5" i="9" s="1"/>
</calcChain>
</file>

<file path=xl/sharedStrings.xml><?xml version="1.0" encoding="utf-8"?>
<sst xmlns="http://schemas.openxmlformats.org/spreadsheetml/2006/main" count="249" uniqueCount="126">
  <si>
    <t>ID</t>
  </si>
  <si>
    <t>Name</t>
  </si>
  <si>
    <t>Source</t>
  </si>
  <si>
    <t>Sink</t>
  </si>
  <si>
    <t>Type</t>
  </si>
  <si>
    <t>AreaA</t>
  </si>
  <si>
    <t>Oseberg</t>
  </si>
  <si>
    <t>Heimdal</t>
  </si>
  <si>
    <t>Kollsnes</t>
  </si>
  <si>
    <t>AreaB</t>
  </si>
  <si>
    <t>Nyhamna</t>
  </si>
  <si>
    <t>AreaD</t>
  </si>
  <si>
    <t>Ekofisk</t>
  </si>
  <si>
    <t>NBP</t>
  </si>
  <si>
    <t>Zeebrugge</t>
  </si>
  <si>
    <t>Dunkerque</t>
  </si>
  <si>
    <t>Germany</t>
  </si>
  <si>
    <t>Intermediate 1</t>
  </si>
  <si>
    <t>Field</t>
  </si>
  <si>
    <t>Intermediate node</t>
  </si>
  <si>
    <t>Market</t>
  </si>
  <si>
    <t>Tampen Link</t>
  </si>
  <si>
    <t>Vesterled</t>
  </si>
  <si>
    <t>Langeled</t>
  </si>
  <si>
    <t>Zeepipe</t>
  </si>
  <si>
    <t>Zeepipe II A</t>
  </si>
  <si>
    <t>Zeepipe II B</t>
  </si>
  <si>
    <t>Crossover</t>
  </si>
  <si>
    <t>Statpipe</t>
  </si>
  <si>
    <t>Franpipe</t>
  </si>
  <si>
    <t>Norpipe</t>
  </si>
  <si>
    <t>Europipe I</t>
  </si>
  <si>
    <t>Europipe II</t>
  </si>
  <si>
    <t>Arc 1</t>
  </si>
  <si>
    <t>Arc 2</t>
  </si>
  <si>
    <t>Arc 3</t>
  </si>
  <si>
    <t>Arc 4</t>
  </si>
  <si>
    <t>Source_ID</t>
  </si>
  <si>
    <t>Sink_ID</t>
  </si>
  <si>
    <t>Sleipner</t>
  </si>
  <si>
    <t>Draupner E</t>
  </si>
  <si>
    <t>Draupner S</t>
  </si>
  <si>
    <t>Ekofisk Y</t>
  </si>
  <si>
    <t>Intermediate 2</t>
  </si>
  <si>
    <t>Intermediate 3</t>
  </si>
  <si>
    <t>Intermediate 4</t>
  </si>
  <si>
    <t>Intermediate 5</t>
  </si>
  <si>
    <t>Opmerking</t>
  </si>
  <si>
    <t>Zeker</t>
  </si>
  <si>
    <t>St Fergus</t>
  </si>
  <si>
    <t>gas</t>
  </si>
  <si>
    <t>hydrogen</t>
  </si>
  <si>
    <t>Hour</t>
  </si>
  <si>
    <t>Demand</t>
  </si>
  <si>
    <t>Vermoeden</t>
  </si>
  <si>
    <t>Unit</t>
  </si>
  <si>
    <t>Explanation</t>
  </si>
  <si>
    <t>Quantity</t>
  </si>
  <si>
    <t>NOK / MSm3</t>
  </si>
  <si>
    <t>MSm3</t>
  </si>
  <si>
    <t>MSm3/h</t>
  </si>
  <si>
    <t xml:space="preserve">Mega (or million) standard cubic metres per hour. One standard cubic meter means the amount of gas which occupies a Cubic Meter at fifteen (15) Degrees Celsius and a pressure of one hundred one decimal three two five (101.325) kPa. </t>
  </si>
  <si>
    <t>Andere data</t>
  </si>
  <si>
    <t>Overleg met Ruud</t>
  </si>
  <si>
    <t>Google</t>
  </si>
  <si>
    <t>Ruud &amp; Google</t>
  </si>
  <si>
    <t>Ruud (Google; 21,2?)</t>
  </si>
  <si>
    <t>Ruud (Google; 27?)</t>
  </si>
  <si>
    <t>Total Production Cap</t>
  </si>
  <si>
    <t>Known Prod Cap</t>
  </si>
  <si>
    <t>Probability</t>
  </si>
  <si>
    <t>gas or mix</t>
  </si>
  <si>
    <t>pure hydrogen</t>
  </si>
  <si>
    <t>Loss rate</t>
  </si>
  <si>
    <t>Allowed percentage</t>
  </si>
  <si>
    <t>Gamma</t>
  </si>
  <si>
    <t>Capacity</t>
  </si>
  <si>
    <t>Node Number</t>
  </si>
  <si>
    <t>Parent Node Number</t>
  </si>
  <si>
    <t>Stage 2 nodes</t>
  </si>
  <si>
    <t>Stage 3 nodes</t>
  </si>
  <si>
    <t>Value</t>
  </si>
  <si>
    <t>Production Capacity Gas</t>
  </si>
  <si>
    <t>Entry Capacity Gas</t>
  </si>
  <si>
    <t>Exit Capacity Gas</t>
  </si>
  <si>
    <t>Production Costs Gas</t>
  </si>
  <si>
    <t>Storage Capacity Gas</t>
  </si>
  <si>
    <t>Entry Storage Costs Gas</t>
  </si>
  <si>
    <t>Entry Costs Gas Stage 1</t>
  </si>
  <si>
    <t>Exit Costs Gas Stage 1</t>
  </si>
  <si>
    <t>Entry Costs Gas Stage 2</t>
  </si>
  <si>
    <t>Exit Costs Gas Stage 2</t>
  </si>
  <si>
    <t>Entry Costs Gas Stage 3</t>
  </si>
  <si>
    <t>Exit Costs Gas Stage 3</t>
  </si>
  <si>
    <t>Production Capacity Hydrogen</t>
  </si>
  <si>
    <t>Entry Capacity Hydrogen</t>
  </si>
  <si>
    <t>Exit Capacity Hydrogen</t>
  </si>
  <si>
    <t>Production Costs Hydrogen</t>
  </si>
  <si>
    <t>Storage Capacity Hydrogen</t>
  </si>
  <si>
    <t>Entry Storage Costs Hydrogen</t>
  </si>
  <si>
    <t>Entry Costs Hydrogen Stage 1</t>
  </si>
  <si>
    <t>Exit Costs Hydrogen Stage 1</t>
  </si>
  <si>
    <t>Entry Costs Hydrogen Stage 2</t>
  </si>
  <si>
    <t>Exit Costs Hydrogen Stage 2</t>
  </si>
  <si>
    <t>Entry Costs Hydrogen Stage 3</t>
  </si>
  <si>
    <t>Exit Costs Hydrogen Stage 3</t>
  </si>
  <si>
    <t>Number hours</t>
  </si>
  <si>
    <t>Number markets</t>
  </si>
  <si>
    <t>Number shippers</t>
  </si>
  <si>
    <t>Flow costs Gas</t>
  </si>
  <si>
    <t>Flow costs Hydrogen</t>
  </si>
  <si>
    <t>X_coordinate</t>
  </si>
  <si>
    <t>Y_coordinate</t>
  </si>
  <si>
    <t>Karsto</t>
  </si>
  <si>
    <t>Asgard Transport</t>
  </si>
  <si>
    <t>Original Capacity</t>
  </si>
  <si>
    <t>Niet op Gassco</t>
  </si>
  <si>
    <t>TSO entry costs Gas</t>
  </si>
  <si>
    <t>TSO exit costs Gas</t>
  </si>
  <si>
    <t>TSO entry costs Hydrogen</t>
  </si>
  <si>
    <t>TSO exit costs Hydrogen</t>
  </si>
  <si>
    <t>Extra Pipe nr 1</t>
  </si>
  <si>
    <t>Extra Pipe nr 2</t>
  </si>
  <si>
    <t>Basis</t>
  </si>
  <si>
    <t>Trader 1</t>
  </si>
  <si>
    <t>Trader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</si>
</sst>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9C0006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2"/>
      <color rgb="FF20212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7CE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3" fillId="3" borderId="1" xfId="2" applyBorder="1"/>
    <xf numFmtId="0" fontId="2" fillId="2" borderId="1" xfId="1" applyBorder="1"/>
    <xf numFmtId="0" fontId="4" fillId="0" borderId="1" xfId="0" applyFont="1" applyBorder="1"/>
    <xf numFmtId="0" fontId="5" fillId="3" borderId="1" xfId="2" applyFont="1" applyBorder="1"/>
    <xf numFmtId="0" fontId="6" fillId="2" borderId="1" xfId="1" applyFont="1" applyBorder="1"/>
    <xf numFmtId="0" fontId="4" fillId="0" borderId="2" xfId="0" applyFont="1" applyBorder="1"/>
    <xf numFmtId="0" fontId="4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left"/>
    </xf>
    <xf numFmtId="2" fontId="3" fillId="3" borderId="1" xfId="2" applyNumberFormat="1" applyBorder="1"/>
    <xf numFmtId="0" fontId="8" fillId="0" borderId="0" xfId="0" applyFont="1"/>
    <xf numFmtId="0" fontId="9" fillId="0" borderId="0" xfId="0" applyFont="1"/>
    <xf numFmtId="0" fontId="0" fillId="0" borderId="8" xfId="0" applyBorder="1"/>
    <xf numFmtId="0" fontId="3" fillId="3" borderId="8" xfId="2" applyBorder="1"/>
    <xf numFmtId="0" fontId="2" fillId="2" borderId="9" xfId="1" applyBorder="1"/>
    <xf numFmtId="0" fontId="2" fillId="2" borderId="8" xfId="1" applyBorder="1"/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0" fontId="3" fillId="4" borderId="1" xfId="0" applyFont="1" applyFill="1" applyBorder="1"/>
    <xf numFmtId="0" fontId="3" fillId="4" borderId="4" xfId="0" applyFont="1" applyFill="1" applyBorder="1"/>
    <xf numFmtId="0" fontId="3" fillId="4" borderId="12" xfId="0" applyFont="1" applyFill="1" applyBorder="1"/>
    <xf numFmtId="0" fontId="3" fillId="4" borderId="6" xfId="0" applyFont="1" applyFill="1" applyBorder="1"/>
    <xf numFmtId="0" fontId="5" fillId="3" borderId="5" xfId="2" applyFont="1" applyBorder="1" applyAlignment="1">
      <alignment horizontal="center"/>
    </xf>
    <xf numFmtId="0" fontId="5" fillId="3" borderId="6" xfId="2" applyFont="1" applyBorder="1" applyAlignment="1">
      <alignment horizontal="center"/>
    </xf>
    <xf numFmtId="0" fontId="6" fillId="2" borderId="7" xfId="1" applyFont="1" applyBorder="1" applyAlignment="1">
      <alignment horizontal="center"/>
    </xf>
    <xf numFmtId="0" fontId="6" fillId="2" borderId="5" xfId="1" applyFont="1" applyBorder="1" applyAlignment="1">
      <alignment horizontal="center"/>
    </xf>
    <xf numFmtId="0" fontId="6" fillId="2" borderId="6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2" applyFont="1" applyBorder="1" applyAlignment="1">
      <alignment horizontal="center"/>
    </xf>
    <xf numFmtId="0" fontId="6" fillId="2" borderId="1" xfId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482600</xdr:colOff>
      <xdr:row>43</xdr:row>
      <xdr:rowOff>41796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7A31461-9373-886D-0EDC-D298F3EB7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65100" cy="87793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8315-FBE0-CA4C-9EFE-0A9542346138}">
  <dimension ref="A1"/>
  <sheetViews>
    <sheetView workbookViewId="0">
      <selection activeCell="S30" sqref="S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4DE0-7BAC-1F4D-92A3-44AE62829735}">
  <dimension ref="A1:C10"/>
  <sheetViews>
    <sheetView zoomScale="200" zoomScaleNormal="200" workbookViewId="0">
      <selection activeCell="H27" sqref="H27"/>
    </sheetView>
  </sheetViews>
  <sheetFormatPr baseColWidth="10" defaultRowHeight="16" x14ac:dyDescent="0.2"/>
  <cols>
    <col min="1" max="1" width="17.33203125" bestFit="1" customWidth="1"/>
    <col min="2" max="2" width="12" bestFit="1" customWidth="1"/>
    <col min="3" max="3" width="60.5" customWidth="1"/>
  </cols>
  <sheetData>
    <row r="1" spans="1:3" x14ac:dyDescent="0.2">
      <c r="A1" s="4" t="s">
        <v>57</v>
      </c>
      <c r="B1" s="4" t="s">
        <v>55</v>
      </c>
      <c r="C1" s="4" t="s">
        <v>56</v>
      </c>
    </row>
    <row r="2" spans="1:3" ht="68" x14ac:dyDescent="0.2">
      <c r="A2" s="1" t="str">
        <f>Nodes!J2</f>
        <v>Production Capacity Gas</v>
      </c>
      <c r="B2" s="9" t="s">
        <v>60</v>
      </c>
      <c r="C2" s="10" t="s">
        <v>61</v>
      </c>
    </row>
    <row r="3" spans="1:3" x14ac:dyDescent="0.2">
      <c r="A3" s="1" t="str">
        <f>Nodes!M2</f>
        <v>Production Costs Gas</v>
      </c>
      <c r="B3" s="1" t="s">
        <v>58</v>
      </c>
      <c r="C3" s="1"/>
    </row>
    <row r="4" spans="1:3" ht="19" x14ac:dyDescent="0.2">
      <c r="A4" s="1" t="str">
        <f>Nodes!N2</f>
        <v>Storage Capacity Gas</v>
      </c>
      <c r="B4" s="9" t="s">
        <v>59</v>
      </c>
      <c r="C4" s="9"/>
    </row>
    <row r="5" spans="1:3" x14ac:dyDescent="0.2">
      <c r="A5" s="1" t="str">
        <f>Nodes!O2</f>
        <v>Entry Storage Costs Gas</v>
      </c>
      <c r="B5" s="1" t="s">
        <v>58</v>
      </c>
      <c r="C5" s="1"/>
    </row>
    <row r="6" spans="1:3" x14ac:dyDescent="0.2">
      <c r="A6" s="1" t="str">
        <f>Nodes!P2</f>
        <v>Entry Costs Gas Stage 1</v>
      </c>
      <c r="B6" s="1" t="s">
        <v>58</v>
      </c>
      <c r="C6" s="1"/>
    </row>
    <row r="7" spans="1:3" x14ac:dyDescent="0.2">
      <c r="A7" s="1" t="str">
        <f>Nodes!Q2</f>
        <v>Exit Costs Gas Stage 1</v>
      </c>
      <c r="B7" s="1" t="s">
        <v>58</v>
      </c>
      <c r="C7" s="1"/>
    </row>
    <row r="8" spans="1:3" x14ac:dyDescent="0.2">
      <c r="A8" s="1" t="str">
        <f>Arcs!I1</f>
        <v>Flow costs Gas</v>
      </c>
      <c r="B8" s="1" t="s">
        <v>58</v>
      </c>
      <c r="C8" s="1"/>
    </row>
    <row r="9" spans="1:3" ht="19" x14ac:dyDescent="0.2">
      <c r="A9" s="1" t="str">
        <f>Arcs!E1</f>
        <v>Capacity</v>
      </c>
      <c r="B9" s="9" t="s">
        <v>60</v>
      </c>
      <c r="C9" s="9"/>
    </row>
    <row r="10" spans="1:3" ht="19" x14ac:dyDescent="0.2">
      <c r="A10" s="1" t="s">
        <v>53</v>
      </c>
      <c r="B10" s="9" t="s">
        <v>60</v>
      </c>
      <c r="C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5746-A1B1-6F4F-9762-CACD4A91B5F2}">
  <dimension ref="A1:AI23"/>
  <sheetViews>
    <sheetView tabSelected="1" topLeftCell="K1" zoomScale="180" zoomScaleNormal="180" workbookViewId="0">
      <selection activeCell="U19" sqref="U19"/>
    </sheetView>
  </sheetViews>
  <sheetFormatPr baseColWidth="10" defaultRowHeight="16" x14ac:dyDescent="0.2"/>
  <cols>
    <col min="1" max="1" width="3.1640625" bestFit="1" customWidth="1"/>
    <col min="2" max="2" width="13.33203125" bestFit="1" customWidth="1"/>
    <col min="3" max="3" width="16.5" bestFit="1" customWidth="1"/>
    <col min="4" max="5" width="16.5" customWidth="1"/>
    <col min="6" max="6" width="10.6640625" bestFit="1" customWidth="1"/>
    <col min="7" max="7" width="18.1640625" bestFit="1" customWidth="1"/>
    <col min="8" max="9" width="18.1640625" customWidth="1"/>
    <col min="10" max="10" width="21.6640625" bestFit="1" customWidth="1"/>
    <col min="11" max="11" width="16.83203125" bestFit="1" customWidth="1"/>
    <col min="12" max="12" width="15.5" bestFit="1" customWidth="1"/>
    <col min="13" max="14" width="18.83203125" bestFit="1" customWidth="1"/>
    <col min="15" max="15" width="21" bestFit="1" customWidth="1"/>
    <col min="16" max="16" width="20.83203125" bestFit="1" customWidth="1"/>
    <col min="17" max="17" width="19.6640625" bestFit="1" customWidth="1"/>
    <col min="18" max="18" width="20.83203125" bestFit="1" customWidth="1"/>
    <col min="19" max="19" width="19.6640625" bestFit="1" customWidth="1"/>
    <col min="20" max="20" width="20.83203125" bestFit="1" customWidth="1"/>
    <col min="21" max="21" width="19.6640625" bestFit="1" customWidth="1"/>
    <col min="22" max="22" width="23" bestFit="1" customWidth="1"/>
    <col min="23" max="23" width="21.6640625" bestFit="1" customWidth="1"/>
    <col min="24" max="24" width="27" bestFit="1" customWidth="1"/>
    <col min="25" max="25" width="22" bestFit="1" customWidth="1"/>
    <col min="26" max="26" width="20.5" bestFit="1" customWidth="1"/>
    <col min="27" max="27" width="24.1640625" bestFit="1" customWidth="1"/>
    <col min="28" max="28" width="24" bestFit="1" customWidth="1"/>
    <col min="29" max="29" width="26.1640625" bestFit="1" customWidth="1"/>
    <col min="30" max="30" width="25.83203125" bestFit="1" customWidth="1"/>
    <col min="31" max="31" width="24.6640625" bestFit="1" customWidth="1"/>
    <col min="32" max="32" width="25.83203125" bestFit="1" customWidth="1"/>
    <col min="33" max="33" width="24.6640625" bestFit="1" customWidth="1"/>
    <col min="34" max="34" width="25.83203125" bestFit="1" customWidth="1"/>
    <col min="35" max="35" width="24.6640625" bestFit="1" customWidth="1"/>
  </cols>
  <sheetData>
    <row r="1" spans="1:35" x14ac:dyDescent="0.2">
      <c r="A1" s="8"/>
      <c r="B1" s="8"/>
      <c r="C1" s="8"/>
      <c r="D1" s="8"/>
      <c r="E1" s="8"/>
      <c r="F1" s="8"/>
      <c r="G1" s="8"/>
      <c r="H1" s="28" t="str">
        <f>Commodities!B2</f>
        <v>gas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9"/>
      <c r="V1" s="30" t="str">
        <f>Commodities!B3</f>
        <v>hydrogen</v>
      </c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2"/>
    </row>
    <row r="2" spans="1:35" x14ac:dyDescent="0.2">
      <c r="A2" s="4" t="s">
        <v>0</v>
      </c>
      <c r="B2" s="4" t="s">
        <v>1</v>
      </c>
      <c r="C2" s="4" t="s">
        <v>4</v>
      </c>
      <c r="D2" s="4" t="s">
        <v>111</v>
      </c>
      <c r="E2" s="4" t="s">
        <v>112</v>
      </c>
      <c r="F2" s="4" t="s">
        <v>54</v>
      </c>
      <c r="G2" s="7" t="s">
        <v>2</v>
      </c>
      <c r="H2" s="5" t="s">
        <v>117</v>
      </c>
      <c r="I2" s="5" t="s">
        <v>118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87</v>
      </c>
      <c r="P2" s="5" t="s">
        <v>88</v>
      </c>
      <c r="Q2" s="5" t="s">
        <v>89</v>
      </c>
      <c r="R2" s="5" t="s">
        <v>90</v>
      </c>
      <c r="S2" s="5" t="s">
        <v>91</v>
      </c>
      <c r="T2" s="5" t="s">
        <v>92</v>
      </c>
      <c r="U2" s="5" t="s">
        <v>93</v>
      </c>
      <c r="V2" s="6" t="s">
        <v>119</v>
      </c>
      <c r="W2" s="6" t="s">
        <v>120</v>
      </c>
      <c r="X2" s="6" t="s">
        <v>94</v>
      </c>
      <c r="Y2" s="6" t="s">
        <v>95</v>
      </c>
      <c r="Z2" s="6" t="s">
        <v>96</v>
      </c>
      <c r="AA2" s="6" t="s">
        <v>97</v>
      </c>
      <c r="AB2" s="6" t="s">
        <v>98</v>
      </c>
      <c r="AC2" s="6" t="s">
        <v>99</v>
      </c>
      <c r="AD2" s="6" t="s">
        <v>100</v>
      </c>
      <c r="AE2" s="6" t="s">
        <v>101</v>
      </c>
      <c r="AF2" s="6" t="s">
        <v>102</v>
      </c>
      <c r="AG2" s="6" t="s">
        <v>103</v>
      </c>
      <c r="AH2" s="6" t="s">
        <v>104</v>
      </c>
      <c r="AI2" s="6" t="s">
        <v>105</v>
      </c>
    </row>
    <row r="3" spans="1:35" x14ac:dyDescent="0.2">
      <c r="A3" s="1">
        <v>1</v>
      </c>
      <c r="B3" s="1" t="s">
        <v>5</v>
      </c>
      <c r="C3" s="1" t="s">
        <v>18</v>
      </c>
      <c r="D3" s="1">
        <v>8</v>
      </c>
      <c r="E3" s="1">
        <v>50</v>
      </c>
      <c r="F3" s="1"/>
      <c r="G3" s="11"/>
      <c r="H3" s="2">
        <v>5</v>
      </c>
      <c r="I3" s="2">
        <v>5</v>
      </c>
      <c r="J3" s="13">
        <f>($J$23-$J$22)/3</f>
        <v>24.933333333333337</v>
      </c>
      <c r="K3" s="13">
        <v>500</v>
      </c>
      <c r="L3" s="13">
        <v>0</v>
      </c>
      <c r="M3" s="2">
        <v>1</v>
      </c>
      <c r="N3" s="2">
        <v>0</v>
      </c>
      <c r="O3" s="2">
        <v>0</v>
      </c>
      <c r="P3" s="2">
        <v>1</v>
      </c>
      <c r="Q3" s="2">
        <v>1</v>
      </c>
      <c r="R3" s="2">
        <v>0.2</v>
      </c>
      <c r="S3" s="2">
        <v>0.2</v>
      </c>
      <c r="T3" s="2">
        <v>0.3</v>
      </c>
      <c r="U3" s="2">
        <v>0.3</v>
      </c>
      <c r="V3" s="3">
        <v>5</v>
      </c>
      <c r="W3" s="3">
        <v>5</v>
      </c>
      <c r="X3" s="3">
        <v>0</v>
      </c>
      <c r="Y3" s="3">
        <v>0</v>
      </c>
      <c r="Z3" s="3">
        <v>0</v>
      </c>
      <c r="AA3" s="3">
        <v>0</v>
      </c>
      <c r="AB3" s="3">
        <v>100</v>
      </c>
      <c r="AC3" s="3">
        <v>1</v>
      </c>
      <c r="AD3" s="3">
        <v>1</v>
      </c>
      <c r="AE3" s="3">
        <v>1</v>
      </c>
      <c r="AF3" s="3">
        <v>3</v>
      </c>
      <c r="AG3" s="3">
        <v>3</v>
      </c>
      <c r="AH3" s="3">
        <v>5</v>
      </c>
      <c r="AI3" s="3">
        <v>5</v>
      </c>
    </row>
    <row r="4" spans="1:35" x14ac:dyDescent="0.2">
      <c r="A4" s="1">
        <v>2</v>
      </c>
      <c r="B4" s="1" t="s">
        <v>6</v>
      </c>
      <c r="C4" s="1" t="s">
        <v>18</v>
      </c>
      <c r="D4" s="1">
        <v>7</v>
      </c>
      <c r="E4" s="1">
        <v>45</v>
      </c>
      <c r="F4" s="1"/>
      <c r="G4" t="s">
        <v>67</v>
      </c>
      <c r="H4" s="2">
        <v>5</v>
      </c>
      <c r="I4" s="2">
        <v>5</v>
      </c>
      <c r="J4" s="13">
        <v>27</v>
      </c>
      <c r="K4" s="13">
        <v>500</v>
      </c>
      <c r="L4" s="13">
        <v>0</v>
      </c>
      <c r="M4" s="2">
        <v>1</v>
      </c>
      <c r="N4" s="2">
        <v>0</v>
      </c>
      <c r="O4" s="2">
        <v>0</v>
      </c>
      <c r="P4" s="2">
        <v>1</v>
      </c>
      <c r="Q4" s="2">
        <v>1</v>
      </c>
      <c r="R4" s="2">
        <v>0.2</v>
      </c>
      <c r="S4" s="2">
        <v>0.2</v>
      </c>
      <c r="T4" s="2">
        <v>0.3</v>
      </c>
      <c r="U4" s="2">
        <v>0.3</v>
      </c>
      <c r="V4" s="3">
        <v>5</v>
      </c>
      <c r="W4" s="3">
        <v>5</v>
      </c>
      <c r="X4" s="3">
        <v>100</v>
      </c>
      <c r="Y4" s="3">
        <v>100</v>
      </c>
      <c r="Z4" s="3">
        <v>0</v>
      </c>
      <c r="AA4" s="3">
        <v>1</v>
      </c>
      <c r="AB4" s="3">
        <v>100</v>
      </c>
      <c r="AC4" s="3">
        <v>1</v>
      </c>
      <c r="AD4" s="3">
        <v>1</v>
      </c>
      <c r="AE4" s="3">
        <v>1</v>
      </c>
      <c r="AF4" s="3">
        <v>3</v>
      </c>
      <c r="AG4" s="3">
        <v>3</v>
      </c>
      <c r="AH4" s="3">
        <v>5</v>
      </c>
      <c r="AI4" s="3">
        <v>5</v>
      </c>
    </row>
    <row r="5" spans="1:35" x14ac:dyDescent="0.2">
      <c r="A5" s="1">
        <v>3</v>
      </c>
      <c r="B5" s="1" t="s">
        <v>7</v>
      </c>
      <c r="C5" s="1" t="s">
        <v>18</v>
      </c>
      <c r="D5" s="1">
        <v>9</v>
      </c>
      <c r="E5" s="1">
        <v>40</v>
      </c>
      <c r="F5" s="1"/>
      <c r="G5" s="12" t="s">
        <v>65</v>
      </c>
      <c r="H5" s="2">
        <v>5</v>
      </c>
      <c r="I5" s="2">
        <v>5</v>
      </c>
      <c r="J5" s="13">
        <v>0</v>
      </c>
      <c r="K5" s="13">
        <v>500</v>
      </c>
      <c r="L5" s="13">
        <v>0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0.2</v>
      </c>
      <c r="S5" s="2">
        <v>0.2</v>
      </c>
      <c r="T5" s="2">
        <v>0.3</v>
      </c>
      <c r="U5" s="2">
        <v>0.3</v>
      </c>
      <c r="V5" s="3">
        <v>5</v>
      </c>
      <c r="W5" s="3">
        <v>5</v>
      </c>
      <c r="X5" s="3">
        <v>0</v>
      </c>
      <c r="Y5" s="3">
        <v>0</v>
      </c>
      <c r="Z5" s="3">
        <v>0</v>
      </c>
      <c r="AA5" s="3">
        <v>0</v>
      </c>
      <c r="AB5" s="3">
        <v>100</v>
      </c>
      <c r="AC5" s="3">
        <v>1</v>
      </c>
      <c r="AD5" s="3">
        <v>1</v>
      </c>
      <c r="AE5" s="3">
        <v>1</v>
      </c>
      <c r="AF5" s="3">
        <v>3</v>
      </c>
      <c r="AG5" s="3">
        <v>3</v>
      </c>
      <c r="AH5" s="3">
        <v>5</v>
      </c>
      <c r="AI5" s="3">
        <v>5</v>
      </c>
    </row>
    <row r="6" spans="1:35" x14ac:dyDescent="0.2">
      <c r="A6" s="1">
        <v>4</v>
      </c>
      <c r="B6" s="1" t="s">
        <v>9</v>
      </c>
      <c r="C6" s="1" t="s">
        <v>18</v>
      </c>
      <c r="D6" s="1">
        <v>14</v>
      </c>
      <c r="E6" s="1">
        <v>40</v>
      </c>
      <c r="F6" s="1"/>
      <c r="G6" s="11"/>
      <c r="H6" s="2">
        <v>5</v>
      </c>
      <c r="I6" s="2">
        <v>5</v>
      </c>
      <c r="J6" s="13">
        <f>($J$23-$J$22)/3</f>
        <v>24.933333333333337</v>
      </c>
      <c r="K6" s="13">
        <v>500</v>
      </c>
      <c r="L6" s="13">
        <v>0</v>
      </c>
      <c r="M6" s="2">
        <v>1</v>
      </c>
      <c r="N6" s="2">
        <v>0</v>
      </c>
      <c r="O6" s="2">
        <v>0</v>
      </c>
      <c r="P6" s="2">
        <v>1</v>
      </c>
      <c r="Q6" s="2">
        <v>1</v>
      </c>
      <c r="R6" s="2">
        <v>0.2</v>
      </c>
      <c r="S6" s="2">
        <v>0.2</v>
      </c>
      <c r="T6" s="2">
        <v>0.3</v>
      </c>
      <c r="U6" s="2">
        <v>0.3</v>
      </c>
      <c r="V6" s="3">
        <v>5</v>
      </c>
      <c r="W6" s="3">
        <v>5</v>
      </c>
      <c r="X6" s="3">
        <v>0</v>
      </c>
      <c r="Y6" s="3">
        <v>0</v>
      </c>
      <c r="Z6" s="3">
        <v>0</v>
      </c>
      <c r="AA6" s="3">
        <v>0</v>
      </c>
      <c r="AB6" s="3">
        <v>100</v>
      </c>
      <c r="AC6" s="3">
        <v>1</v>
      </c>
      <c r="AD6" s="3">
        <v>1</v>
      </c>
      <c r="AE6" s="3">
        <v>1</v>
      </c>
      <c r="AF6" s="3">
        <v>3</v>
      </c>
      <c r="AG6" s="3">
        <v>3</v>
      </c>
      <c r="AH6" s="3">
        <v>5</v>
      </c>
      <c r="AI6" s="3">
        <v>5</v>
      </c>
    </row>
    <row r="7" spans="1:35" x14ac:dyDescent="0.2">
      <c r="A7" s="1">
        <v>5</v>
      </c>
      <c r="B7" s="1" t="s">
        <v>8</v>
      </c>
      <c r="C7" s="1" t="s">
        <v>18</v>
      </c>
      <c r="D7" s="1">
        <v>8</v>
      </c>
      <c r="E7" s="1">
        <v>35</v>
      </c>
      <c r="F7" s="1"/>
      <c r="G7" s="11" t="s">
        <v>64</v>
      </c>
      <c r="H7" s="2">
        <v>5</v>
      </c>
      <c r="I7" s="2">
        <v>5</v>
      </c>
      <c r="J7" s="13">
        <v>143</v>
      </c>
      <c r="K7" s="13">
        <v>500</v>
      </c>
      <c r="L7" s="13">
        <v>0</v>
      </c>
      <c r="M7" s="2">
        <v>1</v>
      </c>
      <c r="N7" s="2">
        <v>0</v>
      </c>
      <c r="O7" s="2">
        <v>0</v>
      </c>
      <c r="P7" s="2">
        <v>1</v>
      </c>
      <c r="Q7" s="2">
        <v>1</v>
      </c>
      <c r="R7" s="2">
        <v>0.2</v>
      </c>
      <c r="S7" s="2">
        <v>0.2</v>
      </c>
      <c r="T7" s="2">
        <v>0.3</v>
      </c>
      <c r="U7" s="2">
        <v>0.3</v>
      </c>
      <c r="V7" s="3">
        <v>5</v>
      </c>
      <c r="W7" s="3">
        <v>5</v>
      </c>
      <c r="X7" s="3">
        <v>0</v>
      </c>
      <c r="Y7" s="3">
        <v>0</v>
      </c>
      <c r="Z7" s="3">
        <v>0</v>
      </c>
      <c r="AA7" s="3">
        <v>0</v>
      </c>
      <c r="AB7" s="3">
        <v>100</v>
      </c>
      <c r="AC7" s="3">
        <v>1</v>
      </c>
      <c r="AD7" s="3">
        <v>1</v>
      </c>
      <c r="AE7" s="3">
        <v>1</v>
      </c>
      <c r="AF7" s="3">
        <v>3</v>
      </c>
      <c r="AG7" s="3">
        <v>3</v>
      </c>
      <c r="AH7" s="3">
        <v>5</v>
      </c>
      <c r="AI7" s="3">
        <v>5</v>
      </c>
    </row>
    <row r="8" spans="1:35" x14ac:dyDescent="0.2">
      <c r="A8" s="1">
        <v>6</v>
      </c>
      <c r="B8" s="1" t="s">
        <v>10</v>
      </c>
      <c r="C8" s="1" t="s">
        <v>18</v>
      </c>
      <c r="D8" s="1">
        <v>6</v>
      </c>
      <c r="E8" s="1">
        <v>32</v>
      </c>
      <c r="F8" s="1"/>
      <c r="G8" s="11"/>
      <c r="H8" s="2">
        <v>5</v>
      </c>
      <c r="I8" s="2">
        <v>5</v>
      </c>
      <c r="J8" s="13">
        <v>84</v>
      </c>
      <c r="K8" s="13">
        <v>500</v>
      </c>
      <c r="L8" s="13">
        <v>0</v>
      </c>
      <c r="M8" s="2">
        <v>1</v>
      </c>
      <c r="N8" s="2">
        <v>0</v>
      </c>
      <c r="O8" s="2">
        <v>0</v>
      </c>
      <c r="P8" s="2">
        <v>1</v>
      </c>
      <c r="Q8" s="2">
        <v>1</v>
      </c>
      <c r="R8" s="2">
        <v>0.2</v>
      </c>
      <c r="S8" s="2">
        <v>0.2</v>
      </c>
      <c r="T8" s="2">
        <v>0.3</v>
      </c>
      <c r="U8" s="2">
        <v>0.3</v>
      </c>
      <c r="V8" s="3">
        <v>5</v>
      </c>
      <c r="W8" s="3">
        <v>5</v>
      </c>
      <c r="X8" s="3">
        <v>0</v>
      </c>
      <c r="Y8" s="3">
        <v>0</v>
      </c>
      <c r="Z8" s="3">
        <v>0</v>
      </c>
      <c r="AA8" s="3">
        <v>0</v>
      </c>
      <c r="AB8" s="3">
        <v>100</v>
      </c>
      <c r="AC8" s="3">
        <v>1</v>
      </c>
      <c r="AD8" s="3">
        <v>1</v>
      </c>
      <c r="AE8" s="3">
        <v>1</v>
      </c>
      <c r="AF8" s="3">
        <v>3</v>
      </c>
      <c r="AG8" s="3">
        <v>3</v>
      </c>
      <c r="AH8" s="3">
        <v>5</v>
      </c>
      <c r="AI8" s="3">
        <v>5</v>
      </c>
    </row>
    <row r="9" spans="1:35" x14ac:dyDescent="0.2">
      <c r="A9" s="1">
        <v>7</v>
      </c>
      <c r="B9" s="1" t="s">
        <v>11</v>
      </c>
      <c r="C9" s="1" t="s">
        <v>18</v>
      </c>
      <c r="D9" s="1">
        <v>4</v>
      </c>
      <c r="E9" s="1">
        <v>25</v>
      </c>
      <c r="F9" s="1"/>
      <c r="G9" s="11"/>
      <c r="H9" s="2">
        <v>5</v>
      </c>
      <c r="I9" s="2">
        <v>5</v>
      </c>
      <c r="J9" s="13">
        <f>($J$23-$J$22)/3</f>
        <v>24.933333333333337</v>
      </c>
      <c r="K9" s="13">
        <v>500</v>
      </c>
      <c r="L9" s="13">
        <v>0</v>
      </c>
      <c r="M9" s="2">
        <v>1</v>
      </c>
      <c r="N9" s="2">
        <v>0</v>
      </c>
      <c r="O9" s="2">
        <v>0</v>
      </c>
      <c r="P9" s="2">
        <v>1</v>
      </c>
      <c r="Q9" s="2">
        <v>1</v>
      </c>
      <c r="R9" s="2">
        <v>0.2</v>
      </c>
      <c r="S9" s="2">
        <v>0.2</v>
      </c>
      <c r="T9" s="2">
        <v>0.3</v>
      </c>
      <c r="U9" s="2">
        <v>0.3</v>
      </c>
      <c r="V9" s="3">
        <v>5</v>
      </c>
      <c r="W9" s="3">
        <v>5</v>
      </c>
      <c r="X9" s="3">
        <v>0</v>
      </c>
      <c r="Y9" s="3">
        <v>0</v>
      </c>
      <c r="Z9" s="3">
        <v>0</v>
      </c>
      <c r="AA9" s="3">
        <v>0</v>
      </c>
      <c r="AB9" s="3">
        <v>100</v>
      </c>
      <c r="AC9" s="3">
        <v>1</v>
      </c>
      <c r="AD9" s="3">
        <v>1</v>
      </c>
      <c r="AE9" s="3">
        <v>1</v>
      </c>
      <c r="AF9" s="3">
        <v>3</v>
      </c>
      <c r="AG9" s="3">
        <v>3</v>
      </c>
      <c r="AH9" s="3">
        <v>5</v>
      </c>
      <c r="AI9" s="3">
        <v>5</v>
      </c>
    </row>
    <row r="10" spans="1:35" x14ac:dyDescent="0.2">
      <c r="A10" s="1">
        <v>8</v>
      </c>
      <c r="B10" s="1" t="s">
        <v>12</v>
      </c>
      <c r="C10" s="1" t="s">
        <v>18</v>
      </c>
      <c r="D10" s="1">
        <v>12</v>
      </c>
      <c r="E10" s="1">
        <v>28</v>
      </c>
      <c r="F10" s="1"/>
      <c r="G10" t="s">
        <v>66</v>
      </c>
      <c r="H10" s="2">
        <v>5</v>
      </c>
      <c r="I10" s="2">
        <v>5</v>
      </c>
      <c r="J10" s="13">
        <v>21.2</v>
      </c>
      <c r="K10" s="13">
        <v>500</v>
      </c>
      <c r="L10" s="13">
        <v>0</v>
      </c>
      <c r="M10" s="2">
        <v>1</v>
      </c>
      <c r="N10" s="2">
        <v>0</v>
      </c>
      <c r="O10" s="2">
        <v>0</v>
      </c>
      <c r="P10" s="2">
        <v>1</v>
      </c>
      <c r="Q10" s="2">
        <v>1</v>
      </c>
      <c r="R10" s="2">
        <v>0.2</v>
      </c>
      <c r="S10" s="2">
        <v>0.2</v>
      </c>
      <c r="T10" s="2">
        <v>0.3</v>
      </c>
      <c r="U10" s="2">
        <v>0.3</v>
      </c>
      <c r="V10" s="3">
        <v>5</v>
      </c>
      <c r="W10" s="3">
        <v>5</v>
      </c>
      <c r="X10" s="3">
        <v>100</v>
      </c>
      <c r="Y10" s="3">
        <v>100</v>
      </c>
      <c r="Z10" s="3">
        <v>0</v>
      </c>
      <c r="AA10" s="3">
        <v>1</v>
      </c>
      <c r="AB10" s="3">
        <v>100</v>
      </c>
      <c r="AC10" s="3">
        <v>1</v>
      </c>
      <c r="AD10" s="3">
        <v>1</v>
      </c>
      <c r="AE10" s="3">
        <v>1</v>
      </c>
      <c r="AF10" s="3">
        <v>3</v>
      </c>
      <c r="AG10" s="3">
        <v>3</v>
      </c>
      <c r="AH10" s="3">
        <v>5</v>
      </c>
      <c r="AI10" s="3">
        <v>5</v>
      </c>
    </row>
    <row r="11" spans="1:35" x14ac:dyDescent="0.2">
      <c r="A11" s="1">
        <v>9</v>
      </c>
      <c r="B11" s="1" t="s">
        <v>13</v>
      </c>
      <c r="C11" s="1" t="s">
        <v>20</v>
      </c>
      <c r="D11" s="1">
        <v>2</v>
      </c>
      <c r="E11" s="1">
        <v>20</v>
      </c>
      <c r="F11" s="1"/>
      <c r="G11" s="11"/>
      <c r="H11" s="2">
        <v>5</v>
      </c>
      <c r="I11" s="2">
        <v>5</v>
      </c>
      <c r="J11" s="2">
        <v>0</v>
      </c>
      <c r="K11" s="2">
        <v>0</v>
      </c>
      <c r="L11" s="2">
        <v>500</v>
      </c>
      <c r="M11" s="2">
        <v>1</v>
      </c>
      <c r="N11" s="2">
        <v>0</v>
      </c>
      <c r="O11" s="2">
        <v>0</v>
      </c>
      <c r="P11" s="2">
        <v>1</v>
      </c>
      <c r="Q11" s="2">
        <v>1</v>
      </c>
      <c r="R11" s="2">
        <v>0.2</v>
      </c>
      <c r="S11" s="2">
        <v>0.2</v>
      </c>
      <c r="T11" s="2">
        <v>0.3</v>
      </c>
      <c r="U11" s="2">
        <v>0.3</v>
      </c>
      <c r="V11" s="3">
        <v>5</v>
      </c>
      <c r="W11" s="3">
        <v>5</v>
      </c>
      <c r="X11" s="3">
        <f t="shared" ref="X11:X20" si="0">J11</f>
        <v>0</v>
      </c>
      <c r="Y11" s="3">
        <v>0</v>
      </c>
      <c r="Z11" s="3">
        <v>200</v>
      </c>
      <c r="AA11" s="3">
        <f t="shared" ref="AA11:AA20" si="1">O11</f>
        <v>0</v>
      </c>
      <c r="AB11" s="3">
        <v>100</v>
      </c>
      <c r="AC11" s="3">
        <v>1</v>
      </c>
      <c r="AD11" s="3">
        <v>1</v>
      </c>
      <c r="AE11" s="3">
        <v>1</v>
      </c>
      <c r="AF11" s="3">
        <v>3</v>
      </c>
      <c r="AG11" s="3">
        <v>3</v>
      </c>
      <c r="AH11" s="3">
        <v>5</v>
      </c>
      <c r="AI11" s="3">
        <v>5</v>
      </c>
    </row>
    <row r="12" spans="1:35" x14ac:dyDescent="0.2">
      <c r="A12" s="1">
        <v>10</v>
      </c>
      <c r="B12" s="1" t="s">
        <v>14</v>
      </c>
      <c r="C12" s="1" t="s">
        <v>20</v>
      </c>
      <c r="D12" s="1">
        <v>5</v>
      </c>
      <c r="E12" s="1">
        <v>15</v>
      </c>
      <c r="F12" s="1"/>
      <c r="G12" s="11"/>
      <c r="H12" s="2">
        <v>5</v>
      </c>
      <c r="I12" s="2">
        <v>5</v>
      </c>
      <c r="J12" s="2">
        <v>0</v>
      </c>
      <c r="K12" s="2">
        <v>0</v>
      </c>
      <c r="L12" s="2">
        <v>500</v>
      </c>
      <c r="M12" s="2">
        <v>1</v>
      </c>
      <c r="N12" s="2">
        <v>0</v>
      </c>
      <c r="O12" s="2">
        <v>0</v>
      </c>
      <c r="P12" s="2">
        <v>1</v>
      </c>
      <c r="Q12" s="2">
        <v>1</v>
      </c>
      <c r="R12" s="2">
        <v>0.2</v>
      </c>
      <c r="S12" s="2">
        <v>0.2</v>
      </c>
      <c r="T12" s="2">
        <v>0.3</v>
      </c>
      <c r="U12" s="2">
        <v>0.3</v>
      </c>
      <c r="V12" s="3">
        <v>5</v>
      </c>
      <c r="W12" s="3">
        <v>5</v>
      </c>
      <c r="X12" s="3">
        <f t="shared" si="0"/>
        <v>0</v>
      </c>
      <c r="Y12" s="3">
        <v>0</v>
      </c>
      <c r="Z12" s="3">
        <v>200</v>
      </c>
      <c r="AA12" s="3">
        <f t="shared" si="1"/>
        <v>0</v>
      </c>
      <c r="AB12" s="3">
        <v>100</v>
      </c>
      <c r="AC12" s="3">
        <v>1</v>
      </c>
      <c r="AD12" s="3">
        <v>1</v>
      </c>
      <c r="AE12" s="3">
        <v>1</v>
      </c>
      <c r="AF12" s="3">
        <v>3</v>
      </c>
      <c r="AG12" s="3">
        <v>3</v>
      </c>
      <c r="AH12" s="3">
        <v>5</v>
      </c>
      <c r="AI12" s="3">
        <v>5</v>
      </c>
    </row>
    <row r="13" spans="1:35" x14ac:dyDescent="0.2">
      <c r="A13" s="1">
        <v>11</v>
      </c>
      <c r="B13" s="1" t="s">
        <v>15</v>
      </c>
      <c r="C13" s="1" t="s">
        <v>20</v>
      </c>
      <c r="D13" s="1">
        <v>9</v>
      </c>
      <c r="E13" s="1">
        <v>10</v>
      </c>
      <c r="F13" s="1"/>
      <c r="G13" s="11"/>
      <c r="H13" s="2">
        <v>5</v>
      </c>
      <c r="I13" s="2">
        <v>5</v>
      </c>
      <c r="J13" s="2">
        <v>0</v>
      </c>
      <c r="K13" s="2">
        <v>0</v>
      </c>
      <c r="L13" s="2">
        <v>500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0.2</v>
      </c>
      <c r="S13" s="2">
        <v>0.2</v>
      </c>
      <c r="T13" s="2">
        <v>0.3</v>
      </c>
      <c r="U13" s="2">
        <v>0.3</v>
      </c>
      <c r="V13" s="3">
        <v>5</v>
      </c>
      <c r="W13" s="3">
        <v>5</v>
      </c>
      <c r="X13" s="3">
        <f t="shared" si="0"/>
        <v>0</v>
      </c>
      <c r="Y13" s="3">
        <v>0</v>
      </c>
      <c r="Z13" s="3">
        <v>200</v>
      </c>
      <c r="AA13" s="3">
        <f t="shared" si="1"/>
        <v>0</v>
      </c>
      <c r="AB13" s="3">
        <v>100</v>
      </c>
      <c r="AC13" s="3">
        <v>1</v>
      </c>
      <c r="AD13" s="3">
        <v>1</v>
      </c>
      <c r="AE13" s="3">
        <v>1</v>
      </c>
      <c r="AF13" s="3">
        <v>3</v>
      </c>
      <c r="AG13" s="3">
        <v>3</v>
      </c>
      <c r="AH13" s="3">
        <v>5</v>
      </c>
      <c r="AI13" s="3">
        <v>5</v>
      </c>
    </row>
    <row r="14" spans="1:35" x14ac:dyDescent="0.2">
      <c r="A14" s="1">
        <v>12</v>
      </c>
      <c r="B14" s="1" t="s">
        <v>16</v>
      </c>
      <c r="C14" s="1" t="s">
        <v>20</v>
      </c>
      <c r="D14" s="1">
        <v>15</v>
      </c>
      <c r="E14" s="1">
        <v>5</v>
      </c>
      <c r="F14" s="1"/>
      <c r="G14" s="11"/>
      <c r="H14" s="2">
        <v>5</v>
      </c>
      <c r="I14" s="2">
        <v>5</v>
      </c>
      <c r="J14" s="2">
        <v>0</v>
      </c>
      <c r="K14" s="2">
        <v>0</v>
      </c>
      <c r="L14" s="2">
        <v>500</v>
      </c>
      <c r="M14" s="2">
        <v>1</v>
      </c>
      <c r="N14" s="2">
        <v>0</v>
      </c>
      <c r="O14" s="2">
        <v>0</v>
      </c>
      <c r="P14" s="2">
        <v>1</v>
      </c>
      <c r="Q14" s="2">
        <v>1</v>
      </c>
      <c r="R14" s="2">
        <v>0.2</v>
      </c>
      <c r="S14" s="2">
        <v>0.2</v>
      </c>
      <c r="T14" s="2">
        <v>0.3</v>
      </c>
      <c r="U14" s="2">
        <v>0.3</v>
      </c>
      <c r="V14" s="3">
        <v>5</v>
      </c>
      <c r="W14" s="3">
        <v>5</v>
      </c>
      <c r="X14" s="3">
        <f t="shared" si="0"/>
        <v>0</v>
      </c>
      <c r="Y14" s="3">
        <v>0</v>
      </c>
      <c r="Z14" s="3">
        <v>200</v>
      </c>
      <c r="AA14" s="3">
        <f t="shared" si="1"/>
        <v>0</v>
      </c>
      <c r="AB14" s="3">
        <v>100</v>
      </c>
      <c r="AC14" s="3">
        <v>1</v>
      </c>
      <c r="AD14" s="3">
        <v>1</v>
      </c>
      <c r="AE14" s="3">
        <v>1</v>
      </c>
      <c r="AF14" s="3">
        <v>3</v>
      </c>
      <c r="AG14" s="3">
        <v>3</v>
      </c>
      <c r="AH14" s="3">
        <v>5</v>
      </c>
      <c r="AI14" s="3">
        <v>5</v>
      </c>
    </row>
    <row r="15" spans="1:35" x14ac:dyDescent="0.2">
      <c r="A15" s="1">
        <v>13</v>
      </c>
      <c r="B15" s="1" t="s">
        <v>17</v>
      </c>
      <c r="C15" s="1" t="s">
        <v>19</v>
      </c>
      <c r="D15" s="1">
        <v>6</v>
      </c>
      <c r="E15" s="1">
        <v>37</v>
      </c>
      <c r="F15" s="1" t="s">
        <v>49</v>
      </c>
      <c r="G15" s="11"/>
      <c r="H15" s="2">
        <v>5</v>
      </c>
      <c r="I15" s="2">
        <v>5</v>
      </c>
      <c r="J15" s="2">
        <v>0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0.2</v>
      </c>
      <c r="S15" s="2">
        <v>0.2</v>
      </c>
      <c r="T15" s="2">
        <v>0.3</v>
      </c>
      <c r="U15" s="2">
        <v>0.3</v>
      </c>
      <c r="V15" s="3">
        <v>5</v>
      </c>
      <c r="W15" s="3">
        <v>5</v>
      </c>
      <c r="X15" s="3">
        <f t="shared" si="0"/>
        <v>0</v>
      </c>
      <c r="Y15" s="3">
        <v>0</v>
      </c>
      <c r="Z15" s="3">
        <f t="shared" ref="Z15:Z20" si="2">N15</f>
        <v>0</v>
      </c>
      <c r="AA15" s="3">
        <f t="shared" si="1"/>
        <v>0</v>
      </c>
      <c r="AB15" s="3">
        <v>100</v>
      </c>
      <c r="AC15" s="3">
        <v>1</v>
      </c>
      <c r="AD15" s="3">
        <v>1</v>
      </c>
      <c r="AE15" s="3">
        <v>1</v>
      </c>
      <c r="AF15" s="3">
        <v>3</v>
      </c>
      <c r="AG15" s="3">
        <v>3</v>
      </c>
      <c r="AH15" s="3">
        <v>5</v>
      </c>
      <c r="AI15" s="3">
        <v>5</v>
      </c>
    </row>
    <row r="16" spans="1:35" x14ac:dyDescent="0.2">
      <c r="A16" s="1">
        <v>14</v>
      </c>
      <c r="B16" s="1" t="s">
        <v>43</v>
      </c>
      <c r="C16" s="1" t="s">
        <v>19</v>
      </c>
      <c r="D16" s="1">
        <v>11</v>
      </c>
      <c r="E16" s="1">
        <v>30</v>
      </c>
      <c r="F16" s="1" t="s">
        <v>40</v>
      </c>
      <c r="G16" s="11"/>
      <c r="H16" s="2">
        <v>5</v>
      </c>
      <c r="I16" s="2">
        <v>5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1</v>
      </c>
      <c r="Q16" s="2">
        <v>1</v>
      </c>
      <c r="R16" s="2">
        <v>0.2</v>
      </c>
      <c r="S16" s="2">
        <v>0.2</v>
      </c>
      <c r="T16" s="2">
        <v>0.3</v>
      </c>
      <c r="U16" s="2">
        <v>0.3</v>
      </c>
      <c r="V16" s="3">
        <v>5</v>
      </c>
      <c r="W16" s="3">
        <v>5</v>
      </c>
      <c r="X16" s="3">
        <f t="shared" si="0"/>
        <v>0</v>
      </c>
      <c r="Y16" s="3">
        <v>0</v>
      </c>
      <c r="Z16" s="3">
        <f t="shared" si="2"/>
        <v>0</v>
      </c>
      <c r="AA16" s="3">
        <f t="shared" si="1"/>
        <v>0</v>
      </c>
      <c r="AB16" s="3">
        <v>100</v>
      </c>
      <c r="AC16" s="3">
        <v>1</v>
      </c>
      <c r="AD16" s="3">
        <v>1</v>
      </c>
      <c r="AE16" s="3">
        <v>1</v>
      </c>
      <c r="AF16" s="3">
        <v>3</v>
      </c>
      <c r="AG16" s="3">
        <v>3</v>
      </c>
      <c r="AH16" s="3">
        <v>5</v>
      </c>
      <c r="AI16" s="3">
        <v>5</v>
      </c>
    </row>
    <row r="17" spans="1:35" x14ac:dyDescent="0.2">
      <c r="A17" s="1">
        <v>15</v>
      </c>
      <c r="B17" s="1" t="s">
        <v>44</v>
      </c>
      <c r="C17" s="1" t="s">
        <v>19</v>
      </c>
      <c r="D17" s="1">
        <v>7</v>
      </c>
      <c r="E17" s="1">
        <v>25</v>
      </c>
      <c r="F17" s="1" t="s">
        <v>39</v>
      </c>
      <c r="G17" s="11"/>
      <c r="H17" s="2">
        <v>5</v>
      </c>
      <c r="I17" s="2">
        <v>5</v>
      </c>
      <c r="J17" s="2">
        <v>0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1</v>
      </c>
      <c r="R17" s="2">
        <v>0.2</v>
      </c>
      <c r="S17" s="2">
        <v>0.2</v>
      </c>
      <c r="T17" s="2">
        <v>0.3</v>
      </c>
      <c r="U17" s="2">
        <v>0.3</v>
      </c>
      <c r="V17" s="3">
        <v>5</v>
      </c>
      <c r="W17" s="3">
        <v>5</v>
      </c>
      <c r="X17" s="3">
        <f t="shared" si="0"/>
        <v>0</v>
      </c>
      <c r="Y17" s="3">
        <v>0</v>
      </c>
      <c r="Z17" s="3">
        <f t="shared" si="2"/>
        <v>0</v>
      </c>
      <c r="AA17" s="3">
        <f t="shared" si="1"/>
        <v>0</v>
      </c>
      <c r="AB17" s="3">
        <v>100</v>
      </c>
      <c r="AC17" s="3">
        <v>1</v>
      </c>
      <c r="AD17" s="3">
        <v>1</v>
      </c>
      <c r="AE17" s="3">
        <v>1</v>
      </c>
      <c r="AF17" s="3">
        <v>3</v>
      </c>
      <c r="AG17" s="3">
        <v>3</v>
      </c>
      <c r="AH17" s="3">
        <v>5</v>
      </c>
      <c r="AI17" s="3">
        <v>5</v>
      </c>
    </row>
    <row r="18" spans="1:35" x14ac:dyDescent="0.2">
      <c r="A18" s="1">
        <v>16</v>
      </c>
      <c r="B18" s="1" t="s">
        <v>45</v>
      </c>
      <c r="C18" s="1" t="s">
        <v>19</v>
      </c>
      <c r="D18" s="1">
        <v>12</v>
      </c>
      <c r="E18" s="1">
        <v>22</v>
      </c>
      <c r="F18" s="1" t="s">
        <v>41</v>
      </c>
      <c r="G18" s="11"/>
      <c r="H18" s="2">
        <v>5</v>
      </c>
      <c r="I18" s="2">
        <v>5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1</v>
      </c>
      <c r="Q18" s="2">
        <v>1</v>
      </c>
      <c r="R18" s="2">
        <v>0.2</v>
      </c>
      <c r="S18" s="2">
        <v>0.2</v>
      </c>
      <c r="T18" s="2">
        <v>0.3</v>
      </c>
      <c r="U18" s="2">
        <v>0.3</v>
      </c>
      <c r="V18" s="3">
        <v>5</v>
      </c>
      <c r="W18" s="3">
        <v>5</v>
      </c>
      <c r="X18" s="3">
        <f t="shared" si="0"/>
        <v>0</v>
      </c>
      <c r="Y18" s="3">
        <v>0</v>
      </c>
      <c r="Z18" s="3">
        <f t="shared" si="2"/>
        <v>0</v>
      </c>
      <c r="AA18" s="3">
        <f t="shared" si="1"/>
        <v>0</v>
      </c>
      <c r="AB18" s="3">
        <v>100</v>
      </c>
      <c r="AC18" s="3">
        <v>1</v>
      </c>
      <c r="AD18" s="3">
        <v>1</v>
      </c>
      <c r="AE18" s="3">
        <v>1</v>
      </c>
      <c r="AF18" s="3">
        <v>3</v>
      </c>
      <c r="AG18" s="3">
        <v>3</v>
      </c>
      <c r="AH18" s="3">
        <v>5</v>
      </c>
      <c r="AI18" s="3">
        <v>5</v>
      </c>
    </row>
    <row r="19" spans="1:35" x14ac:dyDescent="0.2">
      <c r="A19" s="1">
        <v>17</v>
      </c>
      <c r="B19" s="1" t="s">
        <v>46</v>
      </c>
      <c r="C19" s="1" t="s">
        <v>19</v>
      </c>
      <c r="D19" s="1">
        <v>14</v>
      </c>
      <c r="E19" s="1">
        <v>16</v>
      </c>
      <c r="F19" s="1" t="s">
        <v>42</v>
      </c>
      <c r="G19" s="11"/>
      <c r="H19" s="2">
        <v>5</v>
      </c>
      <c r="I19" s="2">
        <v>5</v>
      </c>
      <c r="J19" s="2">
        <v>0</v>
      </c>
      <c r="K19" s="2">
        <v>0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0.2</v>
      </c>
      <c r="S19" s="2">
        <v>0.2</v>
      </c>
      <c r="T19" s="2">
        <v>0.3</v>
      </c>
      <c r="U19" s="2">
        <v>0.3</v>
      </c>
      <c r="V19" s="3">
        <v>5</v>
      </c>
      <c r="W19" s="3">
        <v>5</v>
      </c>
      <c r="X19" s="3">
        <f t="shared" si="0"/>
        <v>0</v>
      </c>
      <c r="Y19" s="3">
        <v>0</v>
      </c>
      <c r="Z19" s="3">
        <f t="shared" si="2"/>
        <v>0</v>
      </c>
      <c r="AA19" s="3">
        <f t="shared" si="1"/>
        <v>0</v>
      </c>
      <c r="AB19" s="3">
        <v>100</v>
      </c>
      <c r="AC19" s="3">
        <v>1</v>
      </c>
      <c r="AD19" s="3">
        <v>1</v>
      </c>
      <c r="AE19" s="3">
        <v>1</v>
      </c>
      <c r="AF19" s="3">
        <v>3</v>
      </c>
      <c r="AG19" s="3">
        <v>3</v>
      </c>
      <c r="AH19" s="3">
        <v>5</v>
      </c>
      <c r="AI19" s="3">
        <v>5</v>
      </c>
    </row>
    <row r="20" spans="1:35" x14ac:dyDescent="0.2">
      <c r="A20" s="1">
        <v>18</v>
      </c>
      <c r="B20" s="1" t="s">
        <v>113</v>
      </c>
      <c r="C20" s="1" t="s">
        <v>19</v>
      </c>
      <c r="D20" s="1">
        <v>15</v>
      </c>
      <c r="E20" s="1">
        <v>25</v>
      </c>
      <c r="F20" s="1"/>
      <c r="G20" s="11"/>
      <c r="H20" s="2">
        <v>5</v>
      </c>
      <c r="I20" s="2">
        <v>5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1</v>
      </c>
      <c r="Q20" s="2">
        <v>1</v>
      </c>
      <c r="R20" s="2">
        <v>0.2</v>
      </c>
      <c r="S20" s="2">
        <v>0.2</v>
      </c>
      <c r="T20" s="2">
        <v>0.3</v>
      </c>
      <c r="U20" s="2">
        <v>0.3</v>
      </c>
      <c r="V20" s="3">
        <v>5</v>
      </c>
      <c r="W20" s="3">
        <v>5</v>
      </c>
      <c r="X20" s="3">
        <f t="shared" si="0"/>
        <v>0</v>
      </c>
      <c r="Y20" s="3">
        <v>0</v>
      </c>
      <c r="Z20" s="3">
        <f t="shared" si="2"/>
        <v>0</v>
      </c>
      <c r="AA20" s="3">
        <f t="shared" si="1"/>
        <v>0</v>
      </c>
      <c r="AB20" s="3">
        <v>100</v>
      </c>
      <c r="AC20" s="3">
        <v>1</v>
      </c>
      <c r="AD20" s="3">
        <v>1</v>
      </c>
      <c r="AE20" s="3">
        <v>1</v>
      </c>
      <c r="AF20" s="3">
        <v>3</v>
      </c>
      <c r="AG20" s="3">
        <v>3</v>
      </c>
      <c r="AH20" s="3">
        <v>5</v>
      </c>
      <c r="AI20" s="3">
        <v>5</v>
      </c>
    </row>
    <row r="22" spans="1:35" x14ac:dyDescent="0.2">
      <c r="G22" t="s">
        <v>69</v>
      </c>
      <c r="J22">
        <f>SUM(J10+J8+J7+J5+J4)</f>
        <v>275.2</v>
      </c>
    </row>
    <row r="23" spans="1:35" x14ac:dyDescent="0.2">
      <c r="G23" t="s">
        <v>68</v>
      </c>
      <c r="J23">
        <v>350</v>
      </c>
    </row>
  </sheetData>
  <mergeCells count="2">
    <mergeCell ref="H1:U1"/>
    <mergeCell ref="V1:AI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2E87-5CF7-794D-A1AA-7C1926221C7B}">
  <dimension ref="A1:AG35"/>
  <sheetViews>
    <sheetView topLeftCell="F1" zoomScale="125" zoomScaleNormal="200" workbookViewId="0">
      <selection activeCell="B2" sqref="B2:I2"/>
    </sheetView>
  </sheetViews>
  <sheetFormatPr baseColWidth="10" defaultRowHeight="16" x14ac:dyDescent="0.2"/>
  <cols>
    <col min="1" max="1" width="15.33203125" bestFit="1" customWidth="1"/>
    <col min="2" max="2" width="11.33203125" bestFit="1" customWidth="1"/>
    <col min="3" max="3" width="16" bestFit="1" customWidth="1"/>
  </cols>
  <sheetData>
    <row r="1" spans="1:33" x14ac:dyDescent="0.2">
      <c r="A1" s="4" t="s">
        <v>77</v>
      </c>
      <c r="B1" s="33">
        <v>2</v>
      </c>
      <c r="C1" s="33"/>
      <c r="D1" s="33"/>
      <c r="E1" s="33"/>
      <c r="F1" s="33"/>
      <c r="G1" s="33"/>
      <c r="H1" s="33"/>
      <c r="I1" s="33"/>
      <c r="J1" s="33">
        <f>B1+Parameters!$B$5</f>
        <v>6</v>
      </c>
      <c r="K1" s="33"/>
      <c r="L1" s="33"/>
      <c r="M1" s="33"/>
      <c r="N1" s="33"/>
      <c r="O1" s="33"/>
      <c r="P1" s="33"/>
      <c r="Q1" s="33"/>
      <c r="R1" s="33">
        <f>J1+Parameters!$B$5</f>
        <v>10</v>
      </c>
      <c r="S1" s="33"/>
      <c r="T1" s="33"/>
      <c r="U1" s="33"/>
      <c r="V1" s="33"/>
      <c r="W1" s="33"/>
      <c r="X1" s="33"/>
      <c r="Y1" s="33"/>
      <c r="Z1" s="33">
        <f>R1+Parameters!$B$5</f>
        <v>14</v>
      </c>
      <c r="AA1" s="33"/>
      <c r="AB1" s="33"/>
      <c r="AC1" s="33"/>
      <c r="AD1" s="33"/>
      <c r="AE1" s="33"/>
      <c r="AF1" s="33"/>
      <c r="AG1" s="33"/>
    </row>
    <row r="2" spans="1:33" x14ac:dyDescent="0.2">
      <c r="A2" s="4" t="s">
        <v>70</v>
      </c>
      <c r="B2" s="33">
        <f>1/2</f>
        <v>0.5</v>
      </c>
      <c r="C2" s="33"/>
      <c r="D2" s="33"/>
      <c r="E2" s="33"/>
      <c r="F2" s="33"/>
      <c r="G2" s="33"/>
      <c r="H2" s="33"/>
      <c r="I2" s="33"/>
      <c r="J2" s="33">
        <f>3/24</f>
        <v>0.125</v>
      </c>
      <c r="K2" s="33"/>
      <c r="L2" s="33"/>
      <c r="M2" s="33"/>
      <c r="N2" s="33"/>
      <c r="O2" s="33"/>
      <c r="P2" s="33"/>
      <c r="Q2" s="33"/>
      <c r="R2" s="33">
        <f>6/24</f>
        <v>0.25</v>
      </c>
      <c r="S2" s="33"/>
      <c r="T2" s="33"/>
      <c r="U2" s="33"/>
      <c r="V2" s="33"/>
      <c r="W2" s="33"/>
      <c r="X2" s="33"/>
      <c r="Y2" s="33"/>
      <c r="Z2" s="33">
        <f>3/24</f>
        <v>0.125</v>
      </c>
      <c r="AA2" s="33"/>
      <c r="AB2" s="33"/>
      <c r="AC2" s="33"/>
      <c r="AD2" s="33"/>
      <c r="AE2" s="33"/>
      <c r="AF2" s="33"/>
      <c r="AG2" s="33"/>
    </row>
    <row r="3" spans="1:33" x14ac:dyDescent="0.2">
      <c r="A3" s="4"/>
      <c r="B3" s="34" t="s">
        <v>71</v>
      </c>
      <c r="C3" s="34"/>
      <c r="D3" s="34"/>
      <c r="E3" s="34"/>
      <c r="F3" s="35" t="s">
        <v>72</v>
      </c>
      <c r="G3" s="35"/>
      <c r="H3" s="35"/>
      <c r="I3" s="35"/>
      <c r="J3" s="34" t="s">
        <v>71</v>
      </c>
      <c r="K3" s="34"/>
      <c r="L3" s="34"/>
      <c r="M3" s="34"/>
      <c r="N3" s="35" t="s">
        <v>72</v>
      </c>
      <c r="O3" s="35"/>
      <c r="P3" s="35"/>
      <c r="Q3" s="35"/>
      <c r="R3" s="34" t="s">
        <v>71</v>
      </c>
      <c r="S3" s="34"/>
      <c r="T3" s="34"/>
      <c r="U3" s="34"/>
      <c r="V3" s="35" t="s">
        <v>72</v>
      </c>
      <c r="W3" s="35"/>
      <c r="X3" s="35"/>
      <c r="Y3" s="35"/>
      <c r="Z3" s="34" t="s">
        <v>71</v>
      </c>
      <c r="AA3" s="34"/>
      <c r="AB3" s="34"/>
      <c r="AC3" s="34"/>
      <c r="AD3" s="35" t="s">
        <v>72</v>
      </c>
      <c r="AE3" s="35"/>
      <c r="AF3" s="35"/>
      <c r="AG3" s="35"/>
    </row>
    <row r="4" spans="1:33" x14ac:dyDescent="0.2">
      <c r="A4" s="4" t="s">
        <v>52</v>
      </c>
      <c r="B4" s="5" t="str">
        <f>Nodes!B11</f>
        <v>NBP</v>
      </c>
      <c r="C4" s="5" t="str">
        <f>Nodes!B12</f>
        <v>Zeebrugge</v>
      </c>
      <c r="D4" s="5" t="str">
        <f>Nodes!B13</f>
        <v>Dunkerque</v>
      </c>
      <c r="E4" s="5" t="str">
        <f>Nodes!B14</f>
        <v>Germany</v>
      </c>
      <c r="F4" s="6" t="str">
        <f>B4</f>
        <v>NBP</v>
      </c>
      <c r="G4" s="6" t="str">
        <f t="shared" ref="G4:I4" si="0">C4</f>
        <v>Zeebrugge</v>
      </c>
      <c r="H4" s="6" t="str">
        <f t="shared" si="0"/>
        <v>Dunkerque</v>
      </c>
      <c r="I4" s="6" t="str">
        <f t="shared" si="0"/>
        <v>Germany</v>
      </c>
      <c r="J4" s="5" t="str">
        <f>B4</f>
        <v>NBP</v>
      </c>
      <c r="K4" s="5" t="str">
        <f t="shared" ref="K4:M4" si="1">C4</f>
        <v>Zeebrugge</v>
      </c>
      <c r="L4" s="5" t="str">
        <f t="shared" si="1"/>
        <v>Dunkerque</v>
      </c>
      <c r="M4" s="5" t="str">
        <f t="shared" si="1"/>
        <v>Germany</v>
      </c>
      <c r="N4" s="6" t="str">
        <f>J4</f>
        <v>NBP</v>
      </c>
      <c r="O4" s="6" t="str">
        <f t="shared" ref="O4" si="2">K4</f>
        <v>Zeebrugge</v>
      </c>
      <c r="P4" s="6" t="str">
        <f t="shared" ref="P4" si="3">L4</f>
        <v>Dunkerque</v>
      </c>
      <c r="Q4" s="6" t="str">
        <f t="shared" ref="Q4" si="4">M4</f>
        <v>Germany</v>
      </c>
      <c r="R4" s="5" t="str">
        <f>J4</f>
        <v>NBP</v>
      </c>
      <c r="S4" s="5" t="str">
        <f t="shared" ref="S4:U4" si="5">K4</f>
        <v>Zeebrugge</v>
      </c>
      <c r="T4" s="5" t="str">
        <f t="shared" si="5"/>
        <v>Dunkerque</v>
      </c>
      <c r="U4" s="5" t="str">
        <f t="shared" si="5"/>
        <v>Germany</v>
      </c>
      <c r="V4" s="6" t="str">
        <f>R4</f>
        <v>NBP</v>
      </c>
      <c r="W4" s="6" t="str">
        <f t="shared" ref="W4" si="6">S4</f>
        <v>Zeebrugge</v>
      </c>
      <c r="X4" s="6" t="str">
        <f t="shared" ref="X4" si="7">T4</f>
        <v>Dunkerque</v>
      </c>
      <c r="Y4" s="6" t="str">
        <f t="shared" ref="Y4" si="8">U4</f>
        <v>Germany</v>
      </c>
      <c r="Z4" s="5" t="str">
        <f>R4</f>
        <v>NBP</v>
      </c>
      <c r="AA4" s="5" t="str">
        <f t="shared" ref="AA4:AC4" si="9">S4</f>
        <v>Zeebrugge</v>
      </c>
      <c r="AB4" s="5" t="str">
        <f t="shared" si="9"/>
        <v>Dunkerque</v>
      </c>
      <c r="AC4" s="5" t="str">
        <f t="shared" si="9"/>
        <v>Germany</v>
      </c>
      <c r="AD4" s="6" t="str">
        <f>Z4</f>
        <v>NBP</v>
      </c>
      <c r="AE4" s="6" t="str">
        <f t="shared" ref="AE4" si="10">AA4</f>
        <v>Zeebrugge</v>
      </c>
      <c r="AF4" s="6" t="str">
        <f t="shared" ref="AF4" si="11">AB4</f>
        <v>Dunkerque</v>
      </c>
      <c r="AG4" s="6" t="str">
        <f t="shared" ref="AG4" si="12">AC4</f>
        <v>Germany</v>
      </c>
    </row>
    <row r="5" spans="1:33" x14ac:dyDescent="0.2">
      <c r="A5" s="1">
        <v>0</v>
      </c>
      <c r="B5" s="2">
        <v>30</v>
      </c>
      <c r="C5" s="2">
        <v>40</v>
      </c>
      <c r="D5" s="2">
        <f>$D32+5</f>
        <v>45</v>
      </c>
      <c r="E5" s="2">
        <f>$E32+10</f>
        <v>90</v>
      </c>
      <c r="F5" s="3">
        <v>0</v>
      </c>
      <c r="G5" s="3">
        <v>0</v>
      </c>
      <c r="H5" s="3">
        <v>0</v>
      </c>
      <c r="I5" s="3">
        <v>0</v>
      </c>
      <c r="J5" s="2">
        <v>30</v>
      </c>
      <c r="K5" s="2">
        <v>40</v>
      </c>
      <c r="L5" s="2">
        <f>$D32-5</f>
        <v>35</v>
      </c>
      <c r="M5" s="2">
        <f>$E32+10</f>
        <v>90</v>
      </c>
      <c r="N5" s="3">
        <v>0</v>
      </c>
      <c r="O5" s="3">
        <v>0</v>
      </c>
      <c r="P5" s="3">
        <v>0</v>
      </c>
      <c r="Q5" s="3">
        <v>0</v>
      </c>
      <c r="R5" s="2">
        <v>30</v>
      </c>
      <c r="S5" s="2">
        <v>40</v>
      </c>
      <c r="T5" s="2">
        <f>$D32+5</f>
        <v>45</v>
      </c>
      <c r="U5" s="2">
        <f>$E32-10</f>
        <v>70</v>
      </c>
      <c r="V5" s="3">
        <v>0</v>
      </c>
      <c r="W5" s="3">
        <v>0</v>
      </c>
      <c r="X5" s="3">
        <v>0</v>
      </c>
      <c r="Y5" s="3">
        <v>0</v>
      </c>
      <c r="Z5" s="2">
        <v>30</v>
      </c>
      <c r="AA5" s="2">
        <v>40</v>
      </c>
      <c r="AB5" s="2">
        <f>$D32-5</f>
        <v>35</v>
      </c>
      <c r="AC5" s="2">
        <f>$E32-10</f>
        <v>70</v>
      </c>
      <c r="AD5" s="3">
        <v>0</v>
      </c>
      <c r="AE5" s="3">
        <v>0</v>
      </c>
      <c r="AF5" s="3">
        <v>0</v>
      </c>
      <c r="AG5" s="3">
        <v>0</v>
      </c>
    </row>
    <row r="6" spans="1:33" x14ac:dyDescent="0.2">
      <c r="A6" s="1">
        <v>1</v>
      </c>
      <c r="B6" s="2">
        <v>30</v>
      </c>
      <c r="C6" s="2">
        <v>40</v>
      </c>
      <c r="D6" s="2">
        <f t="shared" ref="D6:D8" si="13">$D33+5</f>
        <v>50</v>
      </c>
      <c r="E6" s="2">
        <f t="shared" ref="E6:E8" si="14">$E33+10</f>
        <v>100</v>
      </c>
      <c r="F6" s="3">
        <f>F5*0.5</f>
        <v>0</v>
      </c>
      <c r="G6" s="3">
        <f t="shared" ref="G6:H6" si="15">G5*0.5</f>
        <v>0</v>
      </c>
      <c r="H6" s="3">
        <f t="shared" si="15"/>
        <v>0</v>
      </c>
      <c r="I6" s="3">
        <v>0</v>
      </c>
      <c r="J6" s="2">
        <v>30</v>
      </c>
      <c r="K6" s="2">
        <v>40</v>
      </c>
      <c r="L6" s="2">
        <f>$D33-5</f>
        <v>40</v>
      </c>
      <c r="M6" s="2">
        <f t="shared" ref="M6:M8" si="16">$E33+10</f>
        <v>100</v>
      </c>
      <c r="N6" s="3">
        <f>N5*0.5</f>
        <v>0</v>
      </c>
      <c r="O6" s="3">
        <f t="shared" ref="O6:P6" si="17">O5*0.5</f>
        <v>0</v>
      </c>
      <c r="P6" s="3">
        <f t="shared" si="17"/>
        <v>0</v>
      </c>
      <c r="Q6" s="3">
        <v>0</v>
      </c>
      <c r="R6" s="2">
        <v>30</v>
      </c>
      <c r="S6" s="2">
        <v>40</v>
      </c>
      <c r="T6" s="2">
        <f t="shared" ref="T6:T8" si="18">$D33+5</f>
        <v>50</v>
      </c>
      <c r="U6" s="2">
        <f t="shared" ref="U6:U8" si="19">$E33-10</f>
        <v>80</v>
      </c>
      <c r="V6" s="3">
        <f>V5*0.5</f>
        <v>0</v>
      </c>
      <c r="W6" s="3">
        <f t="shared" ref="W6:X6" si="20">W5*0.5</f>
        <v>0</v>
      </c>
      <c r="X6" s="3">
        <f t="shared" si="20"/>
        <v>0</v>
      </c>
      <c r="Y6" s="3">
        <v>0</v>
      </c>
      <c r="Z6" s="2">
        <v>30</v>
      </c>
      <c r="AA6" s="2">
        <v>40</v>
      </c>
      <c r="AB6" s="2">
        <f t="shared" ref="AB6:AB8" si="21">$D33-5</f>
        <v>40</v>
      </c>
      <c r="AC6" s="2">
        <f t="shared" ref="AC6:AC8" si="22">$E33-10</f>
        <v>80</v>
      </c>
      <c r="AD6" s="3">
        <f>AD5*0.5</f>
        <v>0</v>
      </c>
      <c r="AE6" s="3">
        <f t="shared" ref="AE6:AF6" si="23">AE5*0.5</f>
        <v>0</v>
      </c>
      <c r="AF6" s="3">
        <f t="shared" si="23"/>
        <v>0</v>
      </c>
      <c r="AG6" s="3">
        <v>0</v>
      </c>
    </row>
    <row r="7" spans="1:33" x14ac:dyDescent="0.2">
      <c r="A7" s="1">
        <v>2</v>
      </c>
      <c r="B7" s="2">
        <v>30</v>
      </c>
      <c r="C7" s="2">
        <v>40</v>
      </c>
      <c r="D7" s="2">
        <f t="shared" si="13"/>
        <v>40</v>
      </c>
      <c r="E7" s="2">
        <f t="shared" si="14"/>
        <v>90</v>
      </c>
      <c r="F7" s="3">
        <v>0</v>
      </c>
      <c r="G7" s="3">
        <v>0</v>
      </c>
      <c r="H7" s="3">
        <v>0</v>
      </c>
      <c r="I7" s="3">
        <v>0</v>
      </c>
      <c r="J7" s="2">
        <v>30</v>
      </c>
      <c r="K7" s="2">
        <v>40</v>
      </c>
      <c r="L7" s="2">
        <f>$D34-5</f>
        <v>30</v>
      </c>
      <c r="M7" s="2">
        <f t="shared" si="16"/>
        <v>90</v>
      </c>
      <c r="N7" s="3">
        <v>0</v>
      </c>
      <c r="O7" s="3">
        <v>0</v>
      </c>
      <c r="P7" s="3">
        <v>0</v>
      </c>
      <c r="Q7" s="3">
        <v>0</v>
      </c>
      <c r="R7" s="2">
        <v>30</v>
      </c>
      <c r="S7" s="2">
        <v>40</v>
      </c>
      <c r="T7" s="2">
        <f t="shared" si="18"/>
        <v>40</v>
      </c>
      <c r="U7" s="2">
        <f t="shared" si="19"/>
        <v>70</v>
      </c>
      <c r="V7" s="3">
        <v>0</v>
      </c>
      <c r="W7" s="3">
        <v>0</v>
      </c>
      <c r="X7" s="3">
        <v>0</v>
      </c>
      <c r="Y7" s="3">
        <v>0</v>
      </c>
      <c r="Z7" s="2">
        <v>30</v>
      </c>
      <c r="AA7" s="2">
        <v>40</v>
      </c>
      <c r="AB7" s="2">
        <f t="shared" si="21"/>
        <v>30</v>
      </c>
      <c r="AC7" s="2">
        <f t="shared" si="22"/>
        <v>70</v>
      </c>
      <c r="AD7" s="3">
        <v>0</v>
      </c>
      <c r="AE7" s="3">
        <v>0</v>
      </c>
      <c r="AF7" s="3">
        <v>0</v>
      </c>
      <c r="AG7" s="3">
        <v>0</v>
      </c>
    </row>
    <row r="8" spans="1:33" x14ac:dyDescent="0.2">
      <c r="A8" s="1">
        <v>3</v>
      </c>
      <c r="B8" s="2">
        <v>30</v>
      </c>
      <c r="C8" s="2">
        <v>40</v>
      </c>
      <c r="D8" s="2">
        <f t="shared" si="13"/>
        <v>45</v>
      </c>
      <c r="E8" s="2">
        <f t="shared" si="14"/>
        <v>100</v>
      </c>
      <c r="F8" s="3">
        <v>0</v>
      </c>
      <c r="G8" s="3">
        <v>0</v>
      </c>
      <c r="H8" s="3">
        <v>0</v>
      </c>
      <c r="I8" s="3">
        <v>0</v>
      </c>
      <c r="J8" s="2">
        <v>30</v>
      </c>
      <c r="K8" s="2">
        <v>40</v>
      </c>
      <c r="L8" s="2">
        <f>$D35-5</f>
        <v>35</v>
      </c>
      <c r="M8" s="2">
        <f t="shared" si="16"/>
        <v>100</v>
      </c>
      <c r="N8" s="3">
        <v>0</v>
      </c>
      <c r="O8" s="3">
        <v>0</v>
      </c>
      <c r="P8" s="3">
        <v>0</v>
      </c>
      <c r="Q8" s="3">
        <v>0</v>
      </c>
      <c r="R8" s="2">
        <v>30</v>
      </c>
      <c r="S8" s="2">
        <v>40</v>
      </c>
      <c r="T8" s="2">
        <f t="shared" si="18"/>
        <v>45</v>
      </c>
      <c r="U8" s="2">
        <f t="shared" si="19"/>
        <v>80</v>
      </c>
      <c r="V8" s="3">
        <v>0</v>
      </c>
      <c r="W8" s="3">
        <v>0</v>
      </c>
      <c r="X8" s="3">
        <v>0</v>
      </c>
      <c r="Y8" s="3">
        <v>0</v>
      </c>
      <c r="Z8" s="2">
        <v>30</v>
      </c>
      <c r="AA8" s="2">
        <v>40</v>
      </c>
      <c r="AB8" s="2">
        <f t="shared" si="21"/>
        <v>35</v>
      </c>
      <c r="AC8" s="2">
        <f t="shared" si="22"/>
        <v>80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A9" s="1">
        <v>4</v>
      </c>
      <c r="B9" s="2"/>
      <c r="C9" s="2"/>
      <c r="D9" s="2"/>
      <c r="E9" s="2"/>
      <c r="F9" s="3"/>
      <c r="G9" s="3"/>
      <c r="H9" s="3"/>
      <c r="I9" s="3"/>
      <c r="J9" s="2"/>
      <c r="K9" s="2"/>
      <c r="L9" s="2"/>
      <c r="M9" s="2"/>
      <c r="N9" s="3"/>
      <c r="O9" s="3"/>
      <c r="P9" s="3"/>
      <c r="Q9" s="3"/>
      <c r="R9" s="2"/>
      <c r="S9" s="2"/>
      <c r="T9" s="2"/>
      <c r="U9" s="2"/>
      <c r="V9" s="3"/>
      <c r="W9" s="3"/>
      <c r="X9" s="3"/>
      <c r="Y9" s="3"/>
      <c r="Z9" s="2"/>
      <c r="AA9" s="2"/>
      <c r="AB9" s="2"/>
      <c r="AC9" s="2"/>
      <c r="AD9" s="3"/>
      <c r="AE9" s="3"/>
      <c r="AF9" s="3"/>
      <c r="AG9" s="3"/>
    </row>
    <row r="10" spans="1:33" x14ac:dyDescent="0.2">
      <c r="A10" s="1">
        <v>5</v>
      </c>
      <c r="B10" s="2"/>
      <c r="C10" s="2"/>
      <c r="D10" s="2"/>
      <c r="E10" s="2"/>
      <c r="F10" s="3"/>
      <c r="G10" s="3"/>
      <c r="H10" s="3"/>
      <c r="I10" s="3"/>
      <c r="J10" s="2"/>
      <c r="K10" s="2"/>
      <c r="L10" s="2"/>
      <c r="M10" s="2"/>
      <c r="N10" s="3"/>
      <c r="O10" s="3"/>
      <c r="P10" s="3"/>
      <c r="Q10" s="3"/>
      <c r="R10" s="2"/>
      <c r="S10" s="2"/>
      <c r="T10" s="2"/>
      <c r="U10" s="2"/>
      <c r="V10" s="3"/>
      <c r="W10" s="3"/>
      <c r="X10" s="3"/>
      <c r="Y10" s="3"/>
      <c r="Z10" s="2"/>
      <c r="AA10" s="2"/>
      <c r="AB10" s="2"/>
      <c r="AC10" s="2"/>
      <c r="AD10" s="3"/>
      <c r="AE10" s="3"/>
      <c r="AF10" s="3"/>
      <c r="AG10" s="3"/>
    </row>
    <row r="11" spans="1:33" x14ac:dyDescent="0.2">
      <c r="A11" s="1">
        <v>6</v>
      </c>
      <c r="B11" s="2"/>
      <c r="C11" s="2"/>
      <c r="D11" s="2"/>
      <c r="E11" s="2"/>
      <c r="F11" s="3"/>
      <c r="G11" s="3"/>
      <c r="H11" s="3"/>
      <c r="I11" s="3"/>
      <c r="J11" s="2"/>
      <c r="K11" s="2"/>
      <c r="L11" s="2"/>
      <c r="M11" s="2"/>
      <c r="N11" s="3"/>
      <c r="O11" s="3"/>
      <c r="P11" s="3"/>
      <c r="Q11" s="3"/>
      <c r="R11" s="2"/>
      <c r="S11" s="2"/>
      <c r="T11" s="2"/>
      <c r="U11" s="2"/>
      <c r="V11" s="3"/>
      <c r="W11" s="3"/>
      <c r="X11" s="3"/>
      <c r="Y11" s="3"/>
      <c r="Z11" s="2"/>
      <c r="AA11" s="2"/>
      <c r="AB11" s="2"/>
      <c r="AC11" s="2"/>
      <c r="AD11" s="3"/>
      <c r="AE11" s="3"/>
      <c r="AF11" s="3"/>
      <c r="AG11" s="3"/>
    </row>
    <row r="12" spans="1:33" x14ac:dyDescent="0.2">
      <c r="A12" s="1">
        <v>7</v>
      </c>
      <c r="B12" s="2"/>
      <c r="C12" s="2"/>
      <c r="D12" s="2"/>
      <c r="E12" s="2"/>
      <c r="F12" s="3"/>
      <c r="G12" s="3"/>
      <c r="H12" s="3"/>
      <c r="I12" s="3"/>
      <c r="J12" s="2"/>
      <c r="K12" s="2"/>
      <c r="L12" s="2"/>
      <c r="M12" s="2"/>
      <c r="N12" s="3"/>
      <c r="O12" s="3"/>
      <c r="P12" s="3"/>
      <c r="Q12" s="3"/>
      <c r="R12" s="2"/>
      <c r="S12" s="2"/>
      <c r="T12" s="2"/>
      <c r="U12" s="2"/>
      <c r="V12" s="3"/>
      <c r="W12" s="3"/>
      <c r="X12" s="3"/>
      <c r="Y12" s="3"/>
      <c r="Z12" s="2"/>
      <c r="AA12" s="2"/>
      <c r="AB12" s="2"/>
      <c r="AC12" s="2"/>
      <c r="AD12" s="3"/>
      <c r="AE12" s="3"/>
      <c r="AF12" s="3"/>
      <c r="AG12" s="3"/>
    </row>
    <row r="13" spans="1:33" x14ac:dyDescent="0.2">
      <c r="A13" s="1">
        <v>8</v>
      </c>
      <c r="B13" s="2"/>
      <c r="C13" s="2"/>
      <c r="D13" s="2"/>
      <c r="E13" s="2"/>
      <c r="F13" s="3"/>
      <c r="G13" s="3"/>
      <c r="H13" s="3"/>
      <c r="I13" s="3"/>
      <c r="J13" s="2"/>
      <c r="K13" s="2"/>
      <c r="L13" s="2"/>
      <c r="M13" s="2"/>
      <c r="N13" s="3"/>
      <c r="O13" s="3"/>
      <c r="P13" s="3"/>
      <c r="Q13" s="3"/>
      <c r="R13" s="2"/>
      <c r="S13" s="2"/>
      <c r="T13" s="2"/>
      <c r="U13" s="2"/>
      <c r="V13" s="3"/>
      <c r="W13" s="3"/>
      <c r="X13" s="3"/>
      <c r="Y13" s="3"/>
      <c r="Z13" s="2"/>
      <c r="AA13" s="2"/>
      <c r="AB13" s="2"/>
      <c r="AC13" s="2"/>
      <c r="AD13" s="3"/>
      <c r="AE13" s="3"/>
      <c r="AF13" s="3"/>
      <c r="AG13" s="3"/>
    </row>
    <row r="14" spans="1:33" x14ac:dyDescent="0.2">
      <c r="A14" s="1">
        <v>9</v>
      </c>
      <c r="B14" s="2"/>
      <c r="C14" s="2"/>
      <c r="D14" s="2"/>
      <c r="E14" s="2"/>
      <c r="F14" s="3"/>
      <c r="G14" s="3"/>
      <c r="H14" s="3"/>
      <c r="I14" s="3"/>
      <c r="J14" s="2"/>
      <c r="K14" s="2"/>
      <c r="L14" s="2"/>
      <c r="M14" s="2"/>
      <c r="N14" s="3"/>
      <c r="O14" s="3"/>
      <c r="P14" s="3"/>
      <c r="Q14" s="3"/>
      <c r="R14" s="2"/>
      <c r="S14" s="2"/>
      <c r="T14" s="2"/>
      <c r="U14" s="2"/>
      <c r="V14" s="3"/>
      <c r="W14" s="3"/>
      <c r="X14" s="3"/>
      <c r="Y14" s="3"/>
      <c r="Z14" s="2"/>
      <c r="AA14" s="2"/>
      <c r="AB14" s="2"/>
      <c r="AC14" s="2"/>
      <c r="AD14" s="3"/>
      <c r="AE14" s="3"/>
      <c r="AF14" s="3"/>
      <c r="AG14" s="3"/>
    </row>
    <row r="15" spans="1:33" x14ac:dyDescent="0.2">
      <c r="A15" s="1">
        <v>10</v>
      </c>
      <c r="B15" s="2"/>
      <c r="C15" s="2"/>
      <c r="D15" s="2"/>
      <c r="E15" s="2"/>
      <c r="F15" s="3"/>
      <c r="G15" s="3"/>
      <c r="H15" s="3"/>
      <c r="I15" s="3"/>
      <c r="J15" s="2"/>
      <c r="K15" s="2"/>
      <c r="L15" s="2"/>
      <c r="M15" s="2"/>
      <c r="N15" s="3"/>
      <c r="O15" s="3"/>
      <c r="P15" s="3"/>
      <c r="Q15" s="3"/>
      <c r="R15" s="2"/>
      <c r="S15" s="2"/>
      <c r="T15" s="2"/>
      <c r="U15" s="2"/>
      <c r="V15" s="3"/>
      <c r="W15" s="3"/>
      <c r="X15" s="3"/>
      <c r="Y15" s="3"/>
      <c r="Z15" s="2"/>
      <c r="AA15" s="2"/>
      <c r="AB15" s="2"/>
      <c r="AC15" s="2"/>
      <c r="AD15" s="3"/>
      <c r="AE15" s="3"/>
      <c r="AF15" s="3"/>
      <c r="AG15" s="3"/>
    </row>
    <row r="16" spans="1:33" x14ac:dyDescent="0.2">
      <c r="A16" s="1">
        <v>11</v>
      </c>
      <c r="B16" s="2"/>
      <c r="C16" s="2"/>
      <c r="D16" s="2"/>
      <c r="E16" s="2"/>
      <c r="F16" s="3"/>
      <c r="G16" s="3"/>
      <c r="H16" s="3"/>
      <c r="I16" s="3"/>
      <c r="J16" s="2"/>
      <c r="K16" s="2"/>
      <c r="L16" s="2"/>
      <c r="M16" s="2"/>
      <c r="N16" s="3"/>
      <c r="O16" s="3"/>
      <c r="P16" s="3"/>
      <c r="Q16" s="3"/>
      <c r="R16" s="2"/>
      <c r="S16" s="2"/>
      <c r="T16" s="2"/>
      <c r="U16" s="2"/>
      <c r="V16" s="3"/>
      <c r="W16" s="3"/>
      <c r="X16" s="3"/>
      <c r="Y16" s="3"/>
      <c r="Z16" s="2"/>
      <c r="AA16" s="2"/>
      <c r="AB16" s="2"/>
      <c r="AC16" s="2"/>
      <c r="AD16" s="3"/>
      <c r="AE16" s="3"/>
      <c r="AF16" s="3"/>
      <c r="AG16" s="3"/>
    </row>
    <row r="17" spans="1:33" x14ac:dyDescent="0.2">
      <c r="A17" s="1">
        <v>12</v>
      </c>
      <c r="B17" s="2"/>
      <c r="C17" s="2"/>
      <c r="D17" s="2"/>
      <c r="E17" s="2"/>
      <c r="F17" s="3"/>
      <c r="G17" s="3"/>
      <c r="H17" s="3"/>
      <c r="I17" s="3"/>
      <c r="J17" s="2"/>
      <c r="K17" s="2"/>
      <c r="L17" s="2"/>
      <c r="M17" s="2"/>
      <c r="N17" s="3"/>
      <c r="O17" s="3"/>
      <c r="P17" s="3"/>
      <c r="Q17" s="3"/>
      <c r="R17" s="2"/>
      <c r="S17" s="2"/>
      <c r="T17" s="2"/>
      <c r="U17" s="2"/>
      <c r="V17" s="3"/>
      <c r="W17" s="3"/>
      <c r="X17" s="3"/>
      <c r="Y17" s="3"/>
      <c r="Z17" s="2"/>
      <c r="AA17" s="2"/>
      <c r="AB17" s="2"/>
      <c r="AC17" s="2"/>
      <c r="AD17" s="3"/>
      <c r="AE17" s="3"/>
      <c r="AF17" s="3"/>
      <c r="AG17" s="3"/>
    </row>
    <row r="18" spans="1:33" x14ac:dyDescent="0.2">
      <c r="A18" s="1">
        <v>13</v>
      </c>
      <c r="B18" s="2"/>
      <c r="C18" s="2"/>
      <c r="D18" s="2"/>
      <c r="E18" s="2"/>
      <c r="F18" s="3"/>
      <c r="G18" s="3"/>
      <c r="H18" s="3"/>
      <c r="I18" s="3"/>
      <c r="J18" s="2"/>
      <c r="K18" s="2"/>
      <c r="L18" s="2"/>
      <c r="M18" s="2"/>
      <c r="N18" s="3"/>
      <c r="O18" s="3"/>
      <c r="P18" s="3"/>
      <c r="Q18" s="3"/>
      <c r="R18" s="2"/>
      <c r="S18" s="2"/>
      <c r="T18" s="2"/>
      <c r="U18" s="2"/>
      <c r="V18" s="3"/>
      <c r="W18" s="3"/>
      <c r="X18" s="3"/>
      <c r="Y18" s="3"/>
      <c r="Z18" s="2"/>
      <c r="AA18" s="2"/>
      <c r="AB18" s="2"/>
      <c r="AC18" s="2"/>
      <c r="AD18" s="3"/>
      <c r="AE18" s="3"/>
      <c r="AF18" s="3"/>
      <c r="AG18" s="3"/>
    </row>
    <row r="19" spans="1:33" x14ac:dyDescent="0.2">
      <c r="A19" s="1">
        <v>14</v>
      </c>
      <c r="B19" s="2"/>
      <c r="C19" s="2"/>
      <c r="D19" s="2"/>
      <c r="E19" s="2"/>
      <c r="F19" s="3"/>
      <c r="G19" s="3"/>
      <c r="H19" s="3"/>
      <c r="I19" s="3"/>
      <c r="J19" s="2"/>
      <c r="K19" s="2"/>
      <c r="L19" s="2"/>
      <c r="M19" s="2"/>
      <c r="N19" s="3"/>
      <c r="O19" s="3"/>
      <c r="P19" s="3"/>
      <c r="Q19" s="3"/>
      <c r="R19" s="2"/>
      <c r="S19" s="2"/>
      <c r="T19" s="2"/>
      <c r="U19" s="2"/>
      <c r="V19" s="3"/>
      <c r="W19" s="3"/>
      <c r="X19" s="3"/>
      <c r="Y19" s="3"/>
      <c r="Z19" s="2"/>
      <c r="AA19" s="2"/>
      <c r="AB19" s="2"/>
      <c r="AC19" s="2"/>
      <c r="AD19" s="3"/>
      <c r="AE19" s="3"/>
      <c r="AF19" s="3"/>
      <c r="AG19" s="3"/>
    </row>
    <row r="20" spans="1:33" x14ac:dyDescent="0.2">
      <c r="A20" s="1">
        <v>15</v>
      </c>
      <c r="B20" s="2"/>
      <c r="C20" s="2"/>
      <c r="D20" s="2"/>
      <c r="E20" s="2"/>
      <c r="F20" s="3"/>
      <c r="G20" s="3"/>
      <c r="H20" s="3"/>
      <c r="I20" s="3"/>
      <c r="J20" s="2"/>
      <c r="K20" s="2"/>
      <c r="L20" s="2"/>
      <c r="M20" s="2"/>
      <c r="N20" s="3"/>
      <c r="O20" s="3"/>
      <c r="P20" s="3"/>
      <c r="Q20" s="3"/>
      <c r="R20" s="2"/>
      <c r="S20" s="2"/>
      <c r="T20" s="2"/>
      <c r="U20" s="2"/>
      <c r="V20" s="3"/>
      <c r="W20" s="3"/>
      <c r="X20" s="3"/>
      <c r="Y20" s="3"/>
      <c r="Z20" s="2"/>
      <c r="AA20" s="2"/>
      <c r="AB20" s="2"/>
      <c r="AC20" s="2"/>
      <c r="AD20" s="3"/>
      <c r="AE20" s="3"/>
      <c r="AF20" s="3"/>
      <c r="AG20" s="3"/>
    </row>
    <row r="21" spans="1:33" x14ac:dyDescent="0.2">
      <c r="A21" s="1">
        <v>16</v>
      </c>
      <c r="B21" s="2"/>
      <c r="C21" s="2"/>
      <c r="D21" s="2"/>
      <c r="E21" s="2"/>
      <c r="F21" s="3"/>
      <c r="G21" s="3"/>
      <c r="H21" s="3"/>
      <c r="I21" s="3"/>
      <c r="J21" s="2"/>
      <c r="K21" s="2"/>
      <c r="L21" s="2"/>
      <c r="M21" s="2"/>
      <c r="N21" s="3"/>
      <c r="O21" s="3"/>
      <c r="P21" s="3"/>
      <c r="Q21" s="3"/>
      <c r="R21" s="2"/>
      <c r="S21" s="2"/>
      <c r="T21" s="2"/>
      <c r="U21" s="2"/>
      <c r="V21" s="3"/>
      <c r="W21" s="3"/>
      <c r="X21" s="3"/>
      <c r="Y21" s="3"/>
      <c r="Z21" s="2"/>
      <c r="AA21" s="2"/>
      <c r="AB21" s="2"/>
      <c r="AC21" s="2"/>
      <c r="AD21" s="3"/>
      <c r="AE21" s="3"/>
      <c r="AF21" s="3"/>
      <c r="AG21" s="3"/>
    </row>
    <row r="22" spans="1:33" x14ac:dyDescent="0.2">
      <c r="A22" s="1">
        <v>17</v>
      </c>
      <c r="B22" s="2"/>
      <c r="C22" s="2"/>
      <c r="D22" s="2"/>
      <c r="E22" s="2"/>
      <c r="F22" s="3"/>
      <c r="G22" s="3"/>
      <c r="H22" s="3"/>
      <c r="I22" s="3"/>
      <c r="J22" s="2"/>
      <c r="K22" s="2"/>
      <c r="L22" s="2"/>
      <c r="M22" s="2"/>
      <c r="N22" s="3"/>
      <c r="O22" s="3"/>
      <c r="P22" s="3"/>
      <c r="Q22" s="3"/>
      <c r="R22" s="2"/>
      <c r="S22" s="2"/>
      <c r="T22" s="2"/>
      <c r="U22" s="2"/>
      <c r="V22" s="3"/>
      <c r="W22" s="3"/>
      <c r="X22" s="3"/>
      <c r="Y22" s="3"/>
      <c r="Z22" s="2"/>
      <c r="AA22" s="2"/>
      <c r="AB22" s="2"/>
      <c r="AC22" s="2"/>
      <c r="AD22" s="3"/>
      <c r="AE22" s="3"/>
      <c r="AF22" s="3"/>
      <c r="AG22" s="3"/>
    </row>
    <row r="23" spans="1:33" x14ac:dyDescent="0.2">
      <c r="A23" s="1">
        <v>18</v>
      </c>
      <c r="B23" s="2"/>
      <c r="C23" s="2"/>
      <c r="D23" s="2"/>
      <c r="E23" s="2"/>
      <c r="F23" s="3"/>
      <c r="G23" s="3"/>
      <c r="H23" s="3"/>
      <c r="I23" s="3"/>
      <c r="J23" s="2"/>
      <c r="K23" s="2"/>
      <c r="L23" s="2"/>
      <c r="M23" s="2"/>
      <c r="N23" s="3"/>
      <c r="O23" s="3"/>
      <c r="P23" s="3"/>
      <c r="Q23" s="3"/>
      <c r="R23" s="2"/>
      <c r="S23" s="2"/>
      <c r="T23" s="2"/>
      <c r="U23" s="2"/>
      <c r="V23" s="3"/>
      <c r="W23" s="3"/>
      <c r="X23" s="3"/>
      <c r="Y23" s="3"/>
      <c r="Z23" s="2"/>
      <c r="AA23" s="2"/>
      <c r="AB23" s="2"/>
      <c r="AC23" s="2"/>
      <c r="AD23" s="3"/>
      <c r="AE23" s="3"/>
      <c r="AF23" s="3"/>
      <c r="AG23" s="3"/>
    </row>
    <row r="24" spans="1:33" x14ac:dyDescent="0.2">
      <c r="A24" s="1">
        <v>19</v>
      </c>
      <c r="B24" s="2"/>
      <c r="C24" s="2"/>
      <c r="D24" s="2"/>
      <c r="E24" s="2"/>
      <c r="F24" s="3"/>
      <c r="G24" s="3"/>
      <c r="H24" s="3"/>
      <c r="I24" s="3"/>
      <c r="J24" s="2"/>
      <c r="K24" s="2"/>
      <c r="L24" s="2"/>
      <c r="M24" s="2"/>
      <c r="N24" s="3"/>
      <c r="O24" s="3"/>
      <c r="P24" s="3"/>
      <c r="Q24" s="3"/>
      <c r="R24" s="2"/>
      <c r="S24" s="2"/>
      <c r="T24" s="2"/>
      <c r="U24" s="2"/>
      <c r="V24" s="3"/>
      <c r="W24" s="3"/>
      <c r="X24" s="3"/>
      <c r="Y24" s="3"/>
      <c r="Z24" s="2"/>
      <c r="AA24" s="2"/>
      <c r="AB24" s="2"/>
      <c r="AC24" s="2"/>
      <c r="AD24" s="3"/>
      <c r="AE24" s="3"/>
      <c r="AF24" s="3"/>
      <c r="AG24" s="3"/>
    </row>
    <row r="25" spans="1:33" x14ac:dyDescent="0.2">
      <c r="A25" s="1">
        <v>20</v>
      </c>
      <c r="B25" s="2"/>
      <c r="C25" s="2"/>
      <c r="D25" s="2"/>
      <c r="E25" s="2"/>
      <c r="F25" s="3"/>
      <c r="G25" s="3"/>
      <c r="H25" s="3"/>
      <c r="I25" s="3"/>
      <c r="J25" s="2"/>
      <c r="K25" s="2"/>
      <c r="L25" s="2"/>
      <c r="M25" s="2"/>
      <c r="N25" s="3"/>
      <c r="O25" s="3"/>
      <c r="P25" s="3"/>
      <c r="Q25" s="3"/>
      <c r="R25" s="2"/>
      <c r="S25" s="2"/>
      <c r="T25" s="2"/>
      <c r="U25" s="2"/>
      <c r="V25" s="3"/>
      <c r="W25" s="3"/>
      <c r="X25" s="3"/>
      <c r="Y25" s="3"/>
      <c r="Z25" s="2"/>
      <c r="AA25" s="2"/>
      <c r="AB25" s="2"/>
      <c r="AC25" s="2"/>
      <c r="AD25" s="3"/>
      <c r="AE25" s="3"/>
      <c r="AF25" s="3"/>
      <c r="AG25" s="3"/>
    </row>
    <row r="26" spans="1:33" x14ac:dyDescent="0.2">
      <c r="A26" s="1">
        <v>21</v>
      </c>
      <c r="B26" s="2"/>
      <c r="C26" s="2"/>
      <c r="D26" s="2"/>
      <c r="E26" s="2"/>
      <c r="F26" s="3"/>
      <c r="G26" s="3"/>
      <c r="H26" s="3"/>
      <c r="I26" s="3"/>
      <c r="J26" s="2"/>
      <c r="K26" s="2"/>
      <c r="L26" s="2"/>
      <c r="M26" s="2"/>
      <c r="N26" s="3"/>
      <c r="O26" s="3"/>
      <c r="P26" s="3"/>
      <c r="Q26" s="3"/>
      <c r="R26" s="2"/>
      <c r="S26" s="2"/>
      <c r="T26" s="2"/>
      <c r="U26" s="2"/>
      <c r="V26" s="3"/>
      <c r="W26" s="3"/>
      <c r="X26" s="3"/>
      <c r="Y26" s="3"/>
      <c r="Z26" s="2"/>
      <c r="AA26" s="2"/>
      <c r="AB26" s="2"/>
      <c r="AC26" s="2"/>
      <c r="AD26" s="3"/>
      <c r="AE26" s="3"/>
      <c r="AF26" s="3"/>
      <c r="AG26" s="3"/>
    </row>
    <row r="27" spans="1:33" x14ac:dyDescent="0.2">
      <c r="A27" s="1">
        <v>22</v>
      </c>
      <c r="B27" s="2"/>
      <c r="C27" s="2"/>
      <c r="D27" s="2"/>
      <c r="E27" s="2"/>
      <c r="F27" s="3"/>
      <c r="G27" s="3"/>
      <c r="H27" s="3"/>
      <c r="I27" s="3"/>
      <c r="J27" s="2"/>
      <c r="K27" s="2"/>
      <c r="L27" s="2"/>
      <c r="M27" s="2"/>
      <c r="N27" s="3"/>
      <c r="O27" s="3"/>
      <c r="P27" s="3"/>
      <c r="Q27" s="3"/>
      <c r="R27" s="2"/>
      <c r="S27" s="2"/>
      <c r="T27" s="2"/>
      <c r="U27" s="2"/>
      <c r="V27" s="3"/>
      <c r="W27" s="3"/>
      <c r="X27" s="3"/>
      <c r="Y27" s="3"/>
      <c r="Z27" s="2"/>
      <c r="AA27" s="2"/>
      <c r="AB27" s="2"/>
      <c r="AC27" s="2"/>
      <c r="AD27" s="3"/>
      <c r="AE27" s="3"/>
      <c r="AF27" s="3"/>
      <c r="AG27" s="3"/>
    </row>
    <row r="28" spans="1:33" x14ac:dyDescent="0.2">
      <c r="A28" s="1">
        <v>23</v>
      </c>
      <c r="B28" s="2"/>
      <c r="C28" s="2"/>
      <c r="D28" s="2"/>
      <c r="E28" s="2"/>
      <c r="F28" s="3"/>
      <c r="G28" s="3"/>
      <c r="H28" s="3"/>
      <c r="I28" s="3"/>
      <c r="J28" s="2"/>
      <c r="K28" s="2"/>
      <c r="L28" s="2"/>
      <c r="M28" s="2"/>
      <c r="N28" s="3"/>
      <c r="O28" s="3"/>
      <c r="P28" s="3"/>
      <c r="Q28" s="3"/>
      <c r="R28" s="2"/>
      <c r="S28" s="2"/>
      <c r="T28" s="2"/>
      <c r="U28" s="2"/>
      <c r="V28" s="3"/>
      <c r="W28" s="3"/>
      <c r="X28" s="3"/>
      <c r="Y28" s="3"/>
      <c r="Z28" s="2"/>
      <c r="AA28" s="2"/>
      <c r="AB28" s="2"/>
      <c r="AC28" s="2"/>
      <c r="AD28" s="3"/>
      <c r="AE28" s="3"/>
      <c r="AF28" s="3"/>
      <c r="AG28" s="3"/>
    </row>
    <row r="30" spans="1:33" x14ac:dyDescent="0.2">
      <c r="B30">
        <f>SUM(B5:E5)</f>
        <v>205</v>
      </c>
      <c r="E30">
        <f>SUM(B2:AG2)</f>
        <v>1</v>
      </c>
    </row>
    <row r="31" spans="1:33" x14ac:dyDescent="0.2">
      <c r="B31" t="s">
        <v>123</v>
      </c>
    </row>
    <row r="32" spans="1:33" x14ac:dyDescent="0.2">
      <c r="B32" s="2">
        <v>30</v>
      </c>
      <c r="C32" s="2">
        <v>40</v>
      </c>
      <c r="D32" s="2">
        <v>40</v>
      </c>
      <c r="E32" s="2">
        <v>80</v>
      </c>
    </row>
    <row r="33" spans="2:5" x14ac:dyDescent="0.2">
      <c r="B33" s="2">
        <v>30</v>
      </c>
      <c r="C33" s="2">
        <v>40</v>
      </c>
      <c r="D33" s="2">
        <v>45</v>
      </c>
      <c r="E33" s="2">
        <v>90</v>
      </c>
    </row>
    <row r="34" spans="2:5" x14ac:dyDescent="0.2">
      <c r="B34" s="2">
        <v>30</v>
      </c>
      <c r="C34" s="2">
        <v>40</v>
      </c>
      <c r="D34" s="2">
        <v>35</v>
      </c>
      <c r="E34" s="2">
        <v>80</v>
      </c>
    </row>
    <row r="35" spans="2:5" x14ac:dyDescent="0.2">
      <c r="B35" s="2">
        <v>30</v>
      </c>
      <c r="C35" s="2">
        <v>40</v>
      </c>
      <c r="D35" s="2">
        <v>40</v>
      </c>
      <c r="E35" s="2">
        <v>90</v>
      </c>
    </row>
  </sheetData>
  <mergeCells count="16">
    <mergeCell ref="B3:E3"/>
    <mergeCell ref="F3:I3"/>
    <mergeCell ref="B1:I1"/>
    <mergeCell ref="B2:I2"/>
    <mergeCell ref="J1:Q1"/>
    <mergeCell ref="J2:Q2"/>
    <mergeCell ref="J3:M3"/>
    <mergeCell ref="N3:Q3"/>
    <mergeCell ref="R1:Y1"/>
    <mergeCell ref="R2:Y2"/>
    <mergeCell ref="R3:U3"/>
    <mergeCell ref="V3:Y3"/>
    <mergeCell ref="Z1:AG1"/>
    <mergeCell ref="Z2:AG2"/>
    <mergeCell ref="Z3:AC3"/>
    <mergeCell ref="AD3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06CF-850A-ED42-956F-025E5A994524}">
  <dimension ref="A1:DY36"/>
  <sheetViews>
    <sheetView zoomScale="113" zoomScaleNormal="150" workbookViewId="0">
      <selection activeCell="DY15" sqref="DY15"/>
    </sheetView>
  </sheetViews>
  <sheetFormatPr baseColWidth="10" defaultRowHeight="16" x14ac:dyDescent="0.2"/>
  <cols>
    <col min="1" max="1" width="19" bestFit="1" customWidth="1"/>
    <col min="2" max="2" width="11.33203125" bestFit="1" customWidth="1"/>
    <col min="3" max="3" width="16" bestFit="1" customWidth="1"/>
  </cols>
  <sheetData>
    <row r="1" spans="1:129" x14ac:dyDescent="0.2">
      <c r="A1" s="4" t="s">
        <v>77</v>
      </c>
      <c r="B1" s="33">
        <v>18</v>
      </c>
      <c r="C1" s="33"/>
      <c r="D1" s="33"/>
      <c r="E1" s="33"/>
      <c r="F1" s="33"/>
      <c r="G1" s="33"/>
      <c r="H1" s="33"/>
      <c r="I1" s="33"/>
      <c r="J1" s="33">
        <f>B1+Parameters!$B$5</f>
        <v>22</v>
      </c>
      <c r="K1" s="33"/>
      <c r="L1" s="33"/>
      <c r="M1" s="33"/>
      <c r="N1" s="33"/>
      <c r="O1" s="33"/>
      <c r="P1" s="33"/>
      <c r="Q1" s="33"/>
      <c r="R1" s="33">
        <f>J1+Parameters!$B$5</f>
        <v>26</v>
      </c>
      <c r="S1" s="33"/>
      <c r="T1" s="33"/>
      <c r="U1" s="33"/>
      <c r="V1" s="33"/>
      <c r="W1" s="33"/>
      <c r="X1" s="33"/>
      <c r="Y1" s="33"/>
      <c r="Z1" s="33">
        <f>R1+Parameters!$B$5</f>
        <v>30</v>
      </c>
      <c r="AA1" s="33"/>
      <c r="AB1" s="33"/>
      <c r="AC1" s="33"/>
      <c r="AD1" s="33"/>
      <c r="AE1" s="33"/>
      <c r="AF1" s="33"/>
      <c r="AG1" s="33"/>
      <c r="AH1" s="33">
        <f>Z1+Parameters!$B$5</f>
        <v>34</v>
      </c>
      <c r="AI1" s="33"/>
      <c r="AJ1" s="33"/>
      <c r="AK1" s="33"/>
      <c r="AL1" s="33"/>
      <c r="AM1" s="33"/>
      <c r="AN1" s="33"/>
      <c r="AO1" s="33"/>
      <c r="AP1" s="33">
        <f>AH1+Parameters!$B$5</f>
        <v>38</v>
      </c>
      <c r="AQ1" s="33"/>
      <c r="AR1" s="33"/>
      <c r="AS1" s="33"/>
      <c r="AT1" s="33"/>
      <c r="AU1" s="33"/>
      <c r="AV1" s="33"/>
      <c r="AW1" s="33"/>
      <c r="AX1" s="33">
        <f>AP1+Parameters!$B$5</f>
        <v>42</v>
      </c>
      <c r="AY1" s="33"/>
      <c r="AZ1" s="33"/>
      <c r="BA1" s="33"/>
      <c r="BB1" s="33"/>
      <c r="BC1" s="33"/>
      <c r="BD1" s="33"/>
      <c r="BE1" s="33"/>
      <c r="BF1" s="33">
        <f>AX1+Parameters!$B$5</f>
        <v>46</v>
      </c>
      <c r="BG1" s="33"/>
      <c r="BH1" s="33"/>
      <c r="BI1" s="33"/>
      <c r="BJ1" s="33"/>
      <c r="BK1" s="33"/>
      <c r="BL1" s="33"/>
      <c r="BM1" s="33"/>
      <c r="BN1" s="33">
        <f>BF1+Parameters!$B$5</f>
        <v>50</v>
      </c>
      <c r="BO1" s="33"/>
      <c r="BP1" s="33"/>
      <c r="BQ1" s="33"/>
      <c r="BR1" s="33"/>
      <c r="BS1" s="33"/>
      <c r="BT1" s="33"/>
      <c r="BU1" s="33"/>
      <c r="BV1" s="33">
        <f>BN1+Parameters!$B$5</f>
        <v>54</v>
      </c>
      <c r="BW1" s="33"/>
      <c r="BX1" s="33"/>
      <c r="BY1" s="33"/>
      <c r="BZ1" s="33"/>
      <c r="CA1" s="33"/>
      <c r="CB1" s="33"/>
      <c r="CC1" s="33"/>
      <c r="CD1" s="33">
        <f>BV1+Parameters!$B$5</f>
        <v>58</v>
      </c>
      <c r="CE1" s="33"/>
      <c r="CF1" s="33"/>
      <c r="CG1" s="33"/>
      <c r="CH1" s="33"/>
      <c r="CI1" s="33"/>
      <c r="CJ1" s="33"/>
      <c r="CK1" s="33"/>
      <c r="CL1" s="33">
        <f>CD1+Parameters!$B$5</f>
        <v>62</v>
      </c>
      <c r="CM1" s="33"/>
      <c r="CN1" s="33"/>
      <c r="CO1" s="33"/>
      <c r="CP1" s="33"/>
      <c r="CQ1" s="33"/>
      <c r="CR1" s="33"/>
      <c r="CS1" s="33"/>
      <c r="CT1" s="33">
        <f>CL1+Parameters!$B$5</f>
        <v>66</v>
      </c>
      <c r="CU1" s="33"/>
      <c r="CV1" s="33"/>
      <c r="CW1" s="33"/>
      <c r="CX1" s="33"/>
      <c r="CY1" s="33"/>
      <c r="CZ1" s="33"/>
      <c r="DA1" s="33"/>
      <c r="DB1" s="33">
        <f>CT1+Parameters!$B$5</f>
        <v>70</v>
      </c>
      <c r="DC1" s="33"/>
      <c r="DD1" s="33"/>
      <c r="DE1" s="33"/>
      <c r="DF1" s="33"/>
      <c r="DG1" s="33"/>
      <c r="DH1" s="33"/>
      <c r="DI1" s="33"/>
      <c r="DJ1" s="33">
        <f>DB1+Parameters!$B$5</f>
        <v>74</v>
      </c>
      <c r="DK1" s="33"/>
      <c r="DL1" s="33"/>
      <c r="DM1" s="33"/>
      <c r="DN1" s="33"/>
      <c r="DO1" s="33"/>
      <c r="DP1" s="33"/>
      <c r="DQ1" s="33"/>
      <c r="DR1" s="33">
        <f>DJ1+Parameters!$B$5</f>
        <v>78</v>
      </c>
      <c r="DS1" s="33"/>
      <c r="DT1" s="33"/>
      <c r="DU1" s="33"/>
      <c r="DV1" s="33"/>
      <c r="DW1" s="33"/>
      <c r="DX1" s="33"/>
      <c r="DY1" s="33"/>
    </row>
    <row r="2" spans="1:129" x14ac:dyDescent="0.2">
      <c r="A2" s="4" t="s">
        <v>70</v>
      </c>
      <c r="B2" s="33">
        <f>0.5/4</f>
        <v>0.125</v>
      </c>
      <c r="C2" s="33"/>
      <c r="D2" s="33"/>
      <c r="E2" s="33"/>
      <c r="F2" s="33"/>
      <c r="G2" s="33"/>
      <c r="H2" s="33"/>
      <c r="I2" s="33"/>
      <c r="J2" s="33">
        <f>0.5/4</f>
        <v>0.125</v>
      </c>
      <c r="K2" s="33"/>
      <c r="L2" s="33"/>
      <c r="M2" s="33"/>
      <c r="N2" s="33"/>
      <c r="O2" s="33"/>
      <c r="P2" s="33"/>
      <c r="Q2" s="33"/>
      <c r="R2" s="33">
        <f>0.5/4</f>
        <v>0.125</v>
      </c>
      <c r="S2" s="33"/>
      <c r="T2" s="33"/>
      <c r="U2" s="33"/>
      <c r="V2" s="33"/>
      <c r="W2" s="33"/>
      <c r="X2" s="33"/>
      <c r="Y2" s="33"/>
      <c r="Z2" s="33">
        <f>0.5/4</f>
        <v>0.125</v>
      </c>
      <c r="AA2" s="33"/>
      <c r="AB2" s="33"/>
      <c r="AC2" s="33"/>
      <c r="AD2" s="33"/>
      <c r="AE2" s="33"/>
      <c r="AF2" s="33"/>
      <c r="AG2" s="33"/>
      <c r="AH2" s="33">
        <f>0.125/4</f>
        <v>3.125E-2</v>
      </c>
      <c r="AI2" s="33"/>
      <c r="AJ2" s="33"/>
      <c r="AK2" s="33"/>
      <c r="AL2" s="33"/>
      <c r="AM2" s="33"/>
      <c r="AN2" s="33"/>
      <c r="AO2" s="33"/>
      <c r="AP2" s="33">
        <f>0.125/4</f>
        <v>3.125E-2</v>
      </c>
      <c r="AQ2" s="33"/>
      <c r="AR2" s="33"/>
      <c r="AS2" s="33"/>
      <c r="AT2" s="33"/>
      <c r="AU2" s="33"/>
      <c r="AV2" s="33"/>
      <c r="AW2" s="33"/>
      <c r="AX2" s="33">
        <f>0.125/4</f>
        <v>3.125E-2</v>
      </c>
      <c r="AY2" s="33"/>
      <c r="AZ2" s="33"/>
      <c r="BA2" s="33"/>
      <c r="BB2" s="33"/>
      <c r="BC2" s="33"/>
      <c r="BD2" s="33"/>
      <c r="BE2" s="33"/>
      <c r="BF2" s="33">
        <f>0.125/4</f>
        <v>3.125E-2</v>
      </c>
      <c r="BG2" s="33"/>
      <c r="BH2" s="33"/>
      <c r="BI2" s="33"/>
      <c r="BJ2" s="33"/>
      <c r="BK2" s="33"/>
      <c r="BL2" s="33"/>
      <c r="BM2" s="33"/>
      <c r="BN2" s="33">
        <f>0.125/4*2</f>
        <v>6.25E-2</v>
      </c>
      <c r="BO2" s="33"/>
      <c r="BP2" s="33"/>
      <c r="BQ2" s="33"/>
      <c r="BR2" s="33"/>
      <c r="BS2" s="33"/>
      <c r="BT2" s="33"/>
      <c r="BU2" s="33"/>
      <c r="BV2" s="33">
        <f>0.125/4*2</f>
        <v>6.25E-2</v>
      </c>
      <c r="BW2" s="33"/>
      <c r="BX2" s="33"/>
      <c r="BY2" s="33"/>
      <c r="BZ2" s="33"/>
      <c r="CA2" s="33"/>
      <c r="CB2" s="33"/>
      <c r="CC2" s="33"/>
      <c r="CD2" s="33">
        <f>0.125/4*2</f>
        <v>6.25E-2</v>
      </c>
      <c r="CE2" s="33"/>
      <c r="CF2" s="33"/>
      <c r="CG2" s="33"/>
      <c r="CH2" s="33"/>
      <c r="CI2" s="33"/>
      <c r="CJ2" s="33"/>
      <c r="CK2" s="33"/>
      <c r="CL2" s="33">
        <f>0.125/4*2</f>
        <v>6.25E-2</v>
      </c>
      <c r="CM2" s="33"/>
      <c r="CN2" s="33"/>
      <c r="CO2" s="33"/>
      <c r="CP2" s="33"/>
      <c r="CQ2" s="33"/>
      <c r="CR2" s="33"/>
      <c r="CS2" s="33"/>
      <c r="CT2" s="33">
        <f>0.125/4</f>
        <v>3.125E-2</v>
      </c>
      <c r="CU2" s="33"/>
      <c r="CV2" s="33"/>
      <c r="CW2" s="33"/>
      <c r="CX2" s="33"/>
      <c r="CY2" s="33"/>
      <c r="CZ2" s="33"/>
      <c r="DA2" s="33"/>
      <c r="DB2" s="33">
        <f>0.125/4</f>
        <v>3.125E-2</v>
      </c>
      <c r="DC2" s="33"/>
      <c r="DD2" s="33"/>
      <c r="DE2" s="33"/>
      <c r="DF2" s="33"/>
      <c r="DG2" s="33"/>
      <c r="DH2" s="33"/>
      <c r="DI2" s="33"/>
      <c r="DJ2" s="33">
        <f>0.125/4</f>
        <v>3.125E-2</v>
      </c>
      <c r="DK2" s="33"/>
      <c r="DL2" s="33"/>
      <c r="DM2" s="33"/>
      <c r="DN2" s="33"/>
      <c r="DO2" s="33"/>
      <c r="DP2" s="33"/>
      <c r="DQ2" s="33"/>
      <c r="DR2" s="33">
        <f>0.125/4</f>
        <v>3.125E-2</v>
      </c>
      <c r="DS2" s="33"/>
      <c r="DT2" s="33"/>
      <c r="DU2" s="33"/>
      <c r="DV2" s="33"/>
      <c r="DW2" s="33"/>
      <c r="DX2" s="33"/>
      <c r="DY2" s="33"/>
    </row>
    <row r="3" spans="1:129" x14ac:dyDescent="0.2">
      <c r="A3" s="4" t="s">
        <v>78</v>
      </c>
      <c r="B3" s="39">
        <v>2</v>
      </c>
      <c r="C3" s="40"/>
      <c r="D3" s="40"/>
      <c r="E3" s="40"/>
      <c r="F3" s="40"/>
      <c r="G3" s="40"/>
      <c r="H3" s="40"/>
      <c r="I3" s="41"/>
      <c r="J3" s="39">
        <v>2</v>
      </c>
      <c r="K3" s="40"/>
      <c r="L3" s="40"/>
      <c r="M3" s="40"/>
      <c r="N3" s="40"/>
      <c r="O3" s="40"/>
      <c r="P3" s="40"/>
      <c r="Q3" s="41"/>
      <c r="R3" s="39">
        <v>2</v>
      </c>
      <c r="S3" s="40"/>
      <c r="T3" s="40"/>
      <c r="U3" s="40"/>
      <c r="V3" s="40"/>
      <c r="W3" s="40"/>
      <c r="X3" s="40"/>
      <c r="Y3" s="41"/>
      <c r="Z3" s="39">
        <v>2</v>
      </c>
      <c r="AA3" s="40"/>
      <c r="AB3" s="40"/>
      <c r="AC3" s="40"/>
      <c r="AD3" s="40"/>
      <c r="AE3" s="40"/>
      <c r="AF3" s="40"/>
      <c r="AG3" s="41"/>
      <c r="AH3" s="39">
        <v>6</v>
      </c>
      <c r="AI3" s="40"/>
      <c r="AJ3" s="40"/>
      <c r="AK3" s="40"/>
      <c r="AL3" s="40"/>
      <c r="AM3" s="40"/>
      <c r="AN3" s="40"/>
      <c r="AO3" s="41"/>
      <c r="AP3" s="39">
        <v>6</v>
      </c>
      <c r="AQ3" s="40"/>
      <c r="AR3" s="40"/>
      <c r="AS3" s="40"/>
      <c r="AT3" s="40"/>
      <c r="AU3" s="40"/>
      <c r="AV3" s="40"/>
      <c r="AW3" s="41"/>
      <c r="AX3" s="39">
        <v>6</v>
      </c>
      <c r="AY3" s="40"/>
      <c r="AZ3" s="40"/>
      <c r="BA3" s="40"/>
      <c r="BB3" s="40"/>
      <c r="BC3" s="40"/>
      <c r="BD3" s="40"/>
      <c r="BE3" s="41"/>
      <c r="BF3" s="39">
        <v>6</v>
      </c>
      <c r="BG3" s="40"/>
      <c r="BH3" s="40"/>
      <c r="BI3" s="40"/>
      <c r="BJ3" s="40"/>
      <c r="BK3" s="40"/>
      <c r="BL3" s="40"/>
      <c r="BM3" s="41"/>
      <c r="BN3" s="42">
        <v>10</v>
      </c>
      <c r="BO3" s="37"/>
      <c r="BP3" s="37"/>
      <c r="BQ3" s="37"/>
      <c r="BR3" s="37"/>
      <c r="BS3" s="37"/>
      <c r="BT3" s="37"/>
      <c r="BU3" s="38"/>
      <c r="BV3" s="36">
        <v>10</v>
      </c>
      <c r="BW3" s="37"/>
      <c r="BX3" s="37"/>
      <c r="BY3" s="37"/>
      <c r="BZ3" s="37"/>
      <c r="CA3" s="37"/>
      <c r="CB3" s="37"/>
      <c r="CC3" s="38"/>
      <c r="CD3" s="36">
        <v>10</v>
      </c>
      <c r="CE3" s="37"/>
      <c r="CF3" s="37"/>
      <c r="CG3" s="37"/>
      <c r="CH3" s="37"/>
      <c r="CI3" s="37"/>
      <c r="CJ3" s="37"/>
      <c r="CK3" s="38"/>
      <c r="CL3" s="36">
        <v>10</v>
      </c>
      <c r="CM3" s="37"/>
      <c r="CN3" s="37"/>
      <c r="CO3" s="37"/>
      <c r="CP3" s="37"/>
      <c r="CQ3" s="37"/>
      <c r="CR3" s="37"/>
      <c r="CS3" s="38"/>
      <c r="CT3" s="36">
        <v>14</v>
      </c>
      <c r="CU3" s="37"/>
      <c r="CV3" s="37"/>
      <c r="CW3" s="37"/>
      <c r="CX3" s="37"/>
      <c r="CY3" s="37"/>
      <c r="CZ3" s="37"/>
      <c r="DA3" s="38"/>
      <c r="DB3" s="36">
        <v>14</v>
      </c>
      <c r="DC3" s="37"/>
      <c r="DD3" s="37"/>
      <c r="DE3" s="37"/>
      <c r="DF3" s="37"/>
      <c r="DG3" s="37"/>
      <c r="DH3" s="37"/>
      <c r="DI3" s="38"/>
      <c r="DJ3" s="36">
        <v>14</v>
      </c>
      <c r="DK3" s="37"/>
      <c r="DL3" s="37"/>
      <c r="DM3" s="37"/>
      <c r="DN3" s="37"/>
      <c r="DO3" s="37"/>
      <c r="DP3" s="37"/>
      <c r="DQ3" s="38"/>
      <c r="DR3" s="36">
        <v>14</v>
      </c>
      <c r="DS3" s="37"/>
      <c r="DT3" s="37"/>
      <c r="DU3" s="37"/>
      <c r="DV3" s="37"/>
      <c r="DW3" s="37"/>
      <c r="DX3" s="37"/>
      <c r="DY3" s="38"/>
    </row>
    <row r="4" spans="1:129" x14ac:dyDescent="0.2">
      <c r="A4" s="4"/>
      <c r="B4" s="34" t="s">
        <v>71</v>
      </c>
      <c r="C4" s="34"/>
      <c r="D4" s="34"/>
      <c r="E4" s="34"/>
      <c r="F4" s="35" t="s">
        <v>72</v>
      </c>
      <c r="G4" s="35"/>
      <c r="H4" s="35"/>
      <c r="I4" s="35"/>
      <c r="J4" s="34" t="s">
        <v>71</v>
      </c>
      <c r="K4" s="34"/>
      <c r="L4" s="34"/>
      <c r="M4" s="34"/>
      <c r="N4" s="35" t="s">
        <v>72</v>
      </c>
      <c r="O4" s="35"/>
      <c r="P4" s="35"/>
      <c r="Q4" s="35"/>
      <c r="R4" s="34" t="s">
        <v>71</v>
      </c>
      <c r="S4" s="34"/>
      <c r="T4" s="34"/>
      <c r="U4" s="34"/>
      <c r="V4" s="35" t="s">
        <v>72</v>
      </c>
      <c r="W4" s="35"/>
      <c r="X4" s="35"/>
      <c r="Y4" s="35"/>
      <c r="Z4" s="34" t="s">
        <v>71</v>
      </c>
      <c r="AA4" s="34"/>
      <c r="AB4" s="34"/>
      <c r="AC4" s="34"/>
      <c r="AD4" s="35" t="s">
        <v>72</v>
      </c>
      <c r="AE4" s="35"/>
      <c r="AF4" s="35"/>
      <c r="AG4" s="35"/>
      <c r="AH4" s="34" t="s">
        <v>71</v>
      </c>
      <c r="AI4" s="34"/>
      <c r="AJ4" s="34"/>
      <c r="AK4" s="34"/>
      <c r="AL4" s="35" t="s">
        <v>72</v>
      </c>
      <c r="AM4" s="35"/>
      <c r="AN4" s="35"/>
      <c r="AO4" s="35"/>
      <c r="AP4" s="34" t="s">
        <v>71</v>
      </c>
      <c r="AQ4" s="34"/>
      <c r="AR4" s="34"/>
      <c r="AS4" s="34"/>
      <c r="AT4" s="35" t="s">
        <v>72</v>
      </c>
      <c r="AU4" s="35"/>
      <c r="AV4" s="35"/>
      <c r="AW4" s="35"/>
      <c r="AX4" s="34" t="s">
        <v>71</v>
      </c>
      <c r="AY4" s="34"/>
      <c r="AZ4" s="34"/>
      <c r="BA4" s="34"/>
      <c r="BB4" s="35" t="s">
        <v>72</v>
      </c>
      <c r="BC4" s="35"/>
      <c r="BD4" s="35"/>
      <c r="BE4" s="35"/>
      <c r="BF4" s="34" t="s">
        <v>71</v>
      </c>
      <c r="BG4" s="34"/>
      <c r="BH4" s="34"/>
      <c r="BI4" s="34"/>
      <c r="BJ4" s="35" t="s">
        <v>72</v>
      </c>
      <c r="BK4" s="35"/>
      <c r="BL4" s="35"/>
      <c r="BM4" s="35"/>
      <c r="BN4" s="34" t="s">
        <v>71</v>
      </c>
      <c r="BO4" s="34"/>
      <c r="BP4" s="34"/>
      <c r="BQ4" s="34"/>
      <c r="BR4" s="35" t="s">
        <v>72</v>
      </c>
      <c r="BS4" s="35"/>
      <c r="BT4" s="35"/>
      <c r="BU4" s="35"/>
      <c r="BV4" s="34" t="s">
        <v>71</v>
      </c>
      <c r="BW4" s="34"/>
      <c r="BX4" s="34"/>
      <c r="BY4" s="34"/>
      <c r="BZ4" s="35" t="s">
        <v>72</v>
      </c>
      <c r="CA4" s="35"/>
      <c r="CB4" s="35"/>
      <c r="CC4" s="35"/>
      <c r="CD4" s="34" t="s">
        <v>71</v>
      </c>
      <c r="CE4" s="34"/>
      <c r="CF4" s="34"/>
      <c r="CG4" s="34"/>
      <c r="CH4" s="35" t="s">
        <v>72</v>
      </c>
      <c r="CI4" s="35"/>
      <c r="CJ4" s="35"/>
      <c r="CK4" s="35"/>
      <c r="CL4" s="34" t="s">
        <v>71</v>
      </c>
      <c r="CM4" s="34"/>
      <c r="CN4" s="34"/>
      <c r="CO4" s="34"/>
      <c r="CP4" s="35" t="s">
        <v>72</v>
      </c>
      <c r="CQ4" s="35"/>
      <c r="CR4" s="35"/>
      <c r="CS4" s="35"/>
      <c r="CT4" s="34" t="s">
        <v>71</v>
      </c>
      <c r="CU4" s="34"/>
      <c r="CV4" s="34"/>
      <c r="CW4" s="34"/>
      <c r="CX4" s="35" t="s">
        <v>72</v>
      </c>
      <c r="CY4" s="35"/>
      <c r="CZ4" s="35"/>
      <c r="DA4" s="35"/>
      <c r="DB4" s="34" t="s">
        <v>71</v>
      </c>
      <c r="DC4" s="34"/>
      <c r="DD4" s="34"/>
      <c r="DE4" s="34"/>
      <c r="DF4" s="35" t="s">
        <v>72</v>
      </c>
      <c r="DG4" s="35"/>
      <c r="DH4" s="35"/>
      <c r="DI4" s="35"/>
      <c r="DJ4" s="34" t="s">
        <v>71</v>
      </c>
      <c r="DK4" s="34"/>
      <c r="DL4" s="34"/>
      <c r="DM4" s="34"/>
      <c r="DN4" s="35" t="s">
        <v>72</v>
      </c>
      <c r="DO4" s="35"/>
      <c r="DP4" s="35"/>
      <c r="DQ4" s="35"/>
      <c r="DR4" s="34" t="s">
        <v>71</v>
      </c>
      <c r="DS4" s="34"/>
      <c r="DT4" s="34"/>
      <c r="DU4" s="34"/>
      <c r="DV4" s="35" t="s">
        <v>72</v>
      </c>
      <c r="DW4" s="35"/>
      <c r="DX4" s="35"/>
      <c r="DY4" s="35"/>
    </row>
    <row r="5" spans="1:129" x14ac:dyDescent="0.2">
      <c r="A5" s="4" t="s">
        <v>52</v>
      </c>
      <c r="B5" s="5" t="str">
        <f>Nodes!B11</f>
        <v>NBP</v>
      </c>
      <c r="C5" s="5" t="str">
        <f>Nodes!B12</f>
        <v>Zeebrugge</v>
      </c>
      <c r="D5" s="5" t="str">
        <f>Nodes!B13</f>
        <v>Dunkerque</v>
      </c>
      <c r="E5" s="5" t="str">
        <f>Nodes!B14</f>
        <v>Germany</v>
      </c>
      <c r="F5" s="6" t="str">
        <f>B5</f>
        <v>NBP</v>
      </c>
      <c r="G5" s="6" t="str">
        <f t="shared" ref="G5:I5" si="0">C5</f>
        <v>Zeebrugge</v>
      </c>
      <c r="H5" s="6" t="str">
        <f t="shared" si="0"/>
        <v>Dunkerque</v>
      </c>
      <c r="I5" s="6" t="str">
        <f t="shared" si="0"/>
        <v>Germany</v>
      </c>
      <c r="J5" s="5" t="str">
        <f>B5</f>
        <v>NBP</v>
      </c>
      <c r="K5" s="5" t="str">
        <f t="shared" ref="K5:M5" si="1">C5</f>
        <v>Zeebrugge</v>
      </c>
      <c r="L5" s="5" t="str">
        <f t="shared" si="1"/>
        <v>Dunkerque</v>
      </c>
      <c r="M5" s="5" t="str">
        <f t="shared" si="1"/>
        <v>Germany</v>
      </c>
      <c r="N5" s="6" t="str">
        <f>J5</f>
        <v>NBP</v>
      </c>
      <c r="O5" s="6" t="str">
        <f t="shared" ref="O5:Q5" si="2">K5</f>
        <v>Zeebrugge</v>
      </c>
      <c r="P5" s="6" t="str">
        <f t="shared" si="2"/>
        <v>Dunkerque</v>
      </c>
      <c r="Q5" s="6" t="str">
        <f t="shared" si="2"/>
        <v>Germany</v>
      </c>
      <c r="R5" s="5" t="str">
        <f>J5</f>
        <v>NBP</v>
      </c>
      <c r="S5" s="5" t="str">
        <f t="shared" ref="S5:U5" si="3">K5</f>
        <v>Zeebrugge</v>
      </c>
      <c r="T5" s="5" t="str">
        <f t="shared" si="3"/>
        <v>Dunkerque</v>
      </c>
      <c r="U5" s="5" t="str">
        <f t="shared" si="3"/>
        <v>Germany</v>
      </c>
      <c r="V5" s="6" t="str">
        <f>R5</f>
        <v>NBP</v>
      </c>
      <c r="W5" s="6" t="str">
        <f t="shared" ref="W5:Y5" si="4">S5</f>
        <v>Zeebrugge</v>
      </c>
      <c r="X5" s="6" t="str">
        <f t="shared" si="4"/>
        <v>Dunkerque</v>
      </c>
      <c r="Y5" s="6" t="str">
        <f t="shared" si="4"/>
        <v>Germany</v>
      </c>
      <c r="Z5" s="5" t="str">
        <f>R5</f>
        <v>NBP</v>
      </c>
      <c r="AA5" s="5" t="str">
        <f t="shared" ref="AA5:AC5" si="5">S5</f>
        <v>Zeebrugge</v>
      </c>
      <c r="AB5" s="5" t="str">
        <f t="shared" si="5"/>
        <v>Dunkerque</v>
      </c>
      <c r="AC5" s="5" t="str">
        <f t="shared" si="5"/>
        <v>Germany</v>
      </c>
      <c r="AD5" s="6" t="str">
        <f>Z5</f>
        <v>NBP</v>
      </c>
      <c r="AE5" s="6" t="str">
        <f t="shared" ref="AE5:AG5" si="6">AA5</f>
        <v>Zeebrugge</v>
      </c>
      <c r="AF5" s="6" t="str">
        <f t="shared" si="6"/>
        <v>Dunkerque</v>
      </c>
      <c r="AG5" s="6" t="str">
        <f t="shared" si="6"/>
        <v>Germany</v>
      </c>
      <c r="AH5" s="5" t="str">
        <f>Z5</f>
        <v>NBP</v>
      </c>
      <c r="AI5" s="5" t="str">
        <f t="shared" ref="AI5:AK5" si="7">AA5</f>
        <v>Zeebrugge</v>
      </c>
      <c r="AJ5" s="5" t="str">
        <f t="shared" si="7"/>
        <v>Dunkerque</v>
      </c>
      <c r="AK5" s="5" t="str">
        <f t="shared" si="7"/>
        <v>Germany</v>
      </c>
      <c r="AL5" s="6" t="str">
        <f>AH5</f>
        <v>NBP</v>
      </c>
      <c r="AM5" s="6" t="str">
        <f t="shared" ref="AM5:AO5" si="8">AI5</f>
        <v>Zeebrugge</v>
      </c>
      <c r="AN5" s="6" t="str">
        <f t="shared" si="8"/>
        <v>Dunkerque</v>
      </c>
      <c r="AO5" s="6" t="str">
        <f t="shared" si="8"/>
        <v>Germany</v>
      </c>
      <c r="AP5" s="5" t="str">
        <f>AH5</f>
        <v>NBP</v>
      </c>
      <c r="AQ5" s="5" t="str">
        <f t="shared" ref="AQ5:AS5" si="9">AI5</f>
        <v>Zeebrugge</v>
      </c>
      <c r="AR5" s="5" t="str">
        <f t="shared" si="9"/>
        <v>Dunkerque</v>
      </c>
      <c r="AS5" s="5" t="str">
        <f t="shared" si="9"/>
        <v>Germany</v>
      </c>
      <c r="AT5" s="6" t="str">
        <f>AP5</f>
        <v>NBP</v>
      </c>
      <c r="AU5" s="6" t="str">
        <f t="shared" ref="AU5:AW5" si="10">AQ5</f>
        <v>Zeebrugge</v>
      </c>
      <c r="AV5" s="6" t="str">
        <f t="shared" si="10"/>
        <v>Dunkerque</v>
      </c>
      <c r="AW5" s="6" t="str">
        <f t="shared" si="10"/>
        <v>Germany</v>
      </c>
      <c r="AX5" s="5" t="str">
        <f>AP5</f>
        <v>NBP</v>
      </c>
      <c r="AY5" s="5" t="str">
        <f t="shared" ref="AY5:BA5" si="11">AQ5</f>
        <v>Zeebrugge</v>
      </c>
      <c r="AZ5" s="5" t="str">
        <f t="shared" si="11"/>
        <v>Dunkerque</v>
      </c>
      <c r="BA5" s="5" t="str">
        <f t="shared" si="11"/>
        <v>Germany</v>
      </c>
      <c r="BB5" s="6" t="str">
        <f>AX5</f>
        <v>NBP</v>
      </c>
      <c r="BC5" s="6" t="str">
        <f t="shared" ref="BC5:BE5" si="12">AY5</f>
        <v>Zeebrugge</v>
      </c>
      <c r="BD5" s="6" t="str">
        <f t="shared" si="12"/>
        <v>Dunkerque</v>
      </c>
      <c r="BE5" s="6" t="str">
        <f t="shared" si="12"/>
        <v>Germany</v>
      </c>
      <c r="BF5" s="5" t="str">
        <f>AX5</f>
        <v>NBP</v>
      </c>
      <c r="BG5" s="5" t="str">
        <f t="shared" ref="BG5:BI5" si="13">AY5</f>
        <v>Zeebrugge</v>
      </c>
      <c r="BH5" s="5" t="str">
        <f t="shared" si="13"/>
        <v>Dunkerque</v>
      </c>
      <c r="BI5" s="5" t="str">
        <f t="shared" si="13"/>
        <v>Germany</v>
      </c>
      <c r="BJ5" s="6" t="str">
        <f>BF5</f>
        <v>NBP</v>
      </c>
      <c r="BK5" s="6" t="str">
        <f t="shared" ref="BK5:BM5" si="14">BG5</f>
        <v>Zeebrugge</v>
      </c>
      <c r="BL5" s="6" t="str">
        <f t="shared" si="14"/>
        <v>Dunkerque</v>
      </c>
      <c r="BM5" s="6" t="str">
        <f t="shared" si="14"/>
        <v>Germany</v>
      </c>
      <c r="BN5" s="5" t="str">
        <f>BF5</f>
        <v>NBP</v>
      </c>
      <c r="BO5" s="5" t="str">
        <f t="shared" ref="BO5:BQ5" si="15">BG5</f>
        <v>Zeebrugge</v>
      </c>
      <c r="BP5" s="5" t="str">
        <f t="shared" si="15"/>
        <v>Dunkerque</v>
      </c>
      <c r="BQ5" s="5" t="str">
        <f t="shared" si="15"/>
        <v>Germany</v>
      </c>
      <c r="BR5" s="6" t="str">
        <f>BN5</f>
        <v>NBP</v>
      </c>
      <c r="BS5" s="6" t="str">
        <f t="shared" ref="BS5:BU5" si="16">BO5</f>
        <v>Zeebrugge</v>
      </c>
      <c r="BT5" s="6" t="str">
        <f t="shared" si="16"/>
        <v>Dunkerque</v>
      </c>
      <c r="BU5" s="6" t="str">
        <f t="shared" si="16"/>
        <v>Germany</v>
      </c>
      <c r="BV5" s="5" t="str">
        <f>BN5</f>
        <v>NBP</v>
      </c>
      <c r="BW5" s="5" t="str">
        <f t="shared" ref="BW5:BY5" si="17">BO5</f>
        <v>Zeebrugge</v>
      </c>
      <c r="BX5" s="5" t="str">
        <f t="shared" si="17"/>
        <v>Dunkerque</v>
      </c>
      <c r="BY5" s="5" t="str">
        <f t="shared" si="17"/>
        <v>Germany</v>
      </c>
      <c r="BZ5" s="6" t="str">
        <f>BV5</f>
        <v>NBP</v>
      </c>
      <c r="CA5" s="6" t="str">
        <f t="shared" ref="CA5:CC5" si="18">BW5</f>
        <v>Zeebrugge</v>
      </c>
      <c r="CB5" s="6" t="str">
        <f t="shared" si="18"/>
        <v>Dunkerque</v>
      </c>
      <c r="CC5" s="6" t="str">
        <f t="shared" si="18"/>
        <v>Germany</v>
      </c>
      <c r="CD5" s="5" t="str">
        <f>BV5</f>
        <v>NBP</v>
      </c>
      <c r="CE5" s="5" t="str">
        <f t="shared" ref="CE5:CG5" si="19">BW5</f>
        <v>Zeebrugge</v>
      </c>
      <c r="CF5" s="5" t="str">
        <f t="shared" si="19"/>
        <v>Dunkerque</v>
      </c>
      <c r="CG5" s="5" t="str">
        <f t="shared" si="19"/>
        <v>Germany</v>
      </c>
      <c r="CH5" s="6" t="str">
        <f>CD5</f>
        <v>NBP</v>
      </c>
      <c r="CI5" s="6" t="str">
        <f t="shared" ref="CI5:CK5" si="20">CE5</f>
        <v>Zeebrugge</v>
      </c>
      <c r="CJ5" s="6" t="str">
        <f t="shared" si="20"/>
        <v>Dunkerque</v>
      </c>
      <c r="CK5" s="6" t="str">
        <f t="shared" si="20"/>
        <v>Germany</v>
      </c>
      <c r="CL5" s="5" t="str">
        <f>CD5</f>
        <v>NBP</v>
      </c>
      <c r="CM5" s="5" t="str">
        <f t="shared" ref="CM5:CO5" si="21">CE5</f>
        <v>Zeebrugge</v>
      </c>
      <c r="CN5" s="5" t="str">
        <f t="shared" si="21"/>
        <v>Dunkerque</v>
      </c>
      <c r="CO5" s="5" t="str">
        <f t="shared" si="21"/>
        <v>Germany</v>
      </c>
      <c r="CP5" s="6" t="str">
        <f>CL5</f>
        <v>NBP</v>
      </c>
      <c r="CQ5" s="6" t="str">
        <f t="shared" ref="CQ5:CS5" si="22">CM5</f>
        <v>Zeebrugge</v>
      </c>
      <c r="CR5" s="6" t="str">
        <f t="shared" si="22"/>
        <v>Dunkerque</v>
      </c>
      <c r="CS5" s="6" t="str">
        <f t="shared" si="22"/>
        <v>Germany</v>
      </c>
      <c r="CT5" s="5" t="str">
        <f>CL5</f>
        <v>NBP</v>
      </c>
      <c r="CU5" s="5" t="str">
        <f t="shared" ref="CU5:CW5" si="23">CM5</f>
        <v>Zeebrugge</v>
      </c>
      <c r="CV5" s="5" t="str">
        <f t="shared" si="23"/>
        <v>Dunkerque</v>
      </c>
      <c r="CW5" s="5" t="str">
        <f t="shared" si="23"/>
        <v>Germany</v>
      </c>
      <c r="CX5" s="6" t="str">
        <f>CT5</f>
        <v>NBP</v>
      </c>
      <c r="CY5" s="6" t="str">
        <f t="shared" ref="CY5:DA5" si="24">CU5</f>
        <v>Zeebrugge</v>
      </c>
      <c r="CZ5" s="6" t="str">
        <f t="shared" si="24"/>
        <v>Dunkerque</v>
      </c>
      <c r="DA5" s="6" t="str">
        <f t="shared" si="24"/>
        <v>Germany</v>
      </c>
      <c r="DB5" s="5" t="str">
        <f>CT5</f>
        <v>NBP</v>
      </c>
      <c r="DC5" s="5" t="str">
        <f t="shared" ref="DC5:DE5" si="25">CU5</f>
        <v>Zeebrugge</v>
      </c>
      <c r="DD5" s="5" t="str">
        <f t="shared" si="25"/>
        <v>Dunkerque</v>
      </c>
      <c r="DE5" s="5" t="str">
        <f t="shared" si="25"/>
        <v>Germany</v>
      </c>
      <c r="DF5" s="6" t="str">
        <f>DB5</f>
        <v>NBP</v>
      </c>
      <c r="DG5" s="6" t="str">
        <f t="shared" ref="DG5:DI5" si="26">DC5</f>
        <v>Zeebrugge</v>
      </c>
      <c r="DH5" s="6" t="str">
        <f t="shared" si="26"/>
        <v>Dunkerque</v>
      </c>
      <c r="DI5" s="6" t="str">
        <f t="shared" si="26"/>
        <v>Germany</v>
      </c>
      <c r="DJ5" s="5" t="str">
        <f>DB5</f>
        <v>NBP</v>
      </c>
      <c r="DK5" s="5" t="str">
        <f t="shared" ref="DK5:DM5" si="27">DC5</f>
        <v>Zeebrugge</v>
      </c>
      <c r="DL5" s="5" t="str">
        <f t="shared" si="27"/>
        <v>Dunkerque</v>
      </c>
      <c r="DM5" s="5" t="str">
        <f t="shared" si="27"/>
        <v>Germany</v>
      </c>
      <c r="DN5" s="6" t="str">
        <f>DJ5</f>
        <v>NBP</v>
      </c>
      <c r="DO5" s="6" t="str">
        <f t="shared" ref="DO5:DQ5" si="28">DK5</f>
        <v>Zeebrugge</v>
      </c>
      <c r="DP5" s="6" t="str">
        <f t="shared" si="28"/>
        <v>Dunkerque</v>
      </c>
      <c r="DQ5" s="6" t="str">
        <f t="shared" si="28"/>
        <v>Germany</v>
      </c>
      <c r="DR5" s="5" t="str">
        <f>DJ5</f>
        <v>NBP</v>
      </c>
      <c r="DS5" s="5" t="str">
        <f t="shared" ref="DS5:DU5" si="29">DK5</f>
        <v>Zeebrugge</v>
      </c>
      <c r="DT5" s="5" t="str">
        <f t="shared" si="29"/>
        <v>Dunkerque</v>
      </c>
      <c r="DU5" s="5" t="str">
        <f t="shared" si="29"/>
        <v>Germany</v>
      </c>
      <c r="DV5" s="6" t="str">
        <f>DR5</f>
        <v>NBP</v>
      </c>
      <c r="DW5" s="6" t="str">
        <f t="shared" ref="DW5:DY5" si="30">DS5</f>
        <v>Zeebrugge</v>
      </c>
      <c r="DX5" s="6" t="str">
        <f t="shared" si="30"/>
        <v>Dunkerque</v>
      </c>
      <c r="DY5" s="6" t="str">
        <f t="shared" si="30"/>
        <v>Germany</v>
      </c>
    </row>
    <row r="6" spans="1:129" x14ac:dyDescent="0.2">
      <c r="A6" s="1">
        <v>0</v>
      </c>
      <c r="B6" s="2">
        <v>30</v>
      </c>
      <c r="C6" s="2">
        <v>40</v>
      </c>
      <c r="D6" s="2">
        <f>$D33+5</f>
        <v>45</v>
      </c>
      <c r="E6" s="2">
        <f>$E33+10</f>
        <v>90</v>
      </c>
      <c r="F6" s="3">
        <v>0</v>
      </c>
      <c r="G6" s="3">
        <v>0</v>
      </c>
      <c r="H6" s="3">
        <v>0</v>
      </c>
      <c r="I6" s="3">
        <v>0</v>
      </c>
      <c r="J6" s="2">
        <v>30</v>
      </c>
      <c r="K6" s="2">
        <v>40</v>
      </c>
      <c r="L6" s="2">
        <f>$D33-5</f>
        <v>35</v>
      </c>
      <c r="M6" s="2">
        <f>$E33+10</f>
        <v>90</v>
      </c>
      <c r="N6" s="3">
        <v>0</v>
      </c>
      <c r="O6" s="3">
        <v>0</v>
      </c>
      <c r="P6" s="3">
        <v>0</v>
      </c>
      <c r="Q6" s="3">
        <v>0</v>
      </c>
      <c r="R6" s="2">
        <v>30</v>
      </c>
      <c r="S6" s="2">
        <v>40</v>
      </c>
      <c r="T6" s="2">
        <f>$D33+5</f>
        <v>45</v>
      </c>
      <c r="U6" s="2">
        <f>$E33-10</f>
        <v>70</v>
      </c>
      <c r="V6" s="3">
        <v>0</v>
      </c>
      <c r="W6" s="3">
        <v>0</v>
      </c>
      <c r="X6" s="3">
        <v>0</v>
      </c>
      <c r="Y6" s="3">
        <v>0</v>
      </c>
      <c r="Z6" s="2">
        <v>30</v>
      </c>
      <c r="AA6" s="2">
        <v>40</v>
      </c>
      <c r="AB6" s="2">
        <f>$D33-5</f>
        <v>35</v>
      </c>
      <c r="AC6" s="2">
        <f>$E33-10</f>
        <v>70</v>
      </c>
      <c r="AD6" s="3">
        <v>0</v>
      </c>
      <c r="AE6" s="3">
        <v>0</v>
      </c>
      <c r="AF6" s="3">
        <v>0</v>
      </c>
      <c r="AG6" s="3">
        <v>0</v>
      </c>
      <c r="AH6" s="2">
        <v>30</v>
      </c>
      <c r="AI6" s="2">
        <v>40</v>
      </c>
      <c r="AJ6" s="2">
        <f>$D33+5</f>
        <v>45</v>
      </c>
      <c r="AK6" s="2">
        <f>$E33+10</f>
        <v>90</v>
      </c>
      <c r="AL6" s="3">
        <v>0</v>
      </c>
      <c r="AM6" s="3">
        <v>0</v>
      </c>
      <c r="AN6" s="3">
        <v>0</v>
      </c>
      <c r="AO6" s="3">
        <v>0</v>
      </c>
      <c r="AP6" s="2">
        <v>30</v>
      </c>
      <c r="AQ6" s="2">
        <v>40</v>
      </c>
      <c r="AR6" s="2">
        <f>$D33-5</f>
        <v>35</v>
      </c>
      <c r="AS6" s="2">
        <f>$E33+10</f>
        <v>90</v>
      </c>
      <c r="AT6" s="3">
        <v>0</v>
      </c>
      <c r="AU6" s="3">
        <v>0</v>
      </c>
      <c r="AV6" s="3">
        <v>0</v>
      </c>
      <c r="AW6" s="3">
        <v>0</v>
      </c>
      <c r="AX6" s="2">
        <v>30</v>
      </c>
      <c r="AY6" s="2">
        <v>40</v>
      </c>
      <c r="AZ6" s="2">
        <f>$D33+5</f>
        <v>45</v>
      </c>
      <c r="BA6" s="2">
        <f>$E33-10</f>
        <v>70</v>
      </c>
      <c r="BB6" s="3">
        <v>0</v>
      </c>
      <c r="BC6" s="3">
        <v>0</v>
      </c>
      <c r="BD6" s="3">
        <v>0</v>
      </c>
      <c r="BE6" s="3">
        <v>0</v>
      </c>
      <c r="BF6" s="2">
        <v>30</v>
      </c>
      <c r="BG6" s="2">
        <v>40</v>
      </c>
      <c r="BH6" s="2">
        <f>$D33-5</f>
        <v>35</v>
      </c>
      <c r="BI6" s="2">
        <f>$E33-10</f>
        <v>70</v>
      </c>
      <c r="BJ6" s="3">
        <v>0</v>
      </c>
      <c r="BK6" s="3">
        <v>0</v>
      </c>
      <c r="BL6" s="3">
        <v>0</v>
      </c>
      <c r="BM6" s="3">
        <v>0</v>
      </c>
      <c r="BN6" s="2">
        <v>30</v>
      </c>
      <c r="BO6" s="2">
        <v>40</v>
      </c>
      <c r="BP6" s="2">
        <f>$D33+5</f>
        <v>45</v>
      </c>
      <c r="BQ6" s="2">
        <f>$E33+10</f>
        <v>90</v>
      </c>
      <c r="BR6" s="3">
        <v>0</v>
      </c>
      <c r="BS6" s="3">
        <v>0</v>
      </c>
      <c r="BT6" s="3">
        <v>0</v>
      </c>
      <c r="BU6" s="3">
        <v>0</v>
      </c>
      <c r="BV6" s="2">
        <v>30</v>
      </c>
      <c r="BW6" s="2">
        <v>40</v>
      </c>
      <c r="BX6" s="2">
        <f>$D33-5</f>
        <v>35</v>
      </c>
      <c r="BY6" s="2">
        <f>$E33+10</f>
        <v>90</v>
      </c>
      <c r="BZ6" s="3">
        <v>0</v>
      </c>
      <c r="CA6" s="3">
        <v>0</v>
      </c>
      <c r="CB6" s="3">
        <v>0</v>
      </c>
      <c r="CC6" s="3">
        <v>0</v>
      </c>
      <c r="CD6" s="2">
        <v>30</v>
      </c>
      <c r="CE6" s="2">
        <v>40</v>
      </c>
      <c r="CF6" s="2">
        <f>$D33+5</f>
        <v>45</v>
      </c>
      <c r="CG6" s="2">
        <f>$E33-10</f>
        <v>70</v>
      </c>
      <c r="CH6" s="3">
        <v>0</v>
      </c>
      <c r="CI6" s="3">
        <v>0</v>
      </c>
      <c r="CJ6" s="3">
        <v>0</v>
      </c>
      <c r="CK6" s="3">
        <v>0</v>
      </c>
      <c r="CL6" s="2">
        <v>30</v>
      </c>
      <c r="CM6" s="2">
        <v>40</v>
      </c>
      <c r="CN6" s="2">
        <f>$D33-5</f>
        <v>35</v>
      </c>
      <c r="CO6" s="2">
        <f>$E33-10</f>
        <v>70</v>
      </c>
      <c r="CP6" s="3">
        <v>0</v>
      </c>
      <c r="CQ6" s="3">
        <v>0</v>
      </c>
      <c r="CR6" s="3">
        <v>0</v>
      </c>
      <c r="CS6" s="3">
        <v>0</v>
      </c>
      <c r="CT6" s="2">
        <v>30</v>
      </c>
      <c r="CU6" s="2">
        <v>40</v>
      </c>
      <c r="CV6" s="2">
        <f>$D33+5</f>
        <v>45</v>
      </c>
      <c r="CW6" s="2">
        <f>$E33+10</f>
        <v>90</v>
      </c>
      <c r="CX6" s="3">
        <v>0</v>
      </c>
      <c r="CY6" s="3">
        <v>0</v>
      </c>
      <c r="CZ6" s="3">
        <v>0</v>
      </c>
      <c r="DA6" s="3">
        <v>0</v>
      </c>
      <c r="DB6" s="2">
        <v>30</v>
      </c>
      <c r="DC6" s="2">
        <v>40</v>
      </c>
      <c r="DD6" s="2">
        <f>$D33-5</f>
        <v>35</v>
      </c>
      <c r="DE6" s="2">
        <f>$E33+10</f>
        <v>90</v>
      </c>
      <c r="DF6" s="3">
        <v>0</v>
      </c>
      <c r="DG6" s="3">
        <v>0</v>
      </c>
      <c r="DH6" s="3">
        <v>0</v>
      </c>
      <c r="DI6" s="3">
        <v>0</v>
      </c>
      <c r="DJ6" s="2">
        <v>30</v>
      </c>
      <c r="DK6" s="2">
        <v>40</v>
      </c>
      <c r="DL6" s="2">
        <f>$D33+5</f>
        <v>45</v>
      </c>
      <c r="DM6" s="2">
        <f>$E33-10</f>
        <v>70</v>
      </c>
      <c r="DN6" s="3">
        <v>0</v>
      </c>
      <c r="DO6" s="3">
        <v>0</v>
      </c>
      <c r="DP6" s="3">
        <v>0</v>
      </c>
      <c r="DQ6" s="3">
        <v>0</v>
      </c>
      <c r="DR6" s="2">
        <v>30</v>
      </c>
      <c r="DS6" s="2">
        <v>40</v>
      </c>
      <c r="DT6" s="2">
        <f>$D33-5</f>
        <v>35</v>
      </c>
      <c r="DU6" s="2">
        <f>$E33-10</f>
        <v>70</v>
      </c>
      <c r="DV6" s="3">
        <v>0</v>
      </c>
      <c r="DW6" s="3">
        <v>0</v>
      </c>
      <c r="DX6" s="3">
        <v>0</v>
      </c>
      <c r="DY6" s="3">
        <v>0</v>
      </c>
    </row>
    <row r="7" spans="1:129" x14ac:dyDescent="0.2">
      <c r="A7" s="1">
        <v>1</v>
      </c>
      <c r="B7" s="2">
        <v>30</v>
      </c>
      <c r="C7" s="2">
        <v>40</v>
      </c>
      <c r="D7" s="2">
        <f t="shared" ref="D7:D9" si="31">$D34+5</f>
        <v>50</v>
      </c>
      <c r="E7" s="2">
        <f t="shared" ref="E7:E9" si="32">$E34+10</f>
        <v>100</v>
      </c>
      <c r="F7" s="3">
        <f>F6*0.5</f>
        <v>0</v>
      </c>
      <c r="G7" s="3">
        <f t="shared" ref="G7:H7" si="33">G6*0.5</f>
        <v>0</v>
      </c>
      <c r="H7" s="3">
        <f t="shared" si="33"/>
        <v>0</v>
      </c>
      <c r="I7" s="3">
        <v>0</v>
      </c>
      <c r="J7" s="2">
        <v>30</v>
      </c>
      <c r="K7" s="2">
        <v>40</v>
      </c>
      <c r="L7" s="2">
        <f>$D34-5</f>
        <v>40</v>
      </c>
      <c r="M7" s="2">
        <f t="shared" ref="M7:M9" si="34">$E34+10</f>
        <v>100</v>
      </c>
      <c r="N7" s="3">
        <f>N6*0.5</f>
        <v>0</v>
      </c>
      <c r="O7" s="3">
        <f t="shared" ref="O7:P7" si="35">O6*0.5</f>
        <v>0</v>
      </c>
      <c r="P7" s="3">
        <f t="shared" si="35"/>
        <v>0</v>
      </c>
      <c r="Q7" s="3">
        <v>0</v>
      </c>
      <c r="R7" s="2">
        <v>30</v>
      </c>
      <c r="S7" s="2">
        <v>40</v>
      </c>
      <c r="T7" s="2">
        <f t="shared" ref="T7:T9" si="36">$D34+5</f>
        <v>50</v>
      </c>
      <c r="U7" s="2">
        <f t="shared" ref="U7:U9" si="37">$E34-10</f>
        <v>80</v>
      </c>
      <c r="V7" s="3">
        <f>V6*0.5</f>
        <v>0</v>
      </c>
      <c r="W7" s="3">
        <f t="shared" ref="W7:X7" si="38">W6*0.5</f>
        <v>0</v>
      </c>
      <c r="X7" s="3">
        <f t="shared" si="38"/>
        <v>0</v>
      </c>
      <c r="Y7" s="3">
        <v>0</v>
      </c>
      <c r="Z7" s="2">
        <v>30</v>
      </c>
      <c r="AA7" s="2">
        <v>40</v>
      </c>
      <c r="AB7" s="2">
        <f t="shared" ref="AB7:AB9" si="39">$D34-5</f>
        <v>40</v>
      </c>
      <c r="AC7" s="2">
        <f t="shared" ref="AC7:AC9" si="40">$E34-10</f>
        <v>80</v>
      </c>
      <c r="AD7" s="3">
        <f>AD6*0.5</f>
        <v>0</v>
      </c>
      <c r="AE7" s="3">
        <f t="shared" ref="AE7:AF7" si="41">AE6*0.5</f>
        <v>0</v>
      </c>
      <c r="AF7" s="3">
        <f t="shared" si="41"/>
        <v>0</v>
      </c>
      <c r="AG7" s="3">
        <v>0</v>
      </c>
      <c r="AH7" s="2">
        <v>30</v>
      </c>
      <c r="AI7" s="2">
        <v>40</v>
      </c>
      <c r="AJ7" s="2">
        <f t="shared" ref="AJ7:AJ9" si="42">$D34+5</f>
        <v>50</v>
      </c>
      <c r="AK7" s="2">
        <f t="shared" ref="AK7:AK9" si="43">$E34+10</f>
        <v>100</v>
      </c>
      <c r="AL7" s="3">
        <f>AL6*0.5</f>
        <v>0</v>
      </c>
      <c r="AM7" s="3">
        <f t="shared" ref="AM7:AN7" si="44">AM6*0.5</f>
        <v>0</v>
      </c>
      <c r="AN7" s="3">
        <f t="shared" si="44"/>
        <v>0</v>
      </c>
      <c r="AO7" s="3">
        <v>0</v>
      </c>
      <c r="AP7" s="2">
        <v>30</v>
      </c>
      <c r="AQ7" s="2">
        <v>40</v>
      </c>
      <c r="AR7" s="2">
        <f>$D34-5</f>
        <v>40</v>
      </c>
      <c r="AS7" s="2">
        <f t="shared" ref="AS7:AS9" si="45">$E34+10</f>
        <v>100</v>
      </c>
      <c r="AT7" s="3">
        <f>AT6*0.5</f>
        <v>0</v>
      </c>
      <c r="AU7" s="3">
        <f t="shared" ref="AU7:AV7" si="46">AU6*0.5</f>
        <v>0</v>
      </c>
      <c r="AV7" s="3">
        <f t="shared" si="46"/>
        <v>0</v>
      </c>
      <c r="AW7" s="3">
        <v>0</v>
      </c>
      <c r="AX7" s="2">
        <v>30</v>
      </c>
      <c r="AY7" s="2">
        <v>40</v>
      </c>
      <c r="AZ7" s="2">
        <f t="shared" ref="AZ7:AZ9" si="47">$D34+5</f>
        <v>50</v>
      </c>
      <c r="BA7" s="2">
        <f t="shared" ref="BA7:BA9" si="48">$E34-10</f>
        <v>80</v>
      </c>
      <c r="BB7" s="3">
        <f>BB6*0.5</f>
        <v>0</v>
      </c>
      <c r="BC7" s="3">
        <f t="shared" ref="BC7:BD7" si="49">BC6*0.5</f>
        <v>0</v>
      </c>
      <c r="BD7" s="3">
        <f t="shared" si="49"/>
        <v>0</v>
      </c>
      <c r="BE7" s="3">
        <v>0</v>
      </c>
      <c r="BF7" s="2">
        <v>30</v>
      </c>
      <c r="BG7" s="2">
        <v>40</v>
      </c>
      <c r="BH7" s="2">
        <f t="shared" ref="BH7:BH9" si="50">$D34-5</f>
        <v>40</v>
      </c>
      <c r="BI7" s="2">
        <f t="shared" ref="BI7:BI9" si="51">$E34-10</f>
        <v>80</v>
      </c>
      <c r="BJ7" s="3">
        <f>BJ6*0.5</f>
        <v>0</v>
      </c>
      <c r="BK7" s="3">
        <f t="shared" ref="BK7:BL7" si="52">BK6*0.5</f>
        <v>0</v>
      </c>
      <c r="BL7" s="3">
        <f t="shared" si="52"/>
        <v>0</v>
      </c>
      <c r="BM7" s="3">
        <v>0</v>
      </c>
      <c r="BN7" s="2">
        <v>30</v>
      </c>
      <c r="BO7" s="2">
        <v>40</v>
      </c>
      <c r="BP7" s="2">
        <f t="shared" ref="BP7:BP9" si="53">$D34+5</f>
        <v>50</v>
      </c>
      <c r="BQ7" s="2">
        <f t="shared" ref="BQ7:BQ9" si="54">$E34+10</f>
        <v>100</v>
      </c>
      <c r="BR7" s="3">
        <f>BR6*0.5</f>
        <v>0</v>
      </c>
      <c r="BS7" s="3">
        <f t="shared" ref="BS7:BT7" si="55">BS6*0.5</f>
        <v>0</v>
      </c>
      <c r="BT7" s="3">
        <f t="shared" si="55"/>
        <v>0</v>
      </c>
      <c r="BU7" s="3">
        <v>0</v>
      </c>
      <c r="BV7" s="2">
        <v>30</v>
      </c>
      <c r="BW7" s="2">
        <v>40</v>
      </c>
      <c r="BX7" s="2">
        <f>$D34-5</f>
        <v>40</v>
      </c>
      <c r="BY7" s="2">
        <f t="shared" ref="BY7:BY9" si="56">$E34+10</f>
        <v>100</v>
      </c>
      <c r="BZ7" s="3">
        <f>BZ6*0.5</f>
        <v>0</v>
      </c>
      <c r="CA7" s="3">
        <f t="shared" ref="CA7:CB7" si="57">CA6*0.5</f>
        <v>0</v>
      </c>
      <c r="CB7" s="3">
        <f t="shared" si="57"/>
        <v>0</v>
      </c>
      <c r="CC7" s="3">
        <v>0</v>
      </c>
      <c r="CD7" s="2">
        <v>30</v>
      </c>
      <c r="CE7" s="2">
        <v>40</v>
      </c>
      <c r="CF7" s="2">
        <f t="shared" ref="CF7:CF9" si="58">$D34+5</f>
        <v>50</v>
      </c>
      <c r="CG7" s="2">
        <f t="shared" ref="CG7:CG9" si="59">$E34-10</f>
        <v>80</v>
      </c>
      <c r="CH7" s="3">
        <f>CH6*0.5</f>
        <v>0</v>
      </c>
      <c r="CI7" s="3">
        <f t="shared" ref="CI7:CJ7" si="60">CI6*0.5</f>
        <v>0</v>
      </c>
      <c r="CJ7" s="3">
        <f t="shared" si="60"/>
        <v>0</v>
      </c>
      <c r="CK7" s="3">
        <v>0</v>
      </c>
      <c r="CL7" s="2">
        <v>30</v>
      </c>
      <c r="CM7" s="2">
        <v>40</v>
      </c>
      <c r="CN7" s="2">
        <f t="shared" ref="CN7:CN9" si="61">$D34-5</f>
        <v>40</v>
      </c>
      <c r="CO7" s="2">
        <f t="shared" ref="CO7:CO9" si="62">$E34-10</f>
        <v>80</v>
      </c>
      <c r="CP7" s="3">
        <f>CP6*0.5</f>
        <v>0</v>
      </c>
      <c r="CQ7" s="3">
        <f t="shared" ref="CQ7:CR7" si="63">CQ6*0.5</f>
        <v>0</v>
      </c>
      <c r="CR7" s="3">
        <f t="shared" si="63"/>
        <v>0</v>
      </c>
      <c r="CS7" s="3">
        <v>0</v>
      </c>
      <c r="CT7" s="2">
        <v>30</v>
      </c>
      <c r="CU7" s="2">
        <v>40</v>
      </c>
      <c r="CV7" s="2">
        <f t="shared" ref="CV7:CV9" si="64">$D34+5</f>
        <v>50</v>
      </c>
      <c r="CW7" s="2">
        <f t="shared" ref="CW7:CW9" si="65">$E34+10</f>
        <v>100</v>
      </c>
      <c r="CX7" s="3">
        <f>CX6*0.5</f>
        <v>0</v>
      </c>
      <c r="CY7" s="3">
        <f t="shared" ref="CY7:CZ7" si="66">CY6*0.5</f>
        <v>0</v>
      </c>
      <c r="CZ7" s="3">
        <f t="shared" si="66"/>
        <v>0</v>
      </c>
      <c r="DA7" s="3">
        <v>0</v>
      </c>
      <c r="DB7" s="2">
        <v>30</v>
      </c>
      <c r="DC7" s="2">
        <v>40</v>
      </c>
      <c r="DD7" s="2">
        <f>$D34-5</f>
        <v>40</v>
      </c>
      <c r="DE7" s="2">
        <f t="shared" ref="DE7:DE9" si="67">$E34+10</f>
        <v>100</v>
      </c>
      <c r="DF7" s="3">
        <f>DF6*0.5</f>
        <v>0</v>
      </c>
      <c r="DG7" s="3">
        <f t="shared" ref="DG7:DH7" si="68">DG6*0.5</f>
        <v>0</v>
      </c>
      <c r="DH7" s="3">
        <f t="shared" si="68"/>
        <v>0</v>
      </c>
      <c r="DI7" s="3">
        <v>0</v>
      </c>
      <c r="DJ7" s="2">
        <v>30</v>
      </c>
      <c r="DK7" s="2">
        <v>40</v>
      </c>
      <c r="DL7" s="2">
        <f t="shared" ref="DL7:DL9" si="69">$D34+5</f>
        <v>50</v>
      </c>
      <c r="DM7" s="2">
        <f t="shared" ref="DM7:DM9" si="70">$E34-10</f>
        <v>80</v>
      </c>
      <c r="DN7" s="3">
        <f>DN6*0.5</f>
        <v>0</v>
      </c>
      <c r="DO7" s="3">
        <f t="shared" ref="DO7:DP7" si="71">DO6*0.5</f>
        <v>0</v>
      </c>
      <c r="DP7" s="3">
        <f t="shared" si="71"/>
        <v>0</v>
      </c>
      <c r="DQ7" s="3">
        <v>0</v>
      </c>
      <c r="DR7" s="2">
        <v>30</v>
      </c>
      <c r="DS7" s="2">
        <v>40</v>
      </c>
      <c r="DT7" s="2">
        <f t="shared" ref="DT7:DT9" si="72">$D34-5</f>
        <v>40</v>
      </c>
      <c r="DU7" s="2">
        <f t="shared" ref="DU7:DU9" si="73">$E34-10</f>
        <v>80</v>
      </c>
      <c r="DV7" s="3">
        <f>DV6*0.5</f>
        <v>0</v>
      </c>
      <c r="DW7" s="3">
        <f t="shared" ref="DW7:DX7" si="74">DW6*0.5</f>
        <v>0</v>
      </c>
      <c r="DX7" s="3">
        <f t="shared" si="74"/>
        <v>0</v>
      </c>
      <c r="DY7" s="3">
        <v>0</v>
      </c>
    </row>
    <row r="8" spans="1:129" x14ac:dyDescent="0.2">
      <c r="A8" s="1">
        <v>2</v>
      </c>
      <c r="B8" s="2">
        <v>30</v>
      </c>
      <c r="C8" s="2">
        <v>40</v>
      </c>
      <c r="D8" s="2">
        <f t="shared" si="31"/>
        <v>40</v>
      </c>
      <c r="E8" s="2">
        <f t="shared" si="32"/>
        <v>90</v>
      </c>
      <c r="F8" s="3">
        <v>0</v>
      </c>
      <c r="G8" s="3">
        <v>0</v>
      </c>
      <c r="H8" s="3">
        <v>0</v>
      </c>
      <c r="I8" s="3">
        <v>0</v>
      </c>
      <c r="J8" s="2">
        <v>30</v>
      </c>
      <c r="K8" s="2">
        <v>40</v>
      </c>
      <c r="L8" s="2">
        <f>$D35-5</f>
        <v>30</v>
      </c>
      <c r="M8" s="2">
        <f t="shared" si="34"/>
        <v>90</v>
      </c>
      <c r="N8" s="3">
        <v>0</v>
      </c>
      <c r="O8" s="3">
        <v>0</v>
      </c>
      <c r="P8" s="3">
        <v>0</v>
      </c>
      <c r="Q8" s="3">
        <v>0</v>
      </c>
      <c r="R8" s="2">
        <v>30</v>
      </c>
      <c r="S8" s="2">
        <v>40</v>
      </c>
      <c r="T8" s="2">
        <f t="shared" si="36"/>
        <v>40</v>
      </c>
      <c r="U8" s="2">
        <f t="shared" si="37"/>
        <v>70</v>
      </c>
      <c r="V8" s="3">
        <v>0</v>
      </c>
      <c r="W8" s="3">
        <v>0</v>
      </c>
      <c r="X8" s="3">
        <v>0</v>
      </c>
      <c r="Y8" s="3">
        <v>0</v>
      </c>
      <c r="Z8" s="2">
        <v>30</v>
      </c>
      <c r="AA8" s="2">
        <v>40</v>
      </c>
      <c r="AB8" s="2">
        <f t="shared" si="39"/>
        <v>30</v>
      </c>
      <c r="AC8" s="2">
        <f t="shared" si="40"/>
        <v>70</v>
      </c>
      <c r="AD8" s="3">
        <v>0</v>
      </c>
      <c r="AE8" s="3">
        <v>0</v>
      </c>
      <c r="AF8" s="3">
        <v>0</v>
      </c>
      <c r="AG8" s="3">
        <v>0</v>
      </c>
      <c r="AH8" s="2">
        <v>30</v>
      </c>
      <c r="AI8" s="2">
        <v>40</v>
      </c>
      <c r="AJ8" s="2">
        <f t="shared" si="42"/>
        <v>40</v>
      </c>
      <c r="AK8" s="2">
        <f t="shared" si="43"/>
        <v>90</v>
      </c>
      <c r="AL8" s="3">
        <v>0</v>
      </c>
      <c r="AM8" s="3">
        <v>0</v>
      </c>
      <c r="AN8" s="3">
        <v>0</v>
      </c>
      <c r="AO8" s="3">
        <v>0</v>
      </c>
      <c r="AP8" s="2">
        <v>30</v>
      </c>
      <c r="AQ8" s="2">
        <v>40</v>
      </c>
      <c r="AR8" s="2">
        <f>$D35-5</f>
        <v>30</v>
      </c>
      <c r="AS8" s="2">
        <f t="shared" si="45"/>
        <v>90</v>
      </c>
      <c r="AT8" s="3">
        <v>0</v>
      </c>
      <c r="AU8" s="3">
        <v>0</v>
      </c>
      <c r="AV8" s="3">
        <v>0</v>
      </c>
      <c r="AW8" s="3">
        <v>0</v>
      </c>
      <c r="AX8" s="2">
        <v>30</v>
      </c>
      <c r="AY8" s="2">
        <v>40</v>
      </c>
      <c r="AZ8" s="2">
        <f t="shared" si="47"/>
        <v>40</v>
      </c>
      <c r="BA8" s="2">
        <f t="shared" si="48"/>
        <v>70</v>
      </c>
      <c r="BB8" s="3">
        <v>0</v>
      </c>
      <c r="BC8" s="3">
        <v>0</v>
      </c>
      <c r="BD8" s="3">
        <v>0</v>
      </c>
      <c r="BE8" s="3">
        <v>0</v>
      </c>
      <c r="BF8" s="2">
        <v>30</v>
      </c>
      <c r="BG8" s="2">
        <v>40</v>
      </c>
      <c r="BH8" s="2">
        <f t="shared" si="50"/>
        <v>30</v>
      </c>
      <c r="BI8" s="2">
        <f t="shared" si="51"/>
        <v>70</v>
      </c>
      <c r="BJ8" s="3">
        <v>0</v>
      </c>
      <c r="BK8" s="3">
        <v>0</v>
      </c>
      <c r="BL8" s="3">
        <v>0</v>
      </c>
      <c r="BM8" s="3">
        <v>0</v>
      </c>
      <c r="BN8" s="2">
        <v>30</v>
      </c>
      <c r="BO8" s="2">
        <v>40</v>
      </c>
      <c r="BP8" s="2">
        <f t="shared" si="53"/>
        <v>40</v>
      </c>
      <c r="BQ8" s="2">
        <f t="shared" si="54"/>
        <v>90</v>
      </c>
      <c r="BR8" s="3">
        <v>0</v>
      </c>
      <c r="BS8" s="3">
        <v>0</v>
      </c>
      <c r="BT8" s="3">
        <v>0</v>
      </c>
      <c r="BU8" s="3">
        <v>0</v>
      </c>
      <c r="BV8" s="2">
        <v>30</v>
      </c>
      <c r="BW8" s="2">
        <v>40</v>
      </c>
      <c r="BX8" s="2">
        <f>$D35-5</f>
        <v>30</v>
      </c>
      <c r="BY8" s="2">
        <f t="shared" si="56"/>
        <v>90</v>
      </c>
      <c r="BZ8" s="3">
        <v>0</v>
      </c>
      <c r="CA8" s="3">
        <v>0</v>
      </c>
      <c r="CB8" s="3">
        <v>0</v>
      </c>
      <c r="CC8" s="3">
        <v>0</v>
      </c>
      <c r="CD8" s="2">
        <v>30</v>
      </c>
      <c r="CE8" s="2">
        <v>40</v>
      </c>
      <c r="CF8" s="2">
        <f t="shared" si="58"/>
        <v>40</v>
      </c>
      <c r="CG8" s="2">
        <f t="shared" si="59"/>
        <v>70</v>
      </c>
      <c r="CH8" s="3">
        <v>0</v>
      </c>
      <c r="CI8" s="3">
        <v>0</v>
      </c>
      <c r="CJ8" s="3">
        <v>0</v>
      </c>
      <c r="CK8" s="3">
        <v>0</v>
      </c>
      <c r="CL8" s="2">
        <v>30</v>
      </c>
      <c r="CM8" s="2">
        <v>40</v>
      </c>
      <c r="CN8" s="2">
        <f t="shared" si="61"/>
        <v>30</v>
      </c>
      <c r="CO8" s="2">
        <f t="shared" si="62"/>
        <v>70</v>
      </c>
      <c r="CP8" s="3">
        <v>0</v>
      </c>
      <c r="CQ8" s="3">
        <v>0</v>
      </c>
      <c r="CR8" s="3">
        <v>0</v>
      </c>
      <c r="CS8" s="3">
        <v>0</v>
      </c>
      <c r="CT8" s="2">
        <v>30</v>
      </c>
      <c r="CU8" s="2">
        <v>40</v>
      </c>
      <c r="CV8" s="2">
        <f t="shared" si="64"/>
        <v>40</v>
      </c>
      <c r="CW8" s="2">
        <f t="shared" si="65"/>
        <v>90</v>
      </c>
      <c r="CX8" s="3">
        <v>0</v>
      </c>
      <c r="CY8" s="3">
        <v>0</v>
      </c>
      <c r="CZ8" s="3">
        <v>0</v>
      </c>
      <c r="DA8" s="3">
        <v>0</v>
      </c>
      <c r="DB8" s="2">
        <v>30</v>
      </c>
      <c r="DC8" s="2">
        <v>40</v>
      </c>
      <c r="DD8" s="2">
        <f>$D35-5</f>
        <v>30</v>
      </c>
      <c r="DE8" s="2">
        <f t="shared" si="67"/>
        <v>90</v>
      </c>
      <c r="DF8" s="3">
        <v>0</v>
      </c>
      <c r="DG8" s="3">
        <v>0</v>
      </c>
      <c r="DH8" s="3">
        <v>0</v>
      </c>
      <c r="DI8" s="3">
        <v>0</v>
      </c>
      <c r="DJ8" s="2">
        <v>30</v>
      </c>
      <c r="DK8" s="2">
        <v>40</v>
      </c>
      <c r="DL8" s="2">
        <f t="shared" si="69"/>
        <v>40</v>
      </c>
      <c r="DM8" s="2">
        <f t="shared" si="70"/>
        <v>70</v>
      </c>
      <c r="DN8" s="3">
        <v>0</v>
      </c>
      <c r="DO8" s="3">
        <v>0</v>
      </c>
      <c r="DP8" s="3">
        <v>0</v>
      </c>
      <c r="DQ8" s="3">
        <v>0</v>
      </c>
      <c r="DR8" s="2">
        <v>30</v>
      </c>
      <c r="DS8" s="2">
        <v>40</v>
      </c>
      <c r="DT8" s="2">
        <f t="shared" si="72"/>
        <v>30</v>
      </c>
      <c r="DU8" s="2">
        <f t="shared" si="73"/>
        <v>70</v>
      </c>
      <c r="DV8" s="3">
        <v>0</v>
      </c>
      <c r="DW8" s="3">
        <v>0</v>
      </c>
      <c r="DX8" s="3">
        <v>0</v>
      </c>
      <c r="DY8" s="3">
        <v>0</v>
      </c>
    </row>
    <row r="9" spans="1:129" x14ac:dyDescent="0.2">
      <c r="A9" s="1">
        <v>3</v>
      </c>
      <c r="B9" s="2">
        <v>30</v>
      </c>
      <c r="C9" s="2">
        <v>40</v>
      </c>
      <c r="D9" s="2">
        <f t="shared" si="31"/>
        <v>45</v>
      </c>
      <c r="E9" s="2">
        <f t="shared" si="32"/>
        <v>100</v>
      </c>
      <c r="F9" s="3">
        <v>0</v>
      </c>
      <c r="G9" s="3">
        <v>0</v>
      </c>
      <c r="H9" s="3">
        <v>0</v>
      </c>
      <c r="I9" s="3">
        <v>0</v>
      </c>
      <c r="J9" s="2">
        <v>30</v>
      </c>
      <c r="K9" s="2">
        <v>40</v>
      </c>
      <c r="L9" s="2">
        <f>$D36-5</f>
        <v>35</v>
      </c>
      <c r="M9" s="2">
        <f t="shared" si="34"/>
        <v>100</v>
      </c>
      <c r="N9" s="3">
        <v>0</v>
      </c>
      <c r="O9" s="3">
        <v>0</v>
      </c>
      <c r="P9" s="3">
        <v>0</v>
      </c>
      <c r="Q9" s="3">
        <v>0</v>
      </c>
      <c r="R9" s="2">
        <v>30</v>
      </c>
      <c r="S9" s="2">
        <v>40</v>
      </c>
      <c r="T9" s="2">
        <f t="shared" si="36"/>
        <v>45</v>
      </c>
      <c r="U9" s="2">
        <f t="shared" si="37"/>
        <v>80</v>
      </c>
      <c r="V9" s="3">
        <v>0</v>
      </c>
      <c r="W9" s="3">
        <v>0</v>
      </c>
      <c r="X9" s="3">
        <v>0</v>
      </c>
      <c r="Y9" s="3">
        <v>0</v>
      </c>
      <c r="Z9" s="2">
        <v>30</v>
      </c>
      <c r="AA9" s="2">
        <v>40</v>
      </c>
      <c r="AB9" s="2">
        <f t="shared" si="39"/>
        <v>35</v>
      </c>
      <c r="AC9" s="2">
        <f t="shared" si="40"/>
        <v>80</v>
      </c>
      <c r="AD9" s="3">
        <v>0</v>
      </c>
      <c r="AE9" s="3">
        <v>0</v>
      </c>
      <c r="AF9" s="3">
        <v>0</v>
      </c>
      <c r="AG9" s="3">
        <v>0</v>
      </c>
      <c r="AH9" s="2">
        <v>30</v>
      </c>
      <c r="AI9" s="2">
        <v>40</v>
      </c>
      <c r="AJ9" s="2">
        <f t="shared" si="42"/>
        <v>45</v>
      </c>
      <c r="AK9" s="2">
        <f t="shared" si="43"/>
        <v>100</v>
      </c>
      <c r="AL9" s="3">
        <v>0</v>
      </c>
      <c r="AM9" s="3">
        <v>0</v>
      </c>
      <c r="AN9" s="3">
        <v>0</v>
      </c>
      <c r="AO9" s="3">
        <v>0</v>
      </c>
      <c r="AP9" s="2">
        <v>30</v>
      </c>
      <c r="AQ9" s="2">
        <v>40</v>
      </c>
      <c r="AR9" s="2">
        <f>$D36-5</f>
        <v>35</v>
      </c>
      <c r="AS9" s="2">
        <f t="shared" si="45"/>
        <v>100</v>
      </c>
      <c r="AT9" s="3">
        <v>0</v>
      </c>
      <c r="AU9" s="3">
        <v>0</v>
      </c>
      <c r="AV9" s="3">
        <v>0</v>
      </c>
      <c r="AW9" s="3">
        <v>0</v>
      </c>
      <c r="AX9" s="2">
        <v>30</v>
      </c>
      <c r="AY9" s="2">
        <v>40</v>
      </c>
      <c r="AZ9" s="2">
        <f t="shared" si="47"/>
        <v>45</v>
      </c>
      <c r="BA9" s="2">
        <f t="shared" si="48"/>
        <v>80</v>
      </c>
      <c r="BB9" s="3">
        <v>0</v>
      </c>
      <c r="BC9" s="3">
        <v>0</v>
      </c>
      <c r="BD9" s="3">
        <v>0</v>
      </c>
      <c r="BE9" s="3">
        <v>0</v>
      </c>
      <c r="BF9" s="2">
        <v>30</v>
      </c>
      <c r="BG9" s="2">
        <v>40</v>
      </c>
      <c r="BH9" s="2">
        <f t="shared" si="50"/>
        <v>35</v>
      </c>
      <c r="BI9" s="2">
        <f t="shared" si="51"/>
        <v>80</v>
      </c>
      <c r="BJ9" s="3">
        <v>0</v>
      </c>
      <c r="BK9" s="3">
        <v>0</v>
      </c>
      <c r="BL9" s="3">
        <v>0</v>
      </c>
      <c r="BM9" s="3">
        <v>0</v>
      </c>
      <c r="BN9" s="2">
        <v>30</v>
      </c>
      <c r="BO9" s="2">
        <v>40</v>
      </c>
      <c r="BP9" s="2">
        <f t="shared" si="53"/>
        <v>45</v>
      </c>
      <c r="BQ9" s="2">
        <f t="shared" si="54"/>
        <v>100</v>
      </c>
      <c r="BR9" s="3">
        <v>0</v>
      </c>
      <c r="BS9" s="3">
        <v>0</v>
      </c>
      <c r="BT9" s="3">
        <v>0</v>
      </c>
      <c r="BU9" s="3">
        <v>0</v>
      </c>
      <c r="BV9" s="2">
        <v>30</v>
      </c>
      <c r="BW9" s="2">
        <v>40</v>
      </c>
      <c r="BX9" s="2">
        <f>$D36-5</f>
        <v>35</v>
      </c>
      <c r="BY9" s="2">
        <f t="shared" si="56"/>
        <v>100</v>
      </c>
      <c r="BZ9" s="3">
        <v>0</v>
      </c>
      <c r="CA9" s="3">
        <v>0</v>
      </c>
      <c r="CB9" s="3">
        <v>0</v>
      </c>
      <c r="CC9" s="3">
        <v>0</v>
      </c>
      <c r="CD9" s="2">
        <v>30</v>
      </c>
      <c r="CE9" s="2">
        <v>40</v>
      </c>
      <c r="CF9" s="2">
        <f t="shared" si="58"/>
        <v>45</v>
      </c>
      <c r="CG9" s="2">
        <f t="shared" si="59"/>
        <v>80</v>
      </c>
      <c r="CH9" s="3">
        <v>0</v>
      </c>
      <c r="CI9" s="3">
        <v>0</v>
      </c>
      <c r="CJ9" s="3">
        <v>0</v>
      </c>
      <c r="CK9" s="3">
        <v>0</v>
      </c>
      <c r="CL9" s="2">
        <v>30</v>
      </c>
      <c r="CM9" s="2">
        <v>40</v>
      </c>
      <c r="CN9" s="2">
        <f t="shared" si="61"/>
        <v>35</v>
      </c>
      <c r="CO9" s="2">
        <f t="shared" si="62"/>
        <v>80</v>
      </c>
      <c r="CP9" s="3">
        <v>0</v>
      </c>
      <c r="CQ9" s="3">
        <v>0</v>
      </c>
      <c r="CR9" s="3">
        <v>0</v>
      </c>
      <c r="CS9" s="3">
        <v>0</v>
      </c>
      <c r="CT9" s="2">
        <v>30</v>
      </c>
      <c r="CU9" s="2">
        <v>40</v>
      </c>
      <c r="CV9" s="2">
        <f t="shared" si="64"/>
        <v>45</v>
      </c>
      <c r="CW9" s="2">
        <f t="shared" si="65"/>
        <v>100</v>
      </c>
      <c r="CX9" s="3">
        <v>0</v>
      </c>
      <c r="CY9" s="3">
        <v>0</v>
      </c>
      <c r="CZ9" s="3">
        <v>0</v>
      </c>
      <c r="DA9" s="3">
        <v>0</v>
      </c>
      <c r="DB9" s="2">
        <v>30</v>
      </c>
      <c r="DC9" s="2">
        <v>40</v>
      </c>
      <c r="DD9" s="2">
        <f>$D36-5</f>
        <v>35</v>
      </c>
      <c r="DE9" s="2">
        <f t="shared" si="67"/>
        <v>100</v>
      </c>
      <c r="DF9" s="3">
        <v>0</v>
      </c>
      <c r="DG9" s="3">
        <v>0</v>
      </c>
      <c r="DH9" s="3">
        <v>0</v>
      </c>
      <c r="DI9" s="3">
        <v>0</v>
      </c>
      <c r="DJ9" s="2">
        <v>30</v>
      </c>
      <c r="DK9" s="2">
        <v>40</v>
      </c>
      <c r="DL9" s="2">
        <f t="shared" si="69"/>
        <v>45</v>
      </c>
      <c r="DM9" s="2">
        <f t="shared" si="70"/>
        <v>80</v>
      </c>
      <c r="DN9" s="3">
        <v>0</v>
      </c>
      <c r="DO9" s="3">
        <v>0</v>
      </c>
      <c r="DP9" s="3">
        <v>0</v>
      </c>
      <c r="DQ9" s="3">
        <v>0</v>
      </c>
      <c r="DR9" s="2">
        <v>30</v>
      </c>
      <c r="DS9" s="2">
        <v>40</v>
      </c>
      <c r="DT9" s="2">
        <f t="shared" si="72"/>
        <v>35</v>
      </c>
      <c r="DU9" s="2">
        <f t="shared" si="73"/>
        <v>80</v>
      </c>
      <c r="DV9" s="3">
        <v>0</v>
      </c>
      <c r="DW9" s="3">
        <v>0</v>
      </c>
      <c r="DX9" s="3">
        <v>0</v>
      </c>
      <c r="DY9" s="3">
        <v>0</v>
      </c>
    </row>
    <row r="10" spans="1:129" x14ac:dyDescent="0.2">
      <c r="A10" s="1">
        <v>4</v>
      </c>
      <c r="B10" s="2"/>
      <c r="C10" s="2"/>
      <c r="D10" s="2"/>
      <c r="E10" s="2"/>
      <c r="F10" s="3"/>
      <c r="G10" s="3"/>
      <c r="H10" s="3"/>
      <c r="I10" s="3"/>
      <c r="J10" s="2"/>
      <c r="K10" s="2"/>
      <c r="L10" s="2"/>
      <c r="M10" s="2"/>
      <c r="N10" s="3"/>
      <c r="O10" s="3"/>
      <c r="P10" s="3"/>
      <c r="Q10" s="3"/>
      <c r="R10" s="2"/>
      <c r="S10" s="2"/>
      <c r="T10" s="2"/>
      <c r="U10" s="2"/>
      <c r="V10" s="3"/>
      <c r="W10" s="3"/>
      <c r="X10" s="3"/>
      <c r="Y10" s="3"/>
      <c r="Z10" s="2"/>
      <c r="AA10" s="2"/>
      <c r="AB10" s="2"/>
      <c r="AC10" s="2"/>
      <c r="AD10" s="3"/>
      <c r="AE10" s="3"/>
      <c r="AF10" s="3"/>
      <c r="AG10" s="3"/>
      <c r="AH10" s="2"/>
      <c r="AI10" s="2"/>
      <c r="AJ10" s="2"/>
      <c r="AK10" s="2"/>
      <c r="AL10" s="3"/>
      <c r="AM10" s="3"/>
      <c r="AN10" s="3"/>
      <c r="AO10" s="3"/>
      <c r="AP10" s="2"/>
      <c r="AQ10" s="2"/>
      <c r="AR10" s="2"/>
      <c r="AS10" s="2"/>
      <c r="AT10" s="3"/>
      <c r="AU10" s="3"/>
      <c r="AV10" s="3"/>
      <c r="AW10" s="3"/>
      <c r="AX10" s="2"/>
      <c r="AY10" s="2"/>
      <c r="AZ10" s="2"/>
      <c r="BA10" s="2"/>
      <c r="BB10" s="3"/>
      <c r="BC10" s="3"/>
      <c r="BD10" s="3"/>
      <c r="BE10" s="3"/>
      <c r="BF10" s="2"/>
      <c r="BG10" s="2"/>
      <c r="BH10" s="2"/>
      <c r="BI10" s="2"/>
      <c r="BJ10" s="3"/>
      <c r="BK10" s="3"/>
      <c r="BL10" s="3"/>
      <c r="BM10" s="3"/>
      <c r="BN10" s="2"/>
      <c r="BO10" s="2"/>
      <c r="BP10" s="2"/>
      <c r="BQ10" s="2"/>
      <c r="BR10" s="3"/>
      <c r="BS10" s="3"/>
      <c r="BT10" s="3"/>
      <c r="BU10" s="3"/>
      <c r="BV10" s="2"/>
      <c r="BW10" s="2"/>
      <c r="BX10" s="2"/>
      <c r="BY10" s="2"/>
      <c r="BZ10" s="3"/>
      <c r="CA10" s="3"/>
      <c r="CB10" s="3"/>
      <c r="CC10" s="3"/>
      <c r="CD10" s="2"/>
      <c r="CE10" s="2"/>
      <c r="CF10" s="2"/>
      <c r="CG10" s="2"/>
      <c r="CH10" s="3"/>
      <c r="CI10" s="3"/>
      <c r="CJ10" s="3"/>
      <c r="CK10" s="3"/>
      <c r="CL10" s="2"/>
      <c r="CM10" s="2"/>
      <c r="CN10" s="2"/>
      <c r="CO10" s="2"/>
      <c r="CP10" s="3"/>
      <c r="CQ10" s="3"/>
      <c r="CR10" s="3"/>
      <c r="CS10" s="3"/>
      <c r="CT10" s="2"/>
      <c r="CU10" s="2"/>
      <c r="CV10" s="2"/>
      <c r="CW10" s="2"/>
      <c r="CX10" s="3"/>
      <c r="CY10" s="3"/>
      <c r="CZ10" s="3"/>
      <c r="DA10" s="3"/>
      <c r="DB10" s="2"/>
      <c r="DC10" s="2"/>
      <c r="DD10" s="2"/>
      <c r="DE10" s="2"/>
      <c r="DF10" s="3"/>
      <c r="DG10" s="3"/>
      <c r="DH10" s="3"/>
      <c r="DI10" s="3"/>
      <c r="DJ10" s="2"/>
      <c r="DK10" s="2"/>
      <c r="DL10" s="2"/>
      <c r="DM10" s="2"/>
      <c r="DN10" s="3"/>
      <c r="DO10" s="3"/>
      <c r="DP10" s="3"/>
      <c r="DQ10" s="3"/>
      <c r="DR10" s="2"/>
      <c r="DS10" s="2"/>
      <c r="DT10" s="2"/>
      <c r="DU10" s="2"/>
      <c r="DV10" s="3"/>
      <c r="DW10" s="3"/>
      <c r="DX10" s="3"/>
      <c r="DY10" s="3"/>
    </row>
    <row r="11" spans="1:129" x14ac:dyDescent="0.2">
      <c r="A11" s="1">
        <v>5</v>
      </c>
      <c r="B11" s="2"/>
      <c r="C11" s="2"/>
      <c r="D11" s="2"/>
      <c r="E11" s="2"/>
      <c r="F11" s="3"/>
      <c r="G11" s="3"/>
      <c r="H11" s="3"/>
      <c r="I11" s="3"/>
      <c r="J11" s="2"/>
      <c r="K11" s="2"/>
      <c r="L11" s="2"/>
      <c r="M11" s="2"/>
      <c r="N11" s="3"/>
      <c r="O11" s="3"/>
      <c r="P11" s="3"/>
      <c r="Q11" s="3"/>
      <c r="R11" s="2"/>
      <c r="S11" s="2"/>
      <c r="T11" s="2"/>
      <c r="U11" s="2"/>
      <c r="V11" s="3"/>
      <c r="W11" s="3"/>
      <c r="X11" s="3"/>
      <c r="Y11" s="3"/>
      <c r="Z11" s="2"/>
      <c r="AA11" s="2"/>
      <c r="AB11" s="2"/>
      <c r="AC11" s="2"/>
      <c r="AD11" s="3"/>
      <c r="AE11" s="3"/>
      <c r="AF11" s="3"/>
      <c r="AG11" s="3"/>
      <c r="AH11" s="2"/>
      <c r="AI11" s="2"/>
      <c r="AJ11" s="2"/>
      <c r="AK11" s="2"/>
      <c r="AL11" s="3"/>
      <c r="AM11" s="3"/>
      <c r="AN11" s="3"/>
      <c r="AO11" s="3"/>
      <c r="AP11" s="2"/>
      <c r="AQ11" s="2"/>
      <c r="AR11" s="2"/>
      <c r="AS11" s="2"/>
      <c r="AT11" s="3"/>
      <c r="AU11" s="3"/>
      <c r="AV11" s="3"/>
      <c r="AW11" s="3"/>
      <c r="AX11" s="2"/>
      <c r="AY11" s="2"/>
      <c r="AZ11" s="2"/>
      <c r="BA11" s="2"/>
      <c r="BB11" s="3"/>
      <c r="BC11" s="3"/>
      <c r="BD11" s="3"/>
      <c r="BE11" s="3"/>
      <c r="BF11" s="2"/>
      <c r="BG11" s="2"/>
      <c r="BH11" s="2"/>
      <c r="BI11" s="2"/>
      <c r="BJ11" s="3"/>
      <c r="BK11" s="3"/>
      <c r="BL11" s="3"/>
      <c r="BM11" s="3"/>
      <c r="BN11" s="2"/>
      <c r="BO11" s="2"/>
      <c r="BP11" s="2"/>
      <c r="BQ11" s="2"/>
      <c r="BR11" s="3"/>
      <c r="BS11" s="3"/>
      <c r="BT11" s="3"/>
      <c r="BU11" s="3"/>
      <c r="BV11" s="2"/>
      <c r="BW11" s="2"/>
      <c r="BX11" s="2"/>
      <c r="BY11" s="2"/>
      <c r="BZ11" s="3"/>
      <c r="CA11" s="3"/>
      <c r="CB11" s="3"/>
      <c r="CC11" s="3"/>
      <c r="CD11" s="2"/>
      <c r="CE11" s="2"/>
      <c r="CF11" s="2"/>
      <c r="CG11" s="2"/>
      <c r="CH11" s="3"/>
      <c r="CI11" s="3"/>
      <c r="CJ11" s="3"/>
      <c r="CK11" s="3"/>
      <c r="CL11" s="2"/>
      <c r="CM11" s="2"/>
      <c r="CN11" s="2"/>
      <c r="CO11" s="2"/>
      <c r="CP11" s="3"/>
      <c r="CQ11" s="3"/>
      <c r="CR11" s="3"/>
      <c r="CS11" s="3"/>
      <c r="CT11" s="2"/>
      <c r="CU11" s="2"/>
      <c r="CV11" s="2"/>
      <c r="CW11" s="2"/>
      <c r="CX11" s="3"/>
      <c r="CY11" s="3"/>
      <c r="CZ11" s="3"/>
      <c r="DA11" s="3"/>
      <c r="DB11" s="2"/>
      <c r="DC11" s="2"/>
      <c r="DD11" s="2"/>
      <c r="DE11" s="2"/>
      <c r="DF11" s="3"/>
      <c r="DG11" s="3"/>
      <c r="DH11" s="3"/>
      <c r="DI11" s="3"/>
      <c r="DJ11" s="2"/>
      <c r="DK11" s="2"/>
      <c r="DL11" s="2"/>
      <c r="DM11" s="2"/>
      <c r="DN11" s="3"/>
      <c r="DO11" s="3"/>
      <c r="DP11" s="3"/>
      <c r="DQ11" s="3"/>
      <c r="DR11" s="2"/>
      <c r="DS11" s="2"/>
      <c r="DT11" s="2"/>
      <c r="DU11" s="2"/>
      <c r="DV11" s="3"/>
      <c r="DW11" s="3"/>
      <c r="DX11" s="3"/>
      <c r="DY11" s="3"/>
    </row>
    <row r="12" spans="1:129" x14ac:dyDescent="0.2">
      <c r="A12" s="1">
        <v>6</v>
      </c>
      <c r="B12" s="2"/>
      <c r="C12" s="2"/>
      <c r="D12" s="2"/>
      <c r="E12" s="2"/>
      <c r="F12" s="3"/>
      <c r="G12" s="3"/>
      <c r="H12" s="3"/>
      <c r="I12" s="3"/>
      <c r="J12" s="2"/>
      <c r="K12" s="2"/>
      <c r="L12" s="2"/>
      <c r="M12" s="2"/>
      <c r="N12" s="3"/>
      <c r="O12" s="3"/>
      <c r="P12" s="3"/>
      <c r="Q12" s="3"/>
      <c r="R12" s="2"/>
      <c r="S12" s="2"/>
      <c r="T12" s="2"/>
      <c r="U12" s="2"/>
      <c r="V12" s="3"/>
      <c r="W12" s="3"/>
      <c r="X12" s="3"/>
      <c r="Y12" s="3"/>
      <c r="Z12" s="2"/>
      <c r="AA12" s="2"/>
      <c r="AB12" s="2"/>
      <c r="AC12" s="2"/>
      <c r="AD12" s="3"/>
      <c r="AE12" s="3"/>
      <c r="AF12" s="3"/>
      <c r="AG12" s="3"/>
      <c r="AH12" s="2"/>
      <c r="AI12" s="2"/>
      <c r="AJ12" s="2"/>
      <c r="AK12" s="2"/>
      <c r="AL12" s="3"/>
      <c r="AM12" s="3"/>
      <c r="AN12" s="3"/>
      <c r="AO12" s="3"/>
      <c r="AP12" s="2"/>
      <c r="AQ12" s="2"/>
      <c r="AR12" s="2"/>
      <c r="AS12" s="2"/>
      <c r="AT12" s="3"/>
      <c r="AU12" s="3"/>
      <c r="AV12" s="3"/>
      <c r="AW12" s="3"/>
      <c r="AX12" s="2"/>
      <c r="AY12" s="2"/>
      <c r="AZ12" s="2"/>
      <c r="BA12" s="2"/>
      <c r="BB12" s="3"/>
      <c r="BC12" s="3"/>
      <c r="BD12" s="3"/>
      <c r="BE12" s="3"/>
      <c r="BF12" s="2"/>
      <c r="BG12" s="2"/>
      <c r="BH12" s="2"/>
      <c r="BI12" s="2"/>
      <c r="BJ12" s="3"/>
      <c r="BK12" s="3"/>
      <c r="BL12" s="3"/>
      <c r="BM12" s="3"/>
      <c r="BN12" s="2"/>
      <c r="BO12" s="2"/>
      <c r="BP12" s="2"/>
      <c r="BQ12" s="2"/>
      <c r="BR12" s="3"/>
      <c r="BS12" s="3"/>
      <c r="BT12" s="3"/>
      <c r="BU12" s="3"/>
      <c r="BV12" s="2"/>
      <c r="BW12" s="2"/>
      <c r="BX12" s="2"/>
      <c r="BY12" s="2"/>
      <c r="BZ12" s="3"/>
      <c r="CA12" s="3"/>
      <c r="CB12" s="3"/>
      <c r="CC12" s="3"/>
      <c r="CD12" s="2"/>
      <c r="CE12" s="2"/>
      <c r="CF12" s="2"/>
      <c r="CG12" s="2"/>
      <c r="CH12" s="3"/>
      <c r="CI12" s="3"/>
      <c r="CJ12" s="3"/>
      <c r="CK12" s="3"/>
      <c r="CL12" s="2"/>
      <c r="CM12" s="2"/>
      <c r="CN12" s="2"/>
      <c r="CO12" s="2"/>
      <c r="CP12" s="3"/>
      <c r="CQ12" s="3"/>
      <c r="CR12" s="3"/>
      <c r="CS12" s="3"/>
      <c r="CT12" s="2"/>
      <c r="CU12" s="2"/>
      <c r="CV12" s="2"/>
      <c r="CW12" s="2"/>
      <c r="CX12" s="3"/>
      <c r="CY12" s="3"/>
      <c r="CZ12" s="3"/>
      <c r="DA12" s="3"/>
      <c r="DB12" s="2"/>
      <c r="DC12" s="2"/>
      <c r="DD12" s="2"/>
      <c r="DE12" s="2"/>
      <c r="DF12" s="3"/>
      <c r="DG12" s="3"/>
      <c r="DH12" s="3"/>
      <c r="DI12" s="3"/>
      <c r="DJ12" s="2"/>
      <c r="DK12" s="2"/>
      <c r="DL12" s="2"/>
      <c r="DM12" s="2"/>
      <c r="DN12" s="3"/>
      <c r="DO12" s="3"/>
      <c r="DP12" s="3"/>
      <c r="DQ12" s="3"/>
      <c r="DR12" s="2"/>
      <c r="DS12" s="2"/>
      <c r="DT12" s="2"/>
      <c r="DU12" s="2"/>
      <c r="DV12" s="3"/>
      <c r="DW12" s="3"/>
      <c r="DX12" s="3"/>
      <c r="DY12" s="3"/>
    </row>
    <row r="13" spans="1:129" x14ac:dyDescent="0.2">
      <c r="A13" s="1">
        <v>7</v>
      </c>
      <c r="B13" s="2"/>
      <c r="C13" s="2"/>
      <c r="D13" s="2"/>
      <c r="E13" s="2"/>
      <c r="F13" s="3"/>
      <c r="G13" s="3"/>
      <c r="H13" s="3"/>
      <c r="I13" s="3"/>
      <c r="J13" s="2"/>
      <c r="K13" s="2"/>
      <c r="L13" s="2"/>
      <c r="M13" s="2"/>
      <c r="N13" s="3"/>
      <c r="O13" s="3"/>
      <c r="P13" s="3"/>
      <c r="Q13" s="3"/>
      <c r="R13" s="2"/>
      <c r="S13" s="2"/>
      <c r="T13" s="2"/>
      <c r="U13" s="2"/>
      <c r="V13" s="3"/>
      <c r="W13" s="3"/>
      <c r="X13" s="3"/>
      <c r="Y13" s="3"/>
      <c r="Z13" s="2"/>
      <c r="AA13" s="2"/>
      <c r="AB13" s="2"/>
      <c r="AC13" s="2"/>
      <c r="AD13" s="3"/>
      <c r="AE13" s="3"/>
      <c r="AF13" s="3"/>
      <c r="AG13" s="3"/>
      <c r="AH13" s="2"/>
      <c r="AI13" s="2"/>
      <c r="AJ13" s="2"/>
      <c r="AK13" s="2"/>
      <c r="AL13" s="3"/>
      <c r="AM13" s="3"/>
      <c r="AN13" s="3"/>
      <c r="AO13" s="3"/>
      <c r="AP13" s="2"/>
      <c r="AQ13" s="2"/>
      <c r="AR13" s="2"/>
      <c r="AS13" s="2"/>
      <c r="AT13" s="3"/>
      <c r="AU13" s="3"/>
      <c r="AV13" s="3"/>
      <c r="AW13" s="3"/>
      <c r="AX13" s="2"/>
      <c r="AY13" s="2"/>
      <c r="AZ13" s="2"/>
      <c r="BA13" s="2"/>
      <c r="BB13" s="3"/>
      <c r="BC13" s="3"/>
      <c r="BD13" s="3"/>
      <c r="BE13" s="3"/>
      <c r="BF13" s="2"/>
      <c r="BG13" s="2"/>
      <c r="BH13" s="2"/>
      <c r="BI13" s="2"/>
      <c r="BJ13" s="3"/>
      <c r="BK13" s="3"/>
      <c r="BL13" s="3"/>
      <c r="BM13" s="3"/>
      <c r="BN13" s="2"/>
      <c r="BO13" s="2"/>
      <c r="BP13" s="2"/>
      <c r="BQ13" s="2"/>
      <c r="BR13" s="3"/>
      <c r="BS13" s="3"/>
      <c r="BT13" s="3"/>
      <c r="BU13" s="3"/>
      <c r="BV13" s="2"/>
      <c r="BW13" s="2"/>
      <c r="BX13" s="2"/>
      <c r="BY13" s="2"/>
      <c r="BZ13" s="3"/>
      <c r="CA13" s="3"/>
      <c r="CB13" s="3"/>
      <c r="CC13" s="3"/>
      <c r="CD13" s="2"/>
      <c r="CE13" s="2"/>
      <c r="CF13" s="2"/>
      <c r="CG13" s="2"/>
      <c r="CH13" s="3"/>
      <c r="CI13" s="3"/>
      <c r="CJ13" s="3"/>
      <c r="CK13" s="3"/>
      <c r="CL13" s="2"/>
      <c r="CM13" s="2"/>
      <c r="CN13" s="2"/>
      <c r="CO13" s="2"/>
      <c r="CP13" s="3"/>
      <c r="CQ13" s="3"/>
      <c r="CR13" s="3"/>
      <c r="CS13" s="3"/>
      <c r="CT13" s="2"/>
      <c r="CU13" s="2"/>
      <c r="CV13" s="2"/>
      <c r="CW13" s="2"/>
      <c r="CX13" s="3"/>
      <c r="CY13" s="3"/>
      <c r="CZ13" s="3"/>
      <c r="DA13" s="3"/>
      <c r="DB13" s="2"/>
      <c r="DC13" s="2"/>
      <c r="DD13" s="2"/>
      <c r="DE13" s="2"/>
      <c r="DF13" s="3"/>
      <c r="DG13" s="3"/>
      <c r="DH13" s="3"/>
      <c r="DI13" s="3"/>
      <c r="DJ13" s="2"/>
      <c r="DK13" s="2"/>
      <c r="DL13" s="2"/>
      <c r="DM13" s="2"/>
      <c r="DN13" s="3"/>
      <c r="DO13" s="3"/>
      <c r="DP13" s="3"/>
      <c r="DQ13" s="3"/>
      <c r="DR13" s="2"/>
      <c r="DS13" s="2"/>
      <c r="DT13" s="2"/>
      <c r="DU13" s="2"/>
      <c r="DV13" s="3"/>
      <c r="DW13" s="3"/>
      <c r="DX13" s="3"/>
      <c r="DY13" s="3"/>
    </row>
    <row r="14" spans="1:129" x14ac:dyDescent="0.2">
      <c r="A14" s="1">
        <v>8</v>
      </c>
      <c r="B14" s="2"/>
      <c r="C14" s="2"/>
      <c r="D14" s="2"/>
      <c r="E14" s="2"/>
      <c r="F14" s="3"/>
      <c r="G14" s="3"/>
      <c r="H14" s="3"/>
      <c r="I14" s="3"/>
      <c r="J14" s="2"/>
      <c r="K14" s="2"/>
      <c r="L14" s="2"/>
      <c r="M14" s="2"/>
      <c r="N14" s="3"/>
      <c r="O14" s="3"/>
      <c r="P14" s="3"/>
      <c r="Q14" s="3"/>
      <c r="R14" s="2"/>
      <c r="S14" s="2"/>
      <c r="T14" s="2"/>
      <c r="U14" s="2"/>
      <c r="V14" s="3"/>
      <c r="W14" s="3"/>
      <c r="X14" s="3"/>
      <c r="Y14" s="3"/>
      <c r="Z14" s="2"/>
      <c r="AA14" s="2"/>
      <c r="AB14" s="2"/>
      <c r="AC14" s="2"/>
      <c r="AD14" s="3"/>
      <c r="AE14" s="3"/>
      <c r="AF14" s="3"/>
      <c r="AG14" s="3"/>
      <c r="AH14" s="2"/>
      <c r="AI14" s="2"/>
      <c r="AJ14" s="2"/>
      <c r="AK14" s="2"/>
      <c r="AL14" s="3"/>
      <c r="AM14" s="3"/>
      <c r="AN14" s="3"/>
      <c r="AO14" s="3"/>
      <c r="AP14" s="2"/>
      <c r="AQ14" s="2"/>
      <c r="AR14" s="2"/>
      <c r="AS14" s="2"/>
      <c r="AT14" s="3"/>
      <c r="AU14" s="3"/>
      <c r="AV14" s="3"/>
      <c r="AW14" s="3"/>
      <c r="AX14" s="2"/>
      <c r="AY14" s="2"/>
      <c r="AZ14" s="2"/>
      <c r="BA14" s="2"/>
      <c r="BB14" s="3"/>
      <c r="BC14" s="3"/>
      <c r="BD14" s="3"/>
      <c r="BE14" s="3"/>
      <c r="BF14" s="2"/>
      <c r="BG14" s="2"/>
      <c r="BH14" s="2"/>
      <c r="BI14" s="2"/>
      <c r="BJ14" s="3"/>
      <c r="BK14" s="3"/>
      <c r="BL14" s="3"/>
      <c r="BM14" s="3"/>
      <c r="BN14" s="2"/>
      <c r="BO14" s="2"/>
      <c r="BP14" s="2"/>
      <c r="BQ14" s="2"/>
      <c r="BR14" s="3"/>
      <c r="BS14" s="3"/>
      <c r="BT14" s="3"/>
      <c r="BU14" s="3"/>
      <c r="BV14" s="2"/>
      <c r="BW14" s="2"/>
      <c r="BX14" s="2"/>
      <c r="BY14" s="2"/>
      <c r="BZ14" s="3"/>
      <c r="CA14" s="3"/>
      <c r="CB14" s="3"/>
      <c r="CC14" s="3"/>
      <c r="CD14" s="2"/>
      <c r="CE14" s="2"/>
      <c r="CF14" s="2"/>
      <c r="CG14" s="2"/>
      <c r="CH14" s="3"/>
      <c r="CI14" s="3"/>
      <c r="CJ14" s="3"/>
      <c r="CK14" s="3"/>
      <c r="CL14" s="2"/>
      <c r="CM14" s="2"/>
      <c r="CN14" s="2"/>
      <c r="CO14" s="2"/>
      <c r="CP14" s="3"/>
      <c r="CQ14" s="3"/>
      <c r="CR14" s="3"/>
      <c r="CS14" s="3"/>
      <c r="CT14" s="2"/>
      <c r="CU14" s="2"/>
      <c r="CV14" s="2"/>
      <c r="CW14" s="2"/>
      <c r="CX14" s="3"/>
      <c r="CY14" s="3"/>
      <c r="CZ14" s="3"/>
      <c r="DA14" s="3"/>
      <c r="DB14" s="2"/>
      <c r="DC14" s="2"/>
      <c r="DD14" s="2"/>
      <c r="DE14" s="2"/>
      <c r="DF14" s="3"/>
      <c r="DG14" s="3"/>
      <c r="DH14" s="3"/>
      <c r="DI14" s="3"/>
      <c r="DJ14" s="2"/>
      <c r="DK14" s="2"/>
      <c r="DL14" s="2"/>
      <c r="DM14" s="2"/>
      <c r="DN14" s="3"/>
      <c r="DO14" s="3"/>
      <c r="DP14" s="3"/>
      <c r="DQ14" s="3"/>
      <c r="DR14" s="2"/>
      <c r="DS14" s="2"/>
      <c r="DT14" s="2"/>
      <c r="DU14" s="2"/>
      <c r="DV14" s="3"/>
      <c r="DW14" s="3"/>
      <c r="DX14" s="3"/>
      <c r="DY14" s="3"/>
    </row>
    <row r="15" spans="1:129" x14ac:dyDescent="0.2">
      <c r="A15" s="1">
        <v>9</v>
      </c>
      <c r="B15" s="2"/>
      <c r="C15" s="2"/>
      <c r="D15" s="2"/>
      <c r="E15" s="2"/>
      <c r="F15" s="3"/>
      <c r="G15" s="3"/>
      <c r="H15" s="3"/>
      <c r="I15" s="3"/>
      <c r="J15" s="2"/>
      <c r="K15" s="2"/>
      <c r="L15" s="2"/>
      <c r="M15" s="2"/>
      <c r="N15" s="3"/>
      <c r="O15" s="3"/>
      <c r="P15" s="3"/>
      <c r="Q15" s="3"/>
      <c r="R15" s="2"/>
      <c r="S15" s="2"/>
      <c r="T15" s="2"/>
      <c r="U15" s="2"/>
      <c r="V15" s="3"/>
      <c r="W15" s="3"/>
      <c r="X15" s="3"/>
      <c r="Y15" s="3"/>
      <c r="Z15" s="2"/>
      <c r="AA15" s="2"/>
      <c r="AB15" s="2"/>
      <c r="AC15" s="2"/>
      <c r="AD15" s="3"/>
      <c r="AE15" s="3"/>
      <c r="AF15" s="3"/>
      <c r="AG15" s="3"/>
      <c r="AH15" s="2"/>
      <c r="AI15" s="2"/>
      <c r="AJ15" s="2"/>
      <c r="AK15" s="2"/>
      <c r="AL15" s="3"/>
      <c r="AM15" s="3"/>
      <c r="AN15" s="3"/>
      <c r="AO15" s="3"/>
      <c r="AP15" s="2"/>
      <c r="AQ15" s="2"/>
      <c r="AR15" s="2"/>
      <c r="AS15" s="2"/>
      <c r="AT15" s="3"/>
      <c r="AU15" s="3"/>
      <c r="AV15" s="3"/>
      <c r="AW15" s="3"/>
      <c r="AX15" s="2"/>
      <c r="AY15" s="2"/>
      <c r="AZ15" s="2"/>
      <c r="BA15" s="2"/>
      <c r="BB15" s="3"/>
      <c r="BC15" s="3"/>
      <c r="BD15" s="3"/>
      <c r="BE15" s="3"/>
      <c r="BF15" s="2"/>
      <c r="BG15" s="2"/>
      <c r="BH15" s="2"/>
      <c r="BI15" s="2"/>
      <c r="BJ15" s="3"/>
      <c r="BK15" s="3"/>
      <c r="BL15" s="3"/>
      <c r="BM15" s="3"/>
      <c r="BN15" s="2"/>
      <c r="BO15" s="2"/>
      <c r="BP15" s="2"/>
      <c r="BQ15" s="2"/>
      <c r="BR15" s="3"/>
      <c r="BS15" s="3"/>
      <c r="BT15" s="3"/>
      <c r="BU15" s="3"/>
      <c r="BV15" s="2"/>
      <c r="BW15" s="2"/>
      <c r="BX15" s="2"/>
      <c r="BY15" s="2"/>
      <c r="BZ15" s="3"/>
      <c r="CA15" s="3"/>
      <c r="CB15" s="3"/>
      <c r="CC15" s="3"/>
      <c r="CD15" s="2"/>
      <c r="CE15" s="2"/>
      <c r="CF15" s="2"/>
      <c r="CG15" s="2"/>
      <c r="CH15" s="3"/>
      <c r="CI15" s="3"/>
      <c r="CJ15" s="3"/>
      <c r="CK15" s="3"/>
      <c r="CL15" s="2"/>
      <c r="CM15" s="2"/>
      <c r="CN15" s="2"/>
      <c r="CO15" s="2"/>
      <c r="CP15" s="3"/>
      <c r="CQ15" s="3"/>
      <c r="CR15" s="3"/>
      <c r="CS15" s="3"/>
      <c r="CT15" s="2"/>
      <c r="CU15" s="2"/>
      <c r="CV15" s="2"/>
      <c r="CW15" s="2"/>
      <c r="CX15" s="3"/>
      <c r="CY15" s="3"/>
      <c r="CZ15" s="3"/>
      <c r="DA15" s="3"/>
      <c r="DB15" s="2"/>
      <c r="DC15" s="2"/>
      <c r="DD15" s="2"/>
      <c r="DE15" s="2"/>
      <c r="DF15" s="3"/>
      <c r="DG15" s="3"/>
      <c r="DH15" s="3"/>
      <c r="DI15" s="3"/>
      <c r="DJ15" s="2"/>
      <c r="DK15" s="2"/>
      <c r="DL15" s="2"/>
      <c r="DM15" s="2"/>
      <c r="DN15" s="3"/>
      <c r="DO15" s="3"/>
      <c r="DP15" s="3"/>
      <c r="DQ15" s="3"/>
      <c r="DR15" s="2"/>
      <c r="DS15" s="2"/>
      <c r="DT15" s="2"/>
      <c r="DU15" s="2"/>
      <c r="DV15" s="3"/>
      <c r="DW15" s="3"/>
      <c r="DX15" s="3"/>
      <c r="DY15" s="3"/>
    </row>
    <row r="16" spans="1:129" x14ac:dyDescent="0.2">
      <c r="A16" s="1">
        <v>10</v>
      </c>
      <c r="B16" s="2"/>
      <c r="C16" s="2"/>
      <c r="D16" s="2"/>
      <c r="E16" s="2"/>
      <c r="F16" s="3"/>
      <c r="G16" s="3"/>
      <c r="H16" s="3"/>
      <c r="I16" s="3"/>
      <c r="J16" s="2"/>
      <c r="K16" s="2"/>
      <c r="L16" s="2"/>
      <c r="M16" s="2"/>
      <c r="N16" s="3"/>
      <c r="O16" s="3"/>
      <c r="P16" s="3"/>
      <c r="Q16" s="3"/>
      <c r="R16" s="2"/>
      <c r="S16" s="2"/>
      <c r="T16" s="2"/>
      <c r="U16" s="2"/>
      <c r="V16" s="3"/>
      <c r="W16" s="3"/>
      <c r="X16" s="3"/>
      <c r="Y16" s="3"/>
      <c r="Z16" s="2"/>
      <c r="AA16" s="2"/>
      <c r="AB16" s="2"/>
      <c r="AC16" s="2"/>
      <c r="AD16" s="3"/>
      <c r="AE16" s="3"/>
      <c r="AF16" s="3"/>
      <c r="AG16" s="3"/>
      <c r="AH16" s="2"/>
      <c r="AI16" s="2"/>
      <c r="AJ16" s="2"/>
      <c r="AK16" s="2"/>
      <c r="AL16" s="3"/>
      <c r="AM16" s="3"/>
      <c r="AN16" s="3"/>
      <c r="AO16" s="3"/>
      <c r="AP16" s="2"/>
      <c r="AQ16" s="2"/>
      <c r="AR16" s="2"/>
      <c r="AS16" s="2"/>
      <c r="AT16" s="3"/>
      <c r="AU16" s="3"/>
      <c r="AV16" s="3"/>
      <c r="AW16" s="3"/>
      <c r="AX16" s="2"/>
      <c r="AY16" s="2"/>
      <c r="AZ16" s="2"/>
      <c r="BA16" s="2"/>
      <c r="BB16" s="3"/>
      <c r="BC16" s="3"/>
      <c r="BD16" s="3"/>
      <c r="BE16" s="3"/>
      <c r="BF16" s="2"/>
      <c r="BG16" s="2"/>
      <c r="BH16" s="2"/>
      <c r="BI16" s="2"/>
      <c r="BJ16" s="3"/>
      <c r="BK16" s="3"/>
      <c r="BL16" s="3"/>
      <c r="BM16" s="3"/>
      <c r="BN16" s="2"/>
      <c r="BO16" s="2"/>
      <c r="BP16" s="2"/>
      <c r="BQ16" s="2"/>
      <c r="BR16" s="3"/>
      <c r="BS16" s="3"/>
      <c r="BT16" s="3"/>
      <c r="BU16" s="3"/>
      <c r="BV16" s="2"/>
      <c r="BW16" s="2"/>
      <c r="BX16" s="2"/>
      <c r="BY16" s="2"/>
      <c r="BZ16" s="3"/>
      <c r="CA16" s="3"/>
      <c r="CB16" s="3"/>
      <c r="CC16" s="3"/>
      <c r="CD16" s="2"/>
      <c r="CE16" s="2"/>
      <c r="CF16" s="2"/>
      <c r="CG16" s="2"/>
      <c r="CH16" s="3"/>
      <c r="CI16" s="3"/>
      <c r="CJ16" s="3"/>
      <c r="CK16" s="3"/>
      <c r="CL16" s="2"/>
      <c r="CM16" s="2"/>
      <c r="CN16" s="2"/>
      <c r="CO16" s="2"/>
      <c r="CP16" s="3"/>
      <c r="CQ16" s="3"/>
      <c r="CR16" s="3"/>
      <c r="CS16" s="3"/>
      <c r="CT16" s="2"/>
      <c r="CU16" s="2"/>
      <c r="CV16" s="2"/>
      <c r="CW16" s="2"/>
      <c r="CX16" s="3"/>
      <c r="CY16" s="3"/>
      <c r="CZ16" s="3"/>
      <c r="DA16" s="3"/>
      <c r="DB16" s="2"/>
      <c r="DC16" s="2"/>
      <c r="DD16" s="2"/>
      <c r="DE16" s="2"/>
      <c r="DF16" s="3"/>
      <c r="DG16" s="3"/>
      <c r="DH16" s="3"/>
      <c r="DI16" s="3"/>
      <c r="DJ16" s="2"/>
      <c r="DK16" s="2"/>
      <c r="DL16" s="2"/>
      <c r="DM16" s="2"/>
      <c r="DN16" s="3"/>
      <c r="DO16" s="3"/>
      <c r="DP16" s="3"/>
      <c r="DQ16" s="3"/>
      <c r="DR16" s="2"/>
      <c r="DS16" s="2"/>
      <c r="DT16" s="2"/>
      <c r="DU16" s="2"/>
      <c r="DV16" s="3"/>
      <c r="DW16" s="3"/>
      <c r="DX16" s="3"/>
      <c r="DY16" s="3"/>
    </row>
    <row r="17" spans="1:129" x14ac:dyDescent="0.2">
      <c r="A17" s="1">
        <v>11</v>
      </c>
      <c r="B17" s="2"/>
      <c r="C17" s="2"/>
      <c r="D17" s="2"/>
      <c r="E17" s="2"/>
      <c r="F17" s="3"/>
      <c r="G17" s="3"/>
      <c r="H17" s="3"/>
      <c r="I17" s="3"/>
      <c r="J17" s="2"/>
      <c r="K17" s="2"/>
      <c r="L17" s="2"/>
      <c r="M17" s="2"/>
      <c r="N17" s="3"/>
      <c r="O17" s="3"/>
      <c r="P17" s="3"/>
      <c r="Q17" s="3"/>
      <c r="R17" s="2"/>
      <c r="S17" s="2"/>
      <c r="T17" s="2"/>
      <c r="U17" s="2"/>
      <c r="V17" s="3"/>
      <c r="W17" s="3"/>
      <c r="X17" s="3"/>
      <c r="Y17" s="3"/>
      <c r="Z17" s="2"/>
      <c r="AA17" s="2"/>
      <c r="AB17" s="2"/>
      <c r="AC17" s="2"/>
      <c r="AD17" s="3"/>
      <c r="AE17" s="3"/>
      <c r="AF17" s="3"/>
      <c r="AG17" s="3"/>
      <c r="AH17" s="2"/>
      <c r="AI17" s="2"/>
      <c r="AJ17" s="2"/>
      <c r="AK17" s="2"/>
      <c r="AL17" s="3"/>
      <c r="AM17" s="3"/>
      <c r="AN17" s="3"/>
      <c r="AO17" s="3"/>
      <c r="AP17" s="2"/>
      <c r="AQ17" s="2"/>
      <c r="AR17" s="2"/>
      <c r="AS17" s="2"/>
      <c r="AT17" s="3"/>
      <c r="AU17" s="3"/>
      <c r="AV17" s="3"/>
      <c r="AW17" s="3"/>
      <c r="AX17" s="2"/>
      <c r="AY17" s="2"/>
      <c r="AZ17" s="2"/>
      <c r="BA17" s="2"/>
      <c r="BB17" s="3"/>
      <c r="BC17" s="3"/>
      <c r="BD17" s="3"/>
      <c r="BE17" s="3"/>
      <c r="BF17" s="2"/>
      <c r="BG17" s="2"/>
      <c r="BH17" s="2"/>
      <c r="BI17" s="2"/>
      <c r="BJ17" s="3"/>
      <c r="BK17" s="3"/>
      <c r="BL17" s="3"/>
      <c r="BM17" s="3"/>
      <c r="BN17" s="2"/>
      <c r="BO17" s="2"/>
      <c r="BP17" s="2"/>
      <c r="BQ17" s="2"/>
      <c r="BR17" s="3"/>
      <c r="BS17" s="3"/>
      <c r="BT17" s="3"/>
      <c r="BU17" s="3"/>
      <c r="BV17" s="2"/>
      <c r="BW17" s="2"/>
      <c r="BX17" s="2"/>
      <c r="BY17" s="2"/>
      <c r="BZ17" s="3"/>
      <c r="CA17" s="3"/>
      <c r="CB17" s="3"/>
      <c r="CC17" s="3"/>
      <c r="CD17" s="2"/>
      <c r="CE17" s="2"/>
      <c r="CF17" s="2"/>
      <c r="CG17" s="2"/>
      <c r="CH17" s="3"/>
      <c r="CI17" s="3"/>
      <c r="CJ17" s="3"/>
      <c r="CK17" s="3"/>
      <c r="CL17" s="2"/>
      <c r="CM17" s="2"/>
      <c r="CN17" s="2"/>
      <c r="CO17" s="2"/>
      <c r="CP17" s="3"/>
      <c r="CQ17" s="3"/>
      <c r="CR17" s="3"/>
      <c r="CS17" s="3"/>
      <c r="CT17" s="2"/>
      <c r="CU17" s="2"/>
      <c r="CV17" s="2"/>
      <c r="CW17" s="2"/>
      <c r="CX17" s="3"/>
      <c r="CY17" s="3"/>
      <c r="CZ17" s="3"/>
      <c r="DA17" s="3"/>
      <c r="DB17" s="2"/>
      <c r="DC17" s="2"/>
      <c r="DD17" s="2"/>
      <c r="DE17" s="2"/>
      <c r="DF17" s="3"/>
      <c r="DG17" s="3"/>
      <c r="DH17" s="3"/>
      <c r="DI17" s="3"/>
      <c r="DJ17" s="2"/>
      <c r="DK17" s="2"/>
      <c r="DL17" s="2"/>
      <c r="DM17" s="2"/>
      <c r="DN17" s="3"/>
      <c r="DO17" s="3"/>
      <c r="DP17" s="3"/>
      <c r="DQ17" s="3"/>
      <c r="DR17" s="2"/>
      <c r="DS17" s="2"/>
      <c r="DT17" s="2"/>
      <c r="DU17" s="2"/>
      <c r="DV17" s="3"/>
      <c r="DW17" s="3"/>
      <c r="DX17" s="3"/>
      <c r="DY17" s="3"/>
    </row>
    <row r="18" spans="1:129" x14ac:dyDescent="0.2">
      <c r="A18" s="1">
        <v>12</v>
      </c>
      <c r="B18" s="2"/>
      <c r="C18" s="2"/>
      <c r="D18" s="2"/>
      <c r="E18" s="2"/>
      <c r="F18" s="3"/>
      <c r="G18" s="3"/>
      <c r="H18" s="3"/>
      <c r="I18" s="3"/>
      <c r="J18" s="2"/>
      <c r="K18" s="2"/>
      <c r="L18" s="2"/>
      <c r="M18" s="2"/>
      <c r="N18" s="3"/>
      <c r="O18" s="3"/>
      <c r="P18" s="3"/>
      <c r="Q18" s="3"/>
      <c r="R18" s="2"/>
      <c r="S18" s="2"/>
      <c r="T18" s="2"/>
      <c r="U18" s="2"/>
      <c r="V18" s="3"/>
      <c r="W18" s="3"/>
      <c r="X18" s="3"/>
      <c r="Y18" s="3"/>
      <c r="Z18" s="2"/>
      <c r="AA18" s="2"/>
      <c r="AB18" s="2"/>
      <c r="AC18" s="2"/>
      <c r="AD18" s="3"/>
      <c r="AE18" s="3"/>
      <c r="AF18" s="3"/>
      <c r="AG18" s="3"/>
      <c r="AH18" s="2"/>
      <c r="AI18" s="2"/>
      <c r="AJ18" s="2"/>
      <c r="AK18" s="2"/>
      <c r="AL18" s="3"/>
      <c r="AM18" s="3"/>
      <c r="AN18" s="3"/>
      <c r="AO18" s="3"/>
      <c r="AP18" s="2"/>
      <c r="AQ18" s="2"/>
      <c r="AR18" s="2"/>
      <c r="AS18" s="2"/>
      <c r="AT18" s="3"/>
      <c r="AU18" s="3"/>
      <c r="AV18" s="3"/>
      <c r="AW18" s="3"/>
      <c r="AX18" s="2"/>
      <c r="AY18" s="2"/>
      <c r="AZ18" s="2"/>
      <c r="BA18" s="2"/>
      <c r="BB18" s="3"/>
      <c r="BC18" s="3"/>
      <c r="BD18" s="3"/>
      <c r="BE18" s="3"/>
      <c r="BF18" s="2"/>
      <c r="BG18" s="2"/>
      <c r="BH18" s="2"/>
      <c r="BI18" s="2"/>
      <c r="BJ18" s="3"/>
      <c r="BK18" s="3"/>
      <c r="BL18" s="3"/>
      <c r="BM18" s="3"/>
      <c r="BN18" s="2"/>
      <c r="BO18" s="2"/>
      <c r="BP18" s="2"/>
      <c r="BQ18" s="2"/>
      <c r="BR18" s="3"/>
      <c r="BS18" s="3"/>
      <c r="BT18" s="3"/>
      <c r="BU18" s="3"/>
      <c r="BV18" s="2"/>
      <c r="BW18" s="2"/>
      <c r="BX18" s="2"/>
      <c r="BY18" s="2"/>
      <c r="BZ18" s="3"/>
      <c r="CA18" s="3"/>
      <c r="CB18" s="3"/>
      <c r="CC18" s="3"/>
      <c r="CD18" s="2"/>
      <c r="CE18" s="2"/>
      <c r="CF18" s="2"/>
      <c r="CG18" s="2"/>
      <c r="CH18" s="3"/>
      <c r="CI18" s="3"/>
      <c r="CJ18" s="3"/>
      <c r="CK18" s="3"/>
      <c r="CL18" s="2"/>
      <c r="CM18" s="2"/>
      <c r="CN18" s="2"/>
      <c r="CO18" s="2"/>
      <c r="CP18" s="3"/>
      <c r="CQ18" s="3"/>
      <c r="CR18" s="3"/>
      <c r="CS18" s="3"/>
      <c r="CT18" s="2"/>
      <c r="CU18" s="2"/>
      <c r="CV18" s="2"/>
      <c r="CW18" s="2"/>
      <c r="CX18" s="3"/>
      <c r="CY18" s="3"/>
      <c r="CZ18" s="3"/>
      <c r="DA18" s="3"/>
      <c r="DB18" s="2"/>
      <c r="DC18" s="2"/>
      <c r="DD18" s="2"/>
      <c r="DE18" s="2"/>
      <c r="DF18" s="3"/>
      <c r="DG18" s="3"/>
      <c r="DH18" s="3"/>
      <c r="DI18" s="3"/>
      <c r="DJ18" s="2"/>
      <c r="DK18" s="2"/>
      <c r="DL18" s="2"/>
      <c r="DM18" s="2"/>
      <c r="DN18" s="3"/>
      <c r="DO18" s="3"/>
      <c r="DP18" s="3"/>
      <c r="DQ18" s="3"/>
      <c r="DR18" s="2"/>
      <c r="DS18" s="2"/>
      <c r="DT18" s="2"/>
      <c r="DU18" s="2"/>
      <c r="DV18" s="3"/>
      <c r="DW18" s="3"/>
      <c r="DX18" s="3"/>
      <c r="DY18" s="3"/>
    </row>
    <row r="19" spans="1:129" x14ac:dyDescent="0.2">
      <c r="A19" s="1">
        <v>13</v>
      </c>
      <c r="B19" s="2"/>
      <c r="C19" s="2"/>
      <c r="D19" s="2"/>
      <c r="E19" s="2"/>
      <c r="F19" s="3"/>
      <c r="G19" s="3"/>
      <c r="H19" s="3"/>
      <c r="I19" s="3"/>
      <c r="J19" s="2"/>
      <c r="K19" s="2"/>
      <c r="L19" s="2"/>
      <c r="M19" s="2"/>
      <c r="N19" s="3"/>
      <c r="O19" s="3"/>
      <c r="P19" s="3"/>
      <c r="Q19" s="3"/>
      <c r="R19" s="2"/>
      <c r="S19" s="2"/>
      <c r="T19" s="2"/>
      <c r="U19" s="2"/>
      <c r="V19" s="3"/>
      <c r="W19" s="3"/>
      <c r="X19" s="3"/>
      <c r="Y19" s="3"/>
      <c r="Z19" s="2"/>
      <c r="AA19" s="2"/>
      <c r="AB19" s="2"/>
      <c r="AC19" s="2"/>
      <c r="AD19" s="3"/>
      <c r="AE19" s="3"/>
      <c r="AF19" s="3"/>
      <c r="AG19" s="3"/>
      <c r="AH19" s="2"/>
      <c r="AI19" s="2"/>
      <c r="AJ19" s="2"/>
      <c r="AK19" s="2"/>
      <c r="AL19" s="3"/>
      <c r="AM19" s="3"/>
      <c r="AN19" s="3"/>
      <c r="AO19" s="3"/>
      <c r="AP19" s="2"/>
      <c r="AQ19" s="2"/>
      <c r="AR19" s="2"/>
      <c r="AS19" s="2"/>
      <c r="AT19" s="3"/>
      <c r="AU19" s="3"/>
      <c r="AV19" s="3"/>
      <c r="AW19" s="3"/>
      <c r="AX19" s="2"/>
      <c r="AY19" s="2"/>
      <c r="AZ19" s="2"/>
      <c r="BA19" s="2"/>
      <c r="BB19" s="3"/>
      <c r="BC19" s="3"/>
      <c r="BD19" s="3"/>
      <c r="BE19" s="3"/>
      <c r="BF19" s="2"/>
      <c r="BG19" s="2"/>
      <c r="BH19" s="2"/>
      <c r="BI19" s="2"/>
      <c r="BJ19" s="3"/>
      <c r="BK19" s="3"/>
      <c r="BL19" s="3"/>
      <c r="BM19" s="3"/>
      <c r="BN19" s="2"/>
      <c r="BO19" s="2"/>
      <c r="BP19" s="2"/>
      <c r="BQ19" s="2"/>
      <c r="BR19" s="3"/>
      <c r="BS19" s="3"/>
      <c r="BT19" s="3"/>
      <c r="BU19" s="3"/>
      <c r="BV19" s="2"/>
      <c r="BW19" s="2"/>
      <c r="BX19" s="2"/>
      <c r="BY19" s="2"/>
      <c r="BZ19" s="3"/>
      <c r="CA19" s="3"/>
      <c r="CB19" s="3"/>
      <c r="CC19" s="3"/>
      <c r="CD19" s="2"/>
      <c r="CE19" s="2"/>
      <c r="CF19" s="2"/>
      <c r="CG19" s="2"/>
      <c r="CH19" s="3"/>
      <c r="CI19" s="3"/>
      <c r="CJ19" s="3"/>
      <c r="CK19" s="3"/>
      <c r="CL19" s="2"/>
      <c r="CM19" s="2"/>
      <c r="CN19" s="2"/>
      <c r="CO19" s="2"/>
      <c r="CP19" s="3"/>
      <c r="CQ19" s="3"/>
      <c r="CR19" s="3"/>
      <c r="CS19" s="3"/>
      <c r="CT19" s="2"/>
      <c r="CU19" s="2"/>
      <c r="CV19" s="2"/>
      <c r="CW19" s="2"/>
      <c r="CX19" s="3"/>
      <c r="CY19" s="3"/>
      <c r="CZ19" s="3"/>
      <c r="DA19" s="3"/>
      <c r="DB19" s="2"/>
      <c r="DC19" s="2"/>
      <c r="DD19" s="2"/>
      <c r="DE19" s="2"/>
      <c r="DF19" s="3"/>
      <c r="DG19" s="3"/>
      <c r="DH19" s="3"/>
      <c r="DI19" s="3"/>
      <c r="DJ19" s="2"/>
      <c r="DK19" s="2"/>
      <c r="DL19" s="2"/>
      <c r="DM19" s="2"/>
      <c r="DN19" s="3"/>
      <c r="DO19" s="3"/>
      <c r="DP19" s="3"/>
      <c r="DQ19" s="3"/>
      <c r="DR19" s="2"/>
      <c r="DS19" s="2"/>
      <c r="DT19" s="2"/>
      <c r="DU19" s="2"/>
      <c r="DV19" s="3"/>
      <c r="DW19" s="3"/>
      <c r="DX19" s="3"/>
      <c r="DY19" s="3"/>
    </row>
    <row r="20" spans="1:129" x14ac:dyDescent="0.2">
      <c r="A20" s="1">
        <v>14</v>
      </c>
      <c r="B20" s="2"/>
      <c r="C20" s="2"/>
      <c r="D20" s="2"/>
      <c r="E20" s="2"/>
      <c r="F20" s="3"/>
      <c r="G20" s="3"/>
      <c r="H20" s="3"/>
      <c r="I20" s="3"/>
      <c r="J20" s="2"/>
      <c r="K20" s="2"/>
      <c r="L20" s="2"/>
      <c r="M20" s="2"/>
      <c r="N20" s="3"/>
      <c r="O20" s="3"/>
      <c r="P20" s="3"/>
      <c r="Q20" s="3"/>
      <c r="R20" s="2"/>
      <c r="S20" s="2"/>
      <c r="T20" s="2"/>
      <c r="U20" s="2"/>
      <c r="V20" s="3"/>
      <c r="W20" s="3"/>
      <c r="X20" s="3"/>
      <c r="Y20" s="3"/>
      <c r="Z20" s="2"/>
      <c r="AA20" s="2"/>
      <c r="AB20" s="2"/>
      <c r="AC20" s="2"/>
      <c r="AD20" s="3"/>
      <c r="AE20" s="3"/>
      <c r="AF20" s="3"/>
      <c r="AG20" s="3"/>
      <c r="AH20" s="2"/>
      <c r="AI20" s="2"/>
      <c r="AJ20" s="2"/>
      <c r="AK20" s="2"/>
      <c r="AL20" s="3"/>
      <c r="AM20" s="3"/>
      <c r="AN20" s="3"/>
      <c r="AO20" s="3"/>
      <c r="AP20" s="2"/>
      <c r="AQ20" s="2"/>
      <c r="AR20" s="2"/>
      <c r="AS20" s="2"/>
      <c r="AT20" s="3"/>
      <c r="AU20" s="3"/>
      <c r="AV20" s="3"/>
      <c r="AW20" s="3"/>
      <c r="AX20" s="2"/>
      <c r="AY20" s="2"/>
      <c r="AZ20" s="2"/>
      <c r="BA20" s="2"/>
      <c r="BB20" s="3"/>
      <c r="BC20" s="3"/>
      <c r="BD20" s="3"/>
      <c r="BE20" s="3"/>
      <c r="BF20" s="2"/>
      <c r="BG20" s="2"/>
      <c r="BH20" s="2"/>
      <c r="BI20" s="2"/>
      <c r="BJ20" s="3"/>
      <c r="BK20" s="3"/>
      <c r="BL20" s="3"/>
      <c r="BM20" s="3"/>
      <c r="BN20" s="2"/>
      <c r="BO20" s="2"/>
      <c r="BP20" s="2"/>
      <c r="BQ20" s="2"/>
      <c r="BR20" s="3"/>
      <c r="BS20" s="3"/>
      <c r="BT20" s="3"/>
      <c r="BU20" s="3"/>
      <c r="BV20" s="2"/>
      <c r="BW20" s="2"/>
      <c r="BX20" s="2"/>
      <c r="BY20" s="2"/>
      <c r="BZ20" s="3"/>
      <c r="CA20" s="3"/>
      <c r="CB20" s="3"/>
      <c r="CC20" s="3"/>
      <c r="CD20" s="2"/>
      <c r="CE20" s="2"/>
      <c r="CF20" s="2"/>
      <c r="CG20" s="2"/>
      <c r="CH20" s="3"/>
      <c r="CI20" s="3"/>
      <c r="CJ20" s="3"/>
      <c r="CK20" s="3"/>
      <c r="CL20" s="2"/>
      <c r="CM20" s="2"/>
      <c r="CN20" s="2"/>
      <c r="CO20" s="2"/>
      <c r="CP20" s="3"/>
      <c r="CQ20" s="3"/>
      <c r="CR20" s="3"/>
      <c r="CS20" s="3"/>
      <c r="CT20" s="2"/>
      <c r="CU20" s="2"/>
      <c r="CV20" s="2"/>
      <c r="CW20" s="2"/>
      <c r="CX20" s="3"/>
      <c r="CY20" s="3"/>
      <c r="CZ20" s="3"/>
      <c r="DA20" s="3"/>
      <c r="DB20" s="2"/>
      <c r="DC20" s="2"/>
      <c r="DD20" s="2"/>
      <c r="DE20" s="2"/>
      <c r="DF20" s="3"/>
      <c r="DG20" s="3"/>
      <c r="DH20" s="3"/>
      <c r="DI20" s="3"/>
      <c r="DJ20" s="2"/>
      <c r="DK20" s="2"/>
      <c r="DL20" s="2"/>
      <c r="DM20" s="2"/>
      <c r="DN20" s="3"/>
      <c r="DO20" s="3"/>
      <c r="DP20" s="3"/>
      <c r="DQ20" s="3"/>
      <c r="DR20" s="2"/>
      <c r="DS20" s="2"/>
      <c r="DT20" s="2"/>
      <c r="DU20" s="2"/>
      <c r="DV20" s="3"/>
      <c r="DW20" s="3"/>
      <c r="DX20" s="3"/>
      <c r="DY20" s="3"/>
    </row>
    <row r="21" spans="1:129" x14ac:dyDescent="0.2">
      <c r="A21" s="1">
        <v>15</v>
      </c>
      <c r="B21" s="2"/>
      <c r="C21" s="2"/>
      <c r="D21" s="2"/>
      <c r="E21" s="2"/>
      <c r="F21" s="3"/>
      <c r="G21" s="3"/>
      <c r="H21" s="3"/>
      <c r="I21" s="3"/>
      <c r="J21" s="2"/>
      <c r="K21" s="2"/>
      <c r="L21" s="2"/>
      <c r="M21" s="2"/>
      <c r="N21" s="3"/>
      <c r="O21" s="3"/>
      <c r="P21" s="3"/>
      <c r="Q21" s="3"/>
      <c r="R21" s="2"/>
      <c r="S21" s="2"/>
      <c r="T21" s="2"/>
      <c r="U21" s="2"/>
      <c r="V21" s="3"/>
      <c r="W21" s="3"/>
      <c r="X21" s="3"/>
      <c r="Y21" s="3"/>
      <c r="Z21" s="2"/>
      <c r="AA21" s="2"/>
      <c r="AB21" s="2"/>
      <c r="AC21" s="2"/>
      <c r="AD21" s="3"/>
      <c r="AE21" s="3"/>
      <c r="AF21" s="3"/>
      <c r="AG21" s="3"/>
      <c r="AH21" s="2"/>
      <c r="AI21" s="2"/>
      <c r="AJ21" s="2"/>
      <c r="AK21" s="2"/>
      <c r="AL21" s="3"/>
      <c r="AM21" s="3"/>
      <c r="AN21" s="3"/>
      <c r="AO21" s="3"/>
      <c r="AP21" s="2"/>
      <c r="AQ21" s="2"/>
      <c r="AR21" s="2"/>
      <c r="AS21" s="2"/>
      <c r="AT21" s="3"/>
      <c r="AU21" s="3"/>
      <c r="AV21" s="3"/>
      <c r="AW21" s="3"/>
      <c r="AX21" s="2"/>
      <c r="AY21" s="2"/>
      <c r="AZ21" s="2"/>
      <c r="BA21" s="2"/>
      <c r="BB21" s="3"/>
      <c r="BC21" s="3"/>
      <c r="BD21" s="3"/>
      <c r="BE21" s="3"/>
      <c r="BF21" s="2"/>
      <c r="BG21" s="2"/>
      <c r="BH21" s="2"/>
      <c r="BI21" s="2"/>
      <c r="BJ21" s="3"/>
      <c r="BK21" s="3"/>
      <c r="BL21" s="3"/>
      <c r="BM21" s="3"/>
      <c r="BN21" s="2"/>
      <c r="BO21" s="2"/>
      <c r="BP21" s="2"/>
      <c r="BQ21" s="2"/>
      <c r="BR21" s="3"/>
      <c r="BS21" s="3"/>
      <c r="BT21" s="3"/>
      <c r="BU21" s="3"/>
      <c r="BV21" s="2"/>
      <c r="BW21" s="2"/>
      <c r="BX21" s="2"/>
      <c r="BY21" s="2"/>
      <c r="BZ21" s="3"/>
      <c r="CA21" s="3"/>
      <c r="CB21" s="3"/>
      <c r="CC21" s="3"/>
      <c r="CD21" s="2"/>
      <c r="CE21" s="2"/>
      <c r="CF21" s="2"/>
      <c r="CG21" s="2"/>
      <c r="CH21" s="3"/>
      <c r="CI21" s="3"/>
      <c r="CJ21" s="3"/>
      <c r="CK21" s="3"/>
      <c r="CL21" s="2"/>
      <c r="CM21" s="2"/>
      <c r="CN21" s="2"/>
      <c r="CO21" s="2"/>
      <c r="CP21" s="3"/>
      <c r="CQ21" s="3"/>
      <c r="CR21" s="3"/>
      <c r="CS21" s="3"/>
      <c r="CT21" s="2"/>
      <c r="CU21" s="2"/>
      <c r="CV21" s="2"/>
      <c r="CW21" s="2"/>
      <c r="CX21" s="3"/>
      <c r="CY21" s="3"/>
      <c r="CZ21" s="3"/>
      <c r="DA21" s="3"/>
      <c r="DB21" s="2"/>
      <c r="DC21" s="2"/>
      <c r="DD21" s="2"/>
      <c r="DE21" s="2"/>
      <c r="DF21" s="3"/>
      <c r="DG21" s="3"/>
      <c r="DH21" s="3"/>
      <c r="DI21" s="3"/>
      <c r="DJ21" s="2"/>
      <c r="DK21" s="2"/>
      <c r="DL21" s="2"/>
      <c r="DM21" s="2"/>
      <c r="DN21" s="3"/>
      <c r="DO21" s="3"/>
      <c r="DP21" s="3"/>
      <c r="DQ21" s="3"/>
      <c r="DR21" s="2"/>
      <c r="DS21" s="2"/>
      <c r="DT21" s="2"/>
      <c r="DU21" s="2"/>
      <c r="DV21" s="3"/>
      <c r="DW21" s="3"/>
      <c r="DX21" s="3"/>
      <c r="DY21" s="3"/>
    </row>
    <row r="22" spans="1:129" x14ac:dyDescent="0.2">
      <c r="A22" s="1">
        <v>16</v>
      </c>
      <c r="B22" s="2"/>
      <c r="C22" s="2"/>
      <c r="D22" s="2"/>
      <c r="E22" s="2"/>
      <c r="F22" s="3"/>
      <c r="G22" s="3"/>
      <c r="H22" s="3"/>
      <c r="I22" s="3"/>
      <c r="J22" s="2"/>
      <c r="K22" s="2"/>
      <c r="L22" s="2"/>
      <c r="M22" s="2"/>
      <c r="N22" s="3"/>
      <c r="O22" s="3"/>
      <c r="P22" s="3"/>
      <c r="Q22" s="3"/>
      <c r="R22" s="2"/>
      <c r="S22" s="2"/>
      <c r="T22" s="2"/>
      <c r="U22" s="2"/>
      <c r="V22" s="3"/>
      <c r="W22" s="3"/>
      <c r="X22" s="3"/>
      <c r="Y22" s="3"/>
      <c r="Z22" s="2"/>
      <c r="AA22" s="2"/>
      <c r="AB22" s="2"/>
      <c r="AC22" s="2"/>
      <c r="AD22" s="3"/>
      <c r="AE22" s="3"/>
      <c r="AF22" s="3"/>
      <c r="AG22" s="3"/>
      <c r="AH22" s="2"/>
      <c r="AI22" s="2"/>
      <c r="AJ22" s="2"/>
      <c r="AK22" s="2"/>
      <c r="AL22" s="3"/>
      <c r="AM22" s="3"/>
      <c r="AN22" s="3"/>
      <c r="AO22" s="3"/>
      <c r="AP22" s="2"/>
      <c r="AQ22" s="2"/>
      <c r="AR22" s="2"/>
      <c r="AS22" s="2"/>
      <c r="AT22" s="3"/>
      <c r="AU22" s="3"/>
      <c r="AV22" s="3"/>
      <c r="AW22" s="3"/>
      <c r="AX22" s="2"/>
      <c r="AY22" s="2"/>
      <c r="AZ22" s="2"/>
      <c r="BA22" s="2"/>
      <c r="BB22" s="3"/>
      <c r="BC22" s="3"/>
      <c r="BD22" s="3"/>
      <c r="BE22" s="3"/>
      <c r="BF22" s="2"/>
      <c r="BG22" s="2"/>
      <c r="BH22" s="2"/>
      <c r="BI22" s="2"/>
      <c r="BJ22" s="3"/>
      <c r="BK22" s="3"/>
      <c r="BL22" s="3"/>
      <c r="BM22" s="3"/>
      <c r="BN22" s="2"/>
      <c r="BO22" s="2"/>
      <c r="BP22" s="2"/>
      <c r="BQ22" s="2"/>
      <c r="BR22" s="3"/>
      <c r="BS22" s="3"/>
      <c r="BT22" s="3"/>
      <c r="BU22" s="3"/>
      <c r="BV22" s="2"/>
      <c r="BW22" s="2"/>
      <c r="BX22" s="2"/>
      <c r="BY22" s="2"/>
      <c r="BZ22" s="3"/>
      <c r="CA22" s="3"/>
      <c r="CB22" s="3"/>
      <c r="CC22" s="3"/>
      <c r="CD22" s="2"/>
      <c r="CE22" s="2"/>
      <c r="CF22" s="2"/>
      <c r="CG22" s="2"/>
      <c r="CH22" s="3"/>
      <c r="CI22" s="3"/>
      <c r="CJ22" s="3"/>
      <c r="CK22" s="3"/>
      <c r="CL22" s="2"/>
      <c r="CM22" s="2"/>
      <c r="CN22" s="2"/>
      <c r="CO22" s="2"/>
      <c r="CP22" s="3"/>
      <c r="CQ22" s="3"/>
      <c r="CR22" s="3"/>
      <c r="CS22" s="3"/>
      <c r="CT22" s="2"/>
      <c r="CU22" s="2"/>
      <c r="CV22" s="2"/>
      <c r="CW22" s="2"/>
      <c r="CX22" s="3"/>
      <c r="CY22" s="3"/>
      <c r="CZ22" s="3"/>
      <c r="DA22" s="3"/>
      <c r="DB22" s="2"/>
      <c r="DC22" s="2"/>
      <c r="DD22" s="2"/>
      <c r="DE22" s="2"/>
      <c r="DF22" s="3"/>
      <c r="DG22" s="3"/>
      <c r="DH22" s="3"/>
      <c r="DI22" s="3"/>
      <c r="DJ22" s="2"/>
      <c r="DK22" s="2"/>
      <c r="DL22" s="2"/>
      <c r="DM22" s="2"/>
      <c r="DN22" s="3"/>
      <c r="DO22" s="3"/>
      <c r="DP22" s="3"/>
      <c r="DQ22" s="3"/>
      <c r="DR22" s="2"/>
      <c r="DS22" s="2"/>
      <c r="DT22" s="2"/>
      <c r="DU22" s="2"/>
      <c r="DV22" s="3"/>
      <c r="DW22" s="3"/>
      <c r="DX22" s="3"/>
      <c r="DY22" s="3"/>
    </row>
    <row r="23" spans="1:129" x14ac:dyDescent="0.2">
      <c r="A23" s="1">
        <v>17</v>
      </c>
      <c r="B23" s="2"/>
      <c r="C23" s="2"/>
      <c r="D23" s="2"/>
      <c r="E23" s="2"/>
      <c r="F23" s="3"/>
      <c r="G23" s="3"/>
      <c r="H23" s="3"/>
      <c r="I23" s="3"/>
      <c r="J23" s="2"/>
      <c r="K23" s="2"/>
      <c r="L23" s="2"/>
      <c r="M23" s="2"/>
      <c r="N23" s="3"/>
      <c r="O23" s="3"/>
      <c r="P23" s="3"/>
      <c r="Q23" s="3"/>
      <c r="R23" s="2"/>
      <c r="S23" s="2"/>
      <c r="T23" s="2"/>
      <c r="U23" s="2"/>
      <c r="V23" s="3"/>
      <c r="W23" s="3"/>
      <c r="X23" s="3"/>
      <c r="Y23" s="3"/>
      <c r="Z23" s="2"/>
      <c r="AA23" s="2"/>
      <c r="AB23" s="2"/>
      <c r="AC23" s="2"/>
      <c r="AD23" s="3"/>
      <c r="AE23" s="3"/>
      <c r="AF23" s="3"/>
      <c r="AG23" s="3"/>
      <c r="AH23" s="2"/>
      <c r="AI23" s="2"/>
      <c r="AJ23" s="2"/>
      <c r="AK23" s="2"/>
      <c r="AL23" s="3"/>
      <c r="AM23" s="3"/>
      <c r="AN23" s="3"/>
      <c r="AO23" s="3"/>
      <c r="AP23" s="2"/>
      <c r="AQ23" s="2"/>
      <c r="AR23" s="2"/>
      <c r="AS23" s="2"/>
      <c r="AT23" s="3"/>
      <c r="AU23" s="3"/>
      <c r="AV23" s="3"/>
      <c r="AW23" s="3"/>
      <c r="AX23" s="2"/>
      <c r="AY23" s="2"/>
      <c r="AZ23" s="2"/>
      <c r="BA23" s="2"/>
      <c r="BB23" s="3"/>
      <c r="BC23" s="3"/>
      <c r="BD23" s="3"/>
      <c r="BE23" s="3"/>
      <c r="BF23" s="2"/>
      <c r="BG23" s="2"/>
      <c r="BH23" s="2"/>
      <c r="BI23" s="2"/>
      <c r="BJ23" s="3"/>
      <c r="BK23" s="3"/>
      <c r="BL23" s="3"/>
      <c r="BM23" s="3"/>
      <c r="BN23" s="2"/>
      <c r="BO23" s="2"/>
      <c r="BP23" s="2"/>
      <c r="BQ23" s="2"/>
      <c r="BR23" s="3"/>
      <c r="BS23" s="3"/>
      <c r="BT23" s="3"/>
      <c r="BU23" s="3"/>
      <c r="BV23" s="2"/>
      <c r="BW23" s="2"/>
      <c r="BX23" s="2"/>
      <c r="BY23" s="2"/>
      <c r="BZ23" s="3"/>
      <c r="CA23" s="3"/>
      <c r="CB23" s="3"/>
      <c r="CC23" s="3"/>
      <c r="CD23" s="2"/>
      <c r="CE23" s="2"/>
      <c r="CF23" s="2"/>
      <c r="CG23" s="2"/>
      <c r="CH23" s="3"/>
      <c r="CI23" s="3"/>
      <c r="CJ23" s="3"/>
      <c r="CK23" s="3"/>
      <c r="CL23" s="2"/>
      <c r="CM23" s="2"/>
      <c r="CN23" s="2"/>
      <c r="CO23" s="2"/>
      <c r="CP23" s="3"/>
      <c r="CQ23" s="3"/>
      <c r="CR23" s="3"/>
      <c r="CS23" s="3"/>
      <c r="CT23" s="2"/>
      <c r="CU23" s="2"/>
      <c r="CV23" s="2"/>
      <c r="CW23" s="2"/>
      <c r="CX23" s="3"/>
      <c r="CY23" s="3"/>
      <c r="CZ23" s="3"/>
      <c r="DA23" s="3"/>
      <c r="DB23" s="2"/>
      <c r="DC23" s="2"/>
      <c r="DD23" s="2"/>
      <c r="DE23" s="2"/>
      <c r="DF23" s="3"/>
      <c r="DG23" s="3"/>
      <c r="DH23" s="3"/>
      <c r="DI23" s="3"/>
      <c r="DJ23" s="2"/>
      <c r="DK23" s="2"/>
      <c r="DL23" s="2"/>
      <c r="DM23" s="2"/>
      <c r="DN23" s="3"/>
      <c r="DO23" s="3"/>
      <c r="DP23" s="3"/>
      <c r="DQ23" s="3"/>
      <c r="DR23" s="2"/>
      <c r="DS23" s="2"/>
      <c r="DT23" s="2"/>
      <c r="DU23" s="2"/>
      <c r="DV23" s="3"/>
      <c r="DW23" s="3"/>
      <c r="DX23" s="3"/>
      <c r="DY23" s="3"/>
    </row>
    <row r="24" spans="1:129" x14ac:dyDescent="0.2">
      <c r="A24" s="1">
        <v>18</v>
      </c>
      <c r="B24" s="2"/>
      <c r="C24" s="2"/>
      <c r="D24" s="2"/>
      <c r="E24" s="2"/>
      <c r="F24" s="3"/>
      <c r="G24" s="3"/>
      <c r="H24" s="3"/>
      <c r="I24" s="3"/>
      <c r="J24" s="2"/>
      <c r="K24" s="2"/>
      <c r="L24" s="2"/>
      <c r="M24" s="2"/>
      <c r="N24" s="3"/>
      <c r="O24" s="3"/>
      <c r="P24" s="3"/>
      <c r="Q24" s="3"/>
      <c r="R24" s="2"/>
      <c r="S24" s="2"/>
      <c r="T24" s="2"/>
      <c r="U24" s="2"/>
      <c r="V24" s="3"/>
      <c r="W24" s="3"/>
      <c r="X24" s="3"/>
      <c r="Y24" s="3"/>
      <c r="Z24" s="2"/>
      <c r="AA24" s="2"/>
      <c r="AB24" s="2"/>
      <c r="AC24" s="2"/>
      <c r="AD24" s="3"/>
      <c r="AE24" s="3"/>
      <c r="AF24" s="3"/>
      <c r="AG24" s="3"/>
      <c r="AH24" s="2"/>
      <c r="AI24" s="2"/>
      <c r="AJ24" s="2"/>
      <c r="AK24" s="2"/>
      <c r="AL24" s="3"/>
      <c r="AM24" s="3"/>
      <c r="AN24" s="3"/>
      <c r="AO24" s="3"/>
      <c r="AP24" s="2"/>
      <c r="AQ24" s="2"/>
      <c r="AR24" s="2"/>
      <c r="AS24" s="2"/>
      <c r="AT24" s="3"/>
      <c r="AU24" s="3"/>
      <c r="AV24" s="3"/>
      <c r="AW24" s="3"/>
      <c r="AX24" s="2"/>
      <c r="AY24" s="2"/>
      <c r="AZ24" s="2"/>
      <c r="BA24" s="2"/>
      <c r="BB24" s="3"/>
      <c r="BC24" s="3"/>
      <c r="BD24" s="3"/>
      <c r="BE24" s="3"/>
      <c r="BF24" s="2"/>
      <c r="BG24" s="2"/>
      <c r="BH24" s="2"/>
      <c r="BI24" s="2"/>
      <c r="BJ24" s="3"/>
      <c r="BK24" s="3"/>
      <c r="BL24" s="3"/>
      <c r="BM24" s="3"/>
      <c r="BN24" s="2"/>
      <c r="BO24" s="2"/>
      <c r="BP24" s="2"/>
      <c r="BQ24" s="2"/>
      <c r="BR24" s="3"/>
      <c r="BS24" s="3"/>
      <c r="BT24" s="3"/>
      <c r="BU24" s="3"/>
      <c r="BV24" s="2"/>
      <c r="BW24" s="2"/>
      <c r="BX24" s="2"/>
      <c r="BY24" s="2"/>
      <c r="BZ24" s="3"/>
      <c r="CA24" s="3"/>
      <c r="CB24" s="3"/>
      <c r="CC24" s="3"/>
      <c r="CD24" s="2"/>
      <c r="CE24" s="2"/>
      <c r="CF24" s="2"/>
      <c r="CG24" s="2"/>
      <c r="CH24" s="3"/>
      <c r="CI24" s="3"/>
      <c r="CJ24" s="3"/>
      <c r="CK24" s="3"/>
      <c r="CL24" s="2"/>
      <c r="CM24" s="2"/>
      <c r="CN24" s="2"/>
      <c r="CO24" s="2"/>
      <c r="CP24" s="3"/>
      <c r="CQ24" s="3"/>
      <c r="CR24" s="3"/>
      <c r="CS24" s="3"/>
      <c r="CT24" s="2"/>
      <c r="CU24" s="2"/>
      <c r="CV24" s="2"/>
      <c r="CW24" s="2"/>
      <c r="CX24" s="3"/>
      <c r="CY24" s="3"/>
      <c r="CZ24" s="3"/>
      <c r="DA24" s="3"/>
      <c r="DB24" s="2"/>
      <c r="DC24" s="2"/>
      <c r="DD24" s="2"/>
      <c r="DE24" s="2"/>
      <c r="DF24" s="3"/>
      <c r="DG24" s="3"/>
      <c r="DH24" s="3"/>
      <c r="DI24" s="3"/>
      <c r="DJ24" s="2"/>
      <c r="DK24" s="2"/>
      <c r="DL24" s="2"/>
      <c r="DM24" s="2"/>
      <c r="DN24" s="3"/>
      <c r="DO24" s="3"/>
      <c r="DP24" s="3"/>
      <c r="DQ24" s="3"/>
      <c r="DR24" s="2"/>
      <c r="DS24" s="2"/>
      <c r="DT24" s="2"/>
      <c r="DU24" s="2"/>
      <c r="DV24" s="3"/>
      <c r="DW24" s="3"/>
      <c r="DX24" s="3"/>
      <c r="DY24" s="3"/>
    </row>
    <row r="25" spans="1:129" x14ac:dyDescent="0.2">
      <c r="A25" s="1">
        <v>19</v>
      </c>
      <c r="B25" s="2"/>
      <c r="C25" s="2"/>
      <c r="D25" s="2"/>
      <c r="E25" s="2"/>
      <c r="F25" s="3"/>
      <c r="G25" s="3"/>
      <c r="H25" s="3"/>
      <c r="I25" s="3"/>
      <c r="J25" s="2"/>
      <c r="K25" s="2"/>
      <c r="L25" s="2"/>
      <c r="M25" s="2"/>
      <c r="N25" s="3"/>
      <c r="O25" s="3"/>
      <c r="P25" s="3"/>
      <c r="Q25" s="3"/>
      <c r="R25" s="2"/>
      <c r="S25" s="2"/>
      <c r="T25" s="2"/>
      <c r="U25" s="2"/>
      <c r="V25" s="3"/>
      <c r="W25" s="3"/>
      <c r="X25" s="3"/>
      <c r="Y25" s="3"/>
      <c r="Z25" s="2"/>
      <c r="AA25" s="2"/>
      <c r="AB25" s="2"/>
      <c r="AC25" s="2"/>
      <c r="AD25" s="3"/>
      <c r="AE25" s="3"/>
      <c r="AF25" s="3"/>
      <c r="AG25" s="3"/>
      <c r="AH25" s="2"/>
      <c r="AI25" s="2"/>
      <c r="AJ25" s="2"/>
      <c r="AK25" s="2"/>
      <c r="AL25" s="3"/>
      <c r="AM25" s="3"/>
      <c r="AN25" s="3"/>
      <c r="AO25" s="3"/>
      <c r="AP25" s="2"/>
      <c r="AQ25" s="2"/>
      <c r="AR25" s="2"/>
      <c r="AS25" s="2"/>
      <c r="AT25" s="3"/>
      <c r="AU25" s="3"/>
      <c r="AV25" s="3"/>
      <c r="AW25" s="3"/>
      <c r="AX25" s="2"/>
      <c r="AY25" s="2"/>
      <c r="AZ25" s="2"/>
      <c r="BA25" s="2"/>
      <c r="BB25" s="3"/>
      <c r="BC25" s="3"/>
      <c r="BD25" s="3"/>
      <c r="BE25" s="3"/>
      <c r="BF25" s="2"/>
      <c r="BG25" s="2"/>
      <c r="BH25" s="2"/>
      <c r="BI25" s="2"/>
      <c r="BJ25" s="3"/>
      <c r="BK25" s="3"/>
      <c r="BL25" s="3"/>
      <c r="BM25" s="3"/>
      <c r="BN25" s="2"/>
      <c r="BO25" s="2"/>
      <c r="BP25" s="2"/>
      <c r="BQ25" s="2"/>
      <c r="BR25" s="3"/>
      <c r="BS25" s="3"/>
      <c r="BT25" s="3"/>
      <c r="BU25" s="3"/>
      <c r="BV25" s="2"/>
      <c r="BW25" s="2"/>
      <c r="BX25" s="2"/>
      <c r="BY25" s="2"/>
      <c r="BZ25" s="3"/>
      <c r="CA25" s="3"/>
      <c r="CB25" s="3"/>
      <c r="CC25" s="3"/>
      <c r="CD25" s="2"/>
      <c r="CE25" s="2"/>
      <c r="CF25" s="2"/>
      <c r="CG25" s="2"/>
      <c r="CH25" s="3"/>
      <c r="CI25" s="3"/>
      <c r="CJ25" s="3"/>
      <c r="CK25" s="3"/>
      <c r="CL25" s="2"/>
      <c r="CM25" s="2"/>
      <c r="CN25" s="2"/>
      <c r="CO25" s="2"/>
      <c r="CP25" s="3"/>
      <c r="CQ25" s="3"/>
      <c r="CR25" s="3"/>
      <c r="CS25" s="3"/>
      <c r="CT25" s="2"/>
      <c r="CU25" s="2"/>
      <c r="CV25" s="2"/>
      <c r="CW25" s="2"/>
      <c r="CX25" s="3"/>
      <c r="CY25" s="3"/>
      <c r="CZ25" s="3"/>
      <c r="DA25" s="3"/>
      <c r="DB25" s="2"/>
      <c r="DC25" s="2"/>
      <c r="DD25" s="2"/>
      <c r="DE25" s="2"/>
      <c r="DF25" s="3"/>
      <c r="DG25" s="3"/>
      <c r="DH25" s="3"/>
      <c r="DI25" s="3"/>
      <c r="DJ25" s="2"/>
      <c r="DK25" s="2"/>
      <c r="DL25" s="2"/>
      <c r="DM25" s="2"/>
      <c r="DN25" s="3"/>
      <c r="DO25" s="3"/>
      <c r="DP25" s="3"/>
      <c r="DQ25" s="3"/>
      <c r="DR25" s="2"/>
      <c r="DS25" s="2"/>
      <c r="DT25" s="2"/>
      <c r="DU25" s="2"/>
      <c r="DV25" s="3"/>
      <c r="DW25" s="3"/>
      <c r="DX25" s="3"/>
      <c r="DY25" s="3"/>
    </row>
    <row r="26" spans="1:129" x14ac:dyDescent="0.2">
      <c r="A26" s="1">
        <v>20</v>
      </c>
      <c r="B26" s="2"/>
      <c r="C26" s="2"/>
      <c r="D26" s="2"/>
      <c r="E26" s="2"/>
      <c r="F26" s="3"/>
      <c r="G26" s="3"/>
      <c r="H26" s="3"/>
      <c r="I26" s="3"/>
      <c r="J26" s="2"/>
      <c r="K26" s="2"/>
      <c r="L26" s="2"/>
      <c r="M26" s="2"/>
      <c r="N26" s="3"/>
      <c r="O26" s="3"/>
      <c r="P26" s="3"/>
      <c r="Q26" s="3"/>
      <c r="R26" s="2"/>
      <c r="S26" s="2"/>
      <c r="T26" s="2"/>
      <c r="U26" s="2"/>
      <c r="V26" s="3"/>
      <c r="W26" s="3"/>
      <c r="X26" s="3"/>
      <c r="Y26" s="3"/>
      <c r="Z26" s="2"/>
      <c r="AA26" s="2"/>
      <c r="AB26" s="2"/>
      <c r="AC26" s="2"/>
      <c r="AD26" s="3"/>
      <c r="AE26" s="3"/>
      <c r="AF26" s="3"/>
      <c r="AG26" s="3"/>
      <c r="AH26" s="2"/>
      <c r="AI26" s="2"/>
      <c r="AJ26" s="2"/>
      <c r="AK26" s="2"/>
      <c r="AL26" s="3"/>
      <c r="AM26" s="3"/>
      <c r="AN26" s="3"/>
      <c r="AO26" s="3"/>
      <c r="AP26" s="2"/>
      <c r="AQ26" s="2"/>
      <c r="AR26" s="2"/>
      <c r="AS26" s="2"/>
      <c r="AT26" s="3"/>
      <c r="AU26" s="3"/>
      <c r="AV26" s="3"/>
      <c r="AW26" s="3"/>
      <c r="AX26" s="2"/>
      <c r="AY26" s="2"/>
      <c r="AZ26" s="2"/>
      <c r="BA26" s="2"/>
      <c r="BB26" s="3"/>
      <c r="BC26" s="3"/>
      <c r="BD26" s="3"/>
      <c r="BE26" s="3"/>
      <c r="BF26" s="2"/>
      <c r="BG26" s="2"/>
      <c r="BH26" s="2"/>
      <c r="BI26" s="2"/>
      <c r="BJ26" s="3"/>
      <c r="BK26" s="3"/>
      <c r="BL26" s="3"/>
      <c r="BM26" s="3"/>
      <c r="BN26" s="2"/>
      <c r="BO26" s="2"/>
      <c r="BP26" s="2"/>
      <c r="BQ26" s="2"/>
      <c r="BR26" s="3"/>
      <c r="BS26" s="3"/>
      <c r="BT26" s="3"/>
      <c r="BU26" s="3"/>
      <c r="BV26" s="2"/>
      <c r="BW26" s="2"/>
      <c r="BX26" s="2"/>
      <c r="BY26" s="2"/>
      <c r="BZ26" s="3"/>
      <c r="CA26" s="3"/>
      <c r="CB26" s="3"/>
      <c r="CC26" s="3"/>
      <c r="CD26" s="2"/>
      <c r="CE26" s="2"/>
      <c r="CF26" s="2"/>
      <c r="CG26" s="2"/>
      <c r="CH26" s="3"/>
      <c r="CI26" s="3"/>
      <c r="CJ26" s="3"/>
      <c r="CK26" s="3"/>
      <c r="CL26" s="2"/>
      <c r="CM26" s="2"/>
      <c r="CN26" s="2"/>
      <c r="CO26" s="2"/>
      <c r="CP26" s="3"/>
      <c r="CQ26" s="3"/>
      <c r="CR26" s="3"/>
      <c r="CS26" s="3"/>
      <c r="CT26" s="2"/>
      <c r="CU26" s="2"/>
      <c r="CV26" s="2"/>
      <c r="CW26" s="2"/>
      <c r="CX26" s="3"/>
      <c r="CY26" s="3"/>
      <c r="CZ26" s="3"/>
      <c r="DA26" s="3"/>
      <c r="DB26" s="2"/>
      <c r="DC26" s="2"/>
      <c r="DD26" s="2"/>
      <c r="DE26" s="2"/>
      <c r="DF26" s="3"/>
      <c r="DG26" s="3"/>
      <c r="DH26" s="3"/>
      <c r="DI26" s="3"/>
      <c r="DJ26" s="2"/>
      <c r="DK26" s="2"/>
      <c r="DL26" s="2"/>
      <c r="DM26" s="2"/>
      <c r="DN26" s="3"/>
      <c r="DO26" s="3"/>
      <c r="DP26" s="3"/>
      <c r="DQ26" s="3"/>
      <c r="DR26" s="2"/>
      <c r="DS26" s="2"/>
      <c r="DT26" s="2"/>
      <c r="DU26" s="2"/>
      <c r="DV26" s="3"/>
      <c r="DW26" s="3"/>
      <c r="DX26" s="3"/>
      <c r="DY26" s="3"/>
    </row>
    <row r="27" spans="1:129" x14ac:dyDescent="0.2">
      <c r="A27" s="1">
        <v>21</v>
      </c>
      <c r="B27" s="2"/>
      <c r="C27" s="2"/>
      <c r="D27" s="2"/>
      <c r="E27" s="2"/>
      <c r="F27" s="3"/>
      <c r="G27" s="3"/>
      <c r="H27" s="3"/>
      <c r="I27" s="3"/>
      <c r="J27" s="2"/>
      <c r="K27" s="2"/>
      <c r="L27" s="2"/>
      <c r="M27" s="2"/>
      <c r="N27" s="3"/>
      <c r="O27" s="3"/>
      <c r="P27" s="3"/>
      <c r="Q27" s="3"/>
      <c r="R27" s="2"/>
      <c r="S27" s="2"/>
      <c r="T27" s="2"/>
      <c r="U27" s="2"/>
      <c r="V27" s="3"/>
      <c r="W27" s="3"/>
      <c r="X27" s="3"/>
      <c r="Y27" s="3"/>
      <c r="Z27" s="2"/>
      <c r="AA27" s="2"/>
      <c r="AB27" s="2"/>
      <c r="AC27" s="2"/>
      <c r="AD27" s="3"/>
      <c r="AE27" s="3"/>
      <c r="AF27" s="3"/>
      <c r="AG27" s="3"/>
      <c r="AH27" s="2"/>
      <c r="AI27" s="2"/>
      <c r="AJ27" s="2"/>
      <c r="AK27" s="2"/>
      <c r="AL27" s="3"/>
      <c r="AM27" s="3"/>
      <c r="AN27" s="3"/>
      <c r="AO27" s="3"/>
      <c r="AP27" s="2"/>
      <c r="AQ27" s="2"/>
      <c r="AR27" s="2"/>
      <c r="AS27" s="2"/>
      <c r="AT27" s="3"/>
      <c r="AU27" s="3"/>
      <c r="AV27" s="3"/>
      <c r="AW27" s="3"/>
      <c r="AX27" s="2"/>
      <c r="AY27" s="2"/>
      <c r="AZ27" s="2"/>
      <c r="BA27" s="2"/>
      <c r="BB27" s="3"/>
      <c r="BC27" s="3"/>
      <c r="BD27" s="3"/>
      <c r="BE27" s="3"/>
      <c r="BF27" s="2"/>
      <c r="BG27" s="2"/>
      <c r="BH27" s="2"/>
      <c r="BI27" s="2"/>
      <c r="BJ27" s="3"/>
      <c r="BK27" s="3"/>
      <c r="BL27" s="3"/>
      <c r="BM27" s="3"/>
      <c r="BN27" s="2"/>
      <c r="BO27" s="2"/>
      <c r="BP27" s="2"/>
      <c r="BQ27" s="2"/>
      <c r="BR27" s="3"/>
      <c r="BS27" s="3"/>
      <c r="BT27" s="3"/>
      <c r="BU27" s="3"/>
      <c r="BV27" s="2"/>
      <c r="BW27" s="2"/>
      <c r="BX27" s="2"/>
      <c r="BY27" s="2"/>
      <c r="BZ27" s="3"/>
      <c r="CA27" s="3"/>
      <c r="CB27" s="3"/>
      <c r="CC27" s="3"/>
      <c r="CD27" s="2"/>
      <c r="CE27" s="2"/>
      <c r="CF27" s="2"/>
      <c r="CG27" s="2"/>
      <c r="CH27" s="3"/>
      <c r="CI27" s="3"/>
      <c r="CJ27" s="3"/>
      <c r="CK27" s="3"/>
      <c r="CL27" s="2"/>
      <c r="CM27" s="2"/>
      <c r="CN27" s="2"/>
      <c r="CO27" s="2"/>
      <c r="CP27" s="3"/>
      <c r="CQ27" s="3"/>
      <c r="CR27" s="3"/>
      <c r="CS27" s="3"/>
      <c r="CT27" s="2"/>
      <c r="CU27" s="2"/>
      <c r="CV27" s="2"/>
      <c r="CW27" s="2"/>
      <c r="CX27" s="3"/>
      <c r="CY27" s="3"/>
      <c r="CZ27" s="3"/>
      <c r="DA27" s="3"/>
      <c r="DB27" s="2"/>
      <c r="DC27" s="2"/>
      <c r="DD27" s="2"/>
      <c r="DE27" s="2"/>
      <c r="DF27" s="3"/>
      <c r="DG27" s="3"/>
      <c r="DH27" s="3"/>
      <c r="DI27" s="3"/>
      <c r="DJ27" s="2"/>
      <c r="DK27" s="2"/>
      <c r="DL27" s="2"/>
      <c r="DM27" s="2"/>
      <c r="DN27" s="3"/>
      <c r="DO27" s="3"/>
      <c r="DP27" s="3"/>
      <c r="DQ27" s="3"/>
      <c r="DR27" s="2"/>
      <c r="DS27" s="2"/>
      <c r="DT27" s="2"/>
      <c r="DU27" s="2"/>
      <c r="DV27" s="3"/>
      <c r="DW27" s="3"/>
      <c r="DX27" s="3"/>
      <c r="DY27" s="3"/>
    </row>
    <row r="28" spans="1:129" x14ac:dyDescent="0.2">
      <c r="A28" s="1">
        <v>22</v>
      </c>
      <c r="B28" s="2"/>
      <c r="C28" s="2"/>
      <c r="D28" s="2"/>
      <c r="E28" s="2"/>
      <c r="F28" s="3"/>
      <c r="G28" s="3"/>
      <c r="H28" s="3"/>
      <c r="I28" s="3"/>
      <c r="J28" s="2"/>
      <c r="K28" s="2"/>
      <c r="L28" s="2"/>
      <c r="M28" s="2"/>
      <c r="N28" s="3"/>
      <c r="O28" s="3"/>
      <c r="P28" s="3"/>
      <c r="Q28" s="3"/>
      <c r="R28" s="2"/>
      <c r="S28" s="2"/>
      <c r="T28" s="2"/>
      <c r="U28" s="2"/>
      <c r="V28" s="3"/>
      <c r="W28" s="3"/>
      <c r="X28" s="3"/>
      <c r="Y28" s="3"/>
      <c r="Z28" s="2"/>
      <c r="AA28" s="2"/>
      <c r="AB28" s="2"/>
      <c r="AC28" s="2"/>
      <c r="AD28" s="3"/>
      <c r="AE28" s="3"/>
      <c r="AF28" s="3"/>
      <c r="AG28" s="3"/>
      <c r="AH28" s="2"/>
      <c r="AI28" s="2"/>
      <c r="AJ28" s="2"/>
      <c r="AK28" s="2"/>
      <c r="AL28" s="3"/>
      <c r="AM28" s="3"/>
      <c r="AN28" s="3"/>
      <c r="AO28" s="3"/>
      <c r="AP28" s="2"/>
      <c r="AQ28" s="2"/>
      <c r="AR28" s="2"/>
      <c r="AS28" s="2"/>
      <c r="AT28" s="3"/>
      <c r="AU28" s="3"/>
      <c r="AV28" s="3"/>
      <c r="AW28" s="3"/>
      <c r="AX28" s="2"/>
      <c r="AY28" s="2"/>
      <c r="AZ28" s="2"/>
      <c r="BA28" s="2"/>
      <c r="BB28" s="3"/>
      <c r="BC28" s="3"/>
      <c r="BD28" s="3"/>
      <c r="BE28" s="3"/>
      <c r="BF28" s="2"/>
      <c r="BG28" s="2"/>
      <c r="BH28" s="2"/>
      <c r="BI28" s="2"/>
      <c r="BJ28" s="3"/>
      <c r="BK28" s="3"/>
      <c r="BL28" s="3"/>
      <c r="BM28" s="3"/>
      <c r="BN28" s="2"/>
      <c r="BO28" s="2"/>
      <c r="BP28" s="2"/>
      <c r="BQ28" s="2"/>
      <c r="BR28" s="3"/>
      <c r="BS28" s="3"/>
      <c r="BT28" s="3"/>
      <c r="BU28" s="3"/>
      <c r="BV28" s="2"/>
      <c r="BW28" s="2"/>
      <c r="BX28" s="2"/>
      <c r="BY28" s="2"/>
      <c r="BZ28" s="3"/>
      <c r="CA28" s="3"/>
      <c r="CB28" s="3"/>
      <c r="CC28" s="3"/>
      <c r="CD28" s="2"/>
      <c r="CE28" s="2"/>
      <c r="CF28" s="2"/>
      <c r="CG28" s="2"/>
      <c r="CH28" s="3"/>
      <c r="CI28" s="3"/>
      <c r="CJ28" s="3"/>
      <c r="CK28" s="3"/>
      <c r="CL28" s="2"/>
      <c r="CM28" s="2"/>
      <c r="CN28" s="2"/>
      <c r="CO28" s="2"/>
      <c r="CP28" s="3"/>
      <c r="CQ28" s="3"/>
      <c r="CR28" s="3"/>
      <c r="CS28" s="3"/>
      <c r="CT28" s="2"/>
      <c r="CU28" s="2"/>
      <c r="CV28" s="2"/>
      <c r="CW28" s="2"/>
      <c r="CX28" s="3"/>
      <c r="CY28" s="3"/>
      <c r="CZ28" s="3"/>
      <c r="DA28" s="3"/>
      <c r="DB28" s="2"/>
      <c r="DC28" s="2"/>
      <c r="DD28" s="2"/>
      <c r="DE28" s="2"/>
      <c r="DF28" s="3"/>
      <c r="DG28" s="3"/>
      <c r="DH28" s="3"/>
      <c r="DI28" s="3"/>
      <c r="DJ28" s="2"/>
      <c r="DK28" s="2"/>
      <c r="DL28" s="2"/>
      <c r="DM28" s="2"/>
      <c r="DN28" s="3"/>
      <c r="DO28" s="3"/>
      <c r="DP28" s="3"/>
      <c r="DQ28" s="3"/>
      <c r="DR28" s="2"/>
      <c r="DS28" s="2"/>
      <c r="DT28" s="2"/>
      <c r="DU28" s="2"/>
      <c r="DV28" s="3"/>
      <c r="DW28" s="3"/>
      <c r="DX28" s="3"/>
      <c r="DY28" s="3"/>
    </row>
    <row r="29" spans="1:129" x14ac:dyDescent="0.2">
      <c r="A29" s="1">
        <v>23</v>
      </c>
      <c r="B29" s="2"/>
      <c r="C29" s="2"/>
      <c r="D29" s="2"/>
      <c r="E29" s="2"/>
      <c r="F29" s="3"/>
      <c r="G29" s="3"/>
      <c r="H29" s="3"/>
      <c r="I29" s="3"/>
      <c r="J29" s="2"/>
      <c r="K29" s="2"/>
      <c r="L29" s="2"/>
      <c r="M29" s="2"/>
      <c r="N29" s="3"/>
      <c r="O29" s="3"/>
      <c r="P29" s="3"/>
      <c r="Q29" s="3"/>
      <c r="R29" s="2"/>
      <c r="S29" s="2"/>
      <c r="T29" s="2"/>
      <c r="U29" s="2"/>
      <c r="V29" s="3"/>
      <c r="W29" s="3"/>
      <c r="X29" s="3"/>
      <c r="Y29" s="3"/>
      <c r="Z29" s="2"/>
      <c r="AA29" s="2"/>
      <c r="AB29" s="2"/>
      <c r="AC29" s="2"/>
      <c r="AD29" s="3"/>
      <c r="AE29" s="3"/>
      <c r="AF29" s="3"/>
      <c r="AG29" s="3"/>
      <c r="AH29" s="2"/>
      <c r="AI29" s="2"/>
      <c r="AJ29" s="2"/>
      <c r="AK29" s="2"/>
      <c r="AL29" s="3"/>
      <c r="AM29" s="3"/>
      <c r="AN29" s="3"/>
      <c r="AO29" s="3"/>
      <c r="AP29" s="2"/>
      <c r="AQ29" s="2"/>
      <c r="AR29" s="2"/>
      <c r="AS29" s="2"/>
      <c r="AT29" s="3"/>
      <c r="AU29" s="3"/>
      <c r="AV29" s="3"/>
      <c r="AW29" s="3"/>
      <c r="AX29" s="2"/>
      <c r="AY29" s="2"/>
      <c r="AZ29" s="2"/>
      <c r="BA29" s="2"/>
      <c r="BB29" s="3"/>
      <c r="BC29" s="3"/>
      <c r="BD29" s="3"/>
      <c r="BE29" s="3"/>
      <c r="BF29" s="2"/>
      <c r="BG29" s="2"/>
      <c r="BH29" s="2"/>
      <c r="BI29" s="2"/>
      <c r="BJ29" s="3"/>
      <c r="BK29" s="3"/>
      <c r="BL29" s="3"/>
      <c r="BM29" s="3"/>
      <c r="BN29" s="2"/>
      <c r="BO29" s="2"/>
      <c r="BP29" s="2"/>
      <c r="BQ29" s="2"/>
      <c r="BR29" s="3"/>
      <c r="BS29" s="3"/>
      <c r="BT29" s="3"/>
      <c r="BU29" s="3"/>
      <c r="BV29" s="2"/>
      <c r="BW29" s="2"/>
      <c r="BX29" s="2"/>
      <c r="BY29" s="2"/>
      <c r="BZ29" s="3"/>
      <c r="CA29" s="3"/>
      <c r="CB29" s="3"/>
      <c r="CC29" s="3"/>
      <c r="CD29" s="2"/>
      <c r="CE29" s="2"/>
      <c r="CF29" s="2"/>
      <c r="CG29" s="2"/>
      <c r="CH29" s="3"/>
      <c r="CI29" s="3"/>
      <c r="CJ29" s="3"/>
      <c r="CK29" s="3"/>
      <c r="CL29" s="2"/>
      <c r="CM29" s="2"/>
      <c r="CN29" s="2"/>
      <c r="CO29" s="2"/>
      <c r="CP29" s="3"/>
      <c r="CQ29" s="3"/>
      <c r="CR29" s="3"/>
      <c r="CS29" s="3"/>
      <c r="CT29" s="2"/>
      <c r="CU29" s="2"/>
      <c r="CV29" s="2"/>
      <c r="CW29" s="2"/>
      <c r="CX29" s="3"/>
      <c r="CY29" s="3"/>
      <c r="CZ29" s="3"/>
      <c r="DA29" s="3"/>
      <c r="DB29" s="2"/>
      <c r="DC29" s="2"/>
      <c r="DD29" s="2"/>
      <c r="DE29" s="2"/>
      <c r="DF29" s="3"/>
      <c r="DG29" s="3"/>
      <c r="DH29" s="3"/>
      <c r="DI29" s="3"/>
      <c r="DJ29" s="2"/>
      <c r="DK29" s="2"/>
      <c r="DL29" s="2"/>
      <c r="DM29" s="2"/>
      <c r="DN29" s="3"/>
      <c r="DO29" s="3"/>
      <c r="DP29" s="3"/>
      <c r="DQ29" s="3"/>
      <c r="DR29" s="2"/>
      <c r="DS29" s="2"/>
      <c r="DT29" s="2"/>
      <c r="DU29" s="2"/>
      <c r="DV29" s="3"/>
      <c r="DW29" s="3"/>
      <c r="DX29" s="3"/>
      <c r="DY29" s="3"/>
    </row>
    <row r="31" spans="1:129" x14ac:dyDescent="0.2">
      <c r="B31">
        <f>SUM(B6:E6)</f>
        <v>205</v>
      </c>
      <c r="E31">
        <f>SUM(B2:DY2)</f>
        <v>1</v>
      </c>
    </row>
    <row r="32" spans="1:129" x14ac:dyDescent="0.2">
      <c r="B32" t="s">
        <v>123</v>
      </c>
    </row>
    <row r="33" spans="2:5" x14ac:dyDescent="0.2">
      <c r="B33" s="24">
        <v>30</v>
      </c>
      <c r="C33" s="25">
        <v>40</v>
      </c>
      <c r="D33" s="25">
        <v>40</v>
      </c>
      <c r="E33" s="25">
        <v>80</v>
      </c>
    </row>
    <row r="34" spans="2:5" x14ac:dyDescent="0.2">
      <c r="B34" s="26">
        <v>30</v>
      </c>
      <c r="C34" s="27">
        <v>40</v>
      </c>
      <c r="D34" s="27">
        <v>45</v>
      </c>
      <c r="E34" s="27">
        <v>90</v>
      </c>
    </row>
    <row r="35" spans="2:5" x14ac:dyDescent="0.2">
      <c r="B35" s="26">
        <v>30</v>
      </c>
      <c r="C35" s="27">
        <v>40</v>
      </c>
      <c r="D35" s="27">
        <v>35</v>
      </c>
      <c r="E35" s="27">
        <v>80</v>
      </c>
    </row>
    <row r="36" spans="2:5" x14ac:dyDescent="0.2">
      <c r="B36" s="26">
        <v>30</v>
      </c>
      <c r="C36" s="27">
        <v>40</v>
      </c>
      <c r="D36" s="27">
        <v>40</v>
      </c>
      <c r="E36" s="27">
        <v>90</v>
      </c>
    </row>
  </sheetData>
  <mergeCells count="80">
    <mergeCell ref="B1:I1"/>
    <mergeCell ref="J1:Q1"/>
    <mergeCell ref="B2:I2"/>
    <mergeCell ref="J2:Q2"/>
    <mergeCell ref="B4:E4"/>
    <mergeCell ref="F4:I4"/>
    <mergeCell ref="J4:M4"/>
    <mergeCell ref="N4:Q4"/>
    <mergeCell ref="B3:I3"/>
    <mergeCell ref="J3:Q3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J4:BM4"/>
    <mergeCell ref="BN4:BQ4"/>
    <mergeCell ref="BR4:BU4"/>
    <mergeCell ref="BV4:BY4"/>
    <mergeCell ref="BZ4:CC4"/>
    <mergeCell ref="CD4:CG4"/>
    <mergeCell ref="CH4:CK4"/>
    <mergeCell ref="CL4:CO4"/>
    <mergeCell ref="CP4:CS4"/>
    <mergeCell ref="CT4:CW4"/>
    <mergeCell ref="CX4:DA4"/>
    <mergeCell ref="DB4:DE4"/>
    <mergeCell ref="DF4:DI4"/>
    <mergeCell ref="DJ4:DM4"/>
    <mergeCell ref="DN4:DQ4"/>
    <mergeCell ref="DR4:DU4"/>
    <mergeCell ref="DV4:DY4"/>
    <mergeCell ref="R3:Y3"/>
    <mergeCell ref="Z3:AG3"/>
    <mergeCell ref="AH3:AO3"/>
    <mergeCell ref="AP3:AW3"/>
    <mergeCell ref="AX3:BE3"/>
    <mergeCell ref="BF3:BM3"/>
    <mergeCell ref="BN3:BU3"/>
    <mergeCell ref="BV3:CC3"/>
    <mergeCell ref="CD3:CK3"/>
    <mergeCell ref="CL3:CS3"/>
    <mergeCell ref="CT3:DA3"/>
    <mergeCell ref="DB3:DI3"/>
    <mergeCell ref="DJ3:DQ3"/>
    <mergeCell ref="DR3:DY3"/>
    <mergeCell ref="R1:Y1"/>
    <mergeCell ref="Z1:AG1"/>
    <mergeCell ref="AH1:AO1"/>
    <mergeCell ref="AP1:AW1"/>
    <mergeCell ref="AX1:BE1"/>
    <mergeCell ref="BF1:BM1"/>
    <mergeCell ref="BN1:BU1"/>
    <mergeCell ref="BV1:CC1"/>
    <mergeCell ref="CD1:CK1"/>
    <mergeCell ref="CL1:CS1"/>
    <mergeCell ref="CT1:DA1"/>
    <mergeCell ref="DB1:DI1"/>
    <mergeCell ref="DJ1:DQ1"/>
    <mergeCell ref="DR1:DY1"/>
    <mergeCell ref="R2:Y2"/>
    <mergeCell ref="Z2:AG2"/>
    <mergeCell ref="AH2:AO2"/>
    <mergeCell ref="AP2:AW2"/>
    <mergeCell ref="AX2:BE2"/>
    <mergeCell ref="BF2:BM2"/>
    <mergeCell ref="DB2:DI2"/>
    <mergeCell ref="DJ2:DQ2"/>
    <mergeCell ref="DR2:DY2"/>
    <mergeCell ref="BN2:BU2"/>
    <mergeCell ref="BV2:CC2"/>
    <mergeCell ref="CD2:CK2"/>
    <mergeCell ref="CL2:CS2"/>
    <mergeCell ref="CT2:D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7C1F-16A1-2E47-82DD-6A9CAEA6B476}">
  <dimension ref="A1:I5"/>
  <sheetViews>
    <sheetView zoomScale="250" zoomScaleNormal="250" workbookViewId="0">
      <selection activeCell="E5" sqref="A1:E5"/>
    </sheetView>
  </sheetViews>
  <sheetFormatPr baseColWidth="10" defaultRowHeight="16" x14ac:dyDescent="0.2"/>
  <cols>
    <col min="1" max="1" width="13" bestFit="1" customWidth="1"/>
  </cols>
  <sheetData>
    <row r="1" spans="1:9" x14ac:dyDescent="0.2">
      <c r="A1" s="4" t="s">
        <v>52</v>
      </c>
      <c r="B1" s="20" t="s">
        <v>13</v>
      </c>
      <c r="C1" s="20" t="s">
        <v>14</v>
      </c>
      <c r="D1" s="20" t="s">
        <v>15</v>
      </c>
      <c r="E1" s="20" t="s">
        <v>16</v>
      </c>
      <c r="F1" s="22"/>
      <c r="G1" s="22"/>
      <c r="H1" s="22"/>
      <c r="I1" s="22"/>
    </row>
    <row r="2" spans="1:9" x14ac:dyDescent="0.2">
      <c r="A2" s="1">
        <v>1</v>
      </c>
      <c r="B2" s="21">
        <v>26</v>
      </c>
      <c r="C2" s="21">
        <v>29</v>
      </c>
      <c r="D2" s="21">
        <v>30</v>
      </c>
      <c r="E2" s="21">
        <v>28</v>
      </c>
      <c r="F2" s="23"/>
      <c r="G2" s="23"/>
      <c r="H2" s="23"/>
      <c r="I2" s="23"/>
    </row>
    <row r="3" spans="1:9" x14ac:dyDescent="0.2">
      <c r="A3" s="1">
        <v>2</v>
      </c>
      <c r="B3" s="21">
        <v>28</v>
      </c>
      <c r="C3" s="21">
        <v>31</v>
      </c>
      <c r="D3" s="21">
        <v>32</v>
      </c>
      <c r="E3" s="21">
        <v>30</v>
      </c>
      <c r="F3" s="23"/>
      <c r="G3" s="23"/>
      <c r="H3" s="23"/>
      <c r="I3" s="23"/>
    </row>
    <row r="4" spans="1:9" x14ac:dyDescent="0.2">
      <c r="A4" s="1">
        <v>3</v>
      </c>
      <c r="B4" s="21">
        <v>27</v>
      </c>
      <c r="C4" s="21">
        <v>30</v>
      </c>
      <c r="D4" s="21">
        <v>31</v>
      </c>
      <c r="E4" s="21">
        <v>29</v>
      </c>
      <c r="F4" s="23"/>
      <c r="G4" s="23"/>
      <c r="H4" s="23"/>
      <c r="I4" s="23"/>
    </row>
    <row r="5" spans="1:9" x14ac:dyDescent="0.2">
      <c r="A5" s="1">
        <v>4</v>
      </c>
      <c r="B5" s="21">
        <v>29</v>
      </c>
      <c r="C5" s="21">
        <v>32</v>
      </c>
      <c r="D5" s="21">
        <v>33</v>
      </c>
      <c r="E5" s="21">
        <v>31</v>
      </c>
      <c r="F5" s="23"/>
      <c r="G5" s="23"/>
      <c r="H5" s="23"/>
      <c r="I5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7F0E-65E5-C544-8BA0-D27121ACF2FF}">
  <dimension ref="A1:E5"/>
  <sheetViews>
    <sheetView zoomScale="160" zoomScaleNormal="160" workbookViewId="0">
      <selection activeCell="E6" sqref="E6"/>
    </sheetView>
  </sheetViews>
  <sheetFormatPr baseColWidth="10" defaultRowHeight="16" x14ac:dyDescent="0.2"/>
  <sheetData>
    <row r="1" spans="1:5" x14ac:dyDescent="0.2">
      <c r="A1" s="4" t="s">
        <v>52</v>
      </c>
      <c r="B1" s="20" t="s">
        <v>13</v>
      </c>
      <c r="C1" s="20" t="s">
        <v>14</v>
      </c>
      <c r="D1" s="20" t="s">
        <v>15</v>
      </c>
      <c r="E1" s="20" t="s">
        <v>16</v>
      </c>
    </row>
    <row r="2" spans="1:5" x14ac:dyDescent="0.2">
      <c r="A2" s="1">
        <v>1</v>
      </c>
      <c r="B2" s="21">
        <v>1</v>
      </c>
      <c r="C2" s="21">
        <v>1</v>
      </c>
      <c r="D2" s="21">
        <v>1</v>
      </c>
      <c r="E2" s="21">
        <v>1</v>
      </c>
    </row>
    <row r="3" spans="1:5" x14ac:dyDescent="0.2">
      <c r="A3" s="1">
        <v>2</v>
      </c>
      <c r="B3" s="21">
        <v>1</v>
      </c>
      <c r="C3" s="21">
        <v>1</v>
      </c>
      <c r="D3" s="21">
        <v>1</v>
      </c>
      <c r="E3" s="21">
        <v>1</v>
      </c>
    </row>
    <row r="4" spans="1:5" x14ac:dyDescent="0.2">
      <c r="A4" s="1">
        <v>3</v>
      </c>
      <c r="B4" s="21">
        <v>1</v>
      </c>
      <c r="C4" s="21">
        <v>1</v>
      </c>
      <c r="D4" s="21">
        <v>1</v>
      </c>
      <c r="E4" s="21">
        <v>1</v>
      </c>
    </row>
    <row r="5" spans="1:5" x14ac:dyDescent="0.2">
      <c r="A5" s="1">
        <v>4</v>
      </c>
      <c r="B5" s="21">
        <v>1</v>
      </c>
      <c r="C5" s="21">
        <v>1</v>
      </c>
      <c r="D5" s="21">
        <v>1</v>
      </c>
      <c r="E5" s="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9E28-915C-F54C-B37A-2FAB20B0DB56}">
  <dimension ref="A1:B9"/>
  <sheetViews>
    <sheetView zoomScale="180" zoomScaleNormal="180" workbookViewId="0">
      <selection activeCell="B9" sqref="B9"/>
    </sheetView>
  </sheetViews>
  <sheetFormatPr baseColWidth="10" defaultRowHeight="16" x14ac:dyDescent="0.2"/>
  <cols>
    <col min="1" max="1" width="17.6640625" bestFit="1" customWidth="1"/>
  </cols>
  <sheetData>
    <row r="1" spans="1:2" x14ac:dyDescent="0.2">
      <c r="A1" s="8" t="s">
        <v>1</v>
      </c>
      <c r="B1" s="8" t="s">
        <v>81</v>
      </c>
    </row>
    <row r="2" spans="1:2" x14ac:dyDescent="0.2">
      <c r="A2" s="8" t="s">
        <v>73</v>
      </c>
      <c r="B2">
        <v>0</v>
      </c>
    </row>
    <row r="3" spans="1:2" x14ac:dyDescent="0.2">
      <c r="A3" s="8" t="s">
        <v>74</v>
      </c>
      <c r="B3">
        <v>1</v>
      </c>
    </row>
    <row r="4" spans="1:2" x14ac:dyDescent="0.2">
      <c r="A4" s="8" t="s">
        <v>75</v>
      </c>
      <c r="B4">
        <v>0.25</v>
      </c>
    </row>
    <row r="5" spans="1:2" x14ac:dyDescent="0.2">
      <c r="A5" s="8" t="s">
        <v>106</v>
      </c>
      <c r="B5">
        <v>4</v>
      </c>
    </row>
    <row r="6" spans="1:2" x14ac:dyDescent="0.2">
      <c r="A6" s="8" t="s">
        <v>79</v>
      </c>
      <c r="B6">
        <v>4</v>
      </c>
    </row>
    <row r="7" spans="1:2" x14ac:dyDescent="0.2">
      <c r="A7" s="8" t="s">
        <v>80</v>
      </c>
      <c r="B7">
        <v>16</v>
      </c>
    </row>
    <row r="8" spans="1:2" x14ac:dyDescent="0.2">
      <c r="A8" s="14" t="s">
        <v>107</v>
      </c>
      <c r="B8" s="15">
        <v>4</v>
      </c>
    </row>
    <row r="9" spans="1:2" x14ac:dyDescent="0.2">
      <c r="A9" s="14" t="s">
        <v>108</v>
      </c>
      <c r="B9" s="1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688A-D2A3-854F-B341-C0BEC53AF991}">
  <dimension ref="A1:N24"/>
  <sheetViews>
    <sheetView zoomScale="190" zoomScaleNormal="190" workbookViewId="0">
      <selection activeCell="E1" sqref="E1"/>
    </sheetView>
  </sheetViews>
  <sheetFormatPr baseColWidth="10" defaultRowHeight="16" x14ac:dyDescent="0.2"/>
  <cols>
    <col min="2" max="2" width="15.1640625" bestFit="1" customWidth="1"/>
    <col min="3" max="4" width="13.33203125" bestFit="1" customWidth="1"/>
    <col min="5" max="5" width="17.1640625" bestFit="1" customWidth="1"/>
    <col min="6" max="6" width="16" bestFit="1" customWidth="1"/>
    <col min="9" max="9" width="13.1640625" bestFit="1" customWidth="1"/>
    <col min="10" max="10" width="18.5" bestFit="1" customWidth="1"/>
    <col min="13" max="13" width="15" bestFit="1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76</v>
      </c>
      <c r="F1" s="4" t="s">
        <v>47</v>
      </c>
      <c r="G1" s="4" t="s">
        <v>37</v>
      </c>
      <c r="H1" s="7" t="s">
        <v>38</v>
      </c>
      <c r="I1" s="5" t="s">
        <v>109</v>
      </c>
      <c r="J1" s="6" t="s">
        <v>110</v>
      </c>
      <c r="M1" t="s">
        <v>115</v>
      </c>
    </row>
    <row r="2" spans="1:14" x14ac:dyDescent="0.2">
      <c r="A2" s="1">
        <v>1</v>
      </c>
      <c r="B2" s="1" t="s">
        <v>21</v>
      </c>
      <c r="C2" s="1" t="str">
        <f>Nodes!B3</f>
        <v>AreaA</v>
      </c>
      <c r="D2" s="1" t="str">
        <f>Nodes!B11</f>
        <v>NBP</v>
      </c>
      <c r="E2" s="1">
        <f>M2+3</f>
        <v>28</v>
      </c>
      <c r="F2" s="1" t="s">
        <v>48</v>
      </c>
      <c r="G2" s="1">
        <f>INDEX(Nodes!$A:$A,MATCH(Arcs!C2,Nodes!$B:$B,0))</f>
        <v>1</v>
      </c>
      <c r="H2" s="1">
        <f>INDEX(Nodes!$A:$A,MATCH(Arcs!D2,Nodes!$B:$B,0))</f>
        <v>9</v>
      </c>
      <c r="I2" s="2">
        <v>1</v>
      </c>
      <c r="J2" s="3">
        <v>1</v>
      </c>
      <c r="M2" s="1">
        <v>25</v>
      </c>
    </row>
    <row r="3" spans="1:14" x14ac:dyDescent="0.2">
      <c r="A3" s="1">
        <v>2</v>
      </c>
      <c r="B3" s="1" t="s">
        <v>22</v>
      </c>
      <c r="C3" s="1" t="str">
        <f>Nodes!B15</f>
        <v>Intermediate 1</v>
      </c>
      <c r="D3" s="1" t="str">
        <f>Nodes!B11</f>
        <v>NBP</v>
      </c>
      <c r="E3" s="1">
        <f t="shared" ref="E3:E22" si="0">M3+3</f>
        <v>39.9</v>
      </c>
      <c r="F3" s="1" t="s">
        <v>48</v>
      </c>
      <c r="G3" s="1">
        <f>INDEX(Nodes!$A:$A,MATCH(Arcs!C3,Nodes!$B:$B,0))</f>
        <v>13</v>
      </c>
      <c r="H3" s="1">
        <f>INDEX(Nodes!$A:$A,MATCH(Arcs!D3,Nodes!$B:$B,0))</f>
        <v>9</v>
      </c>
      <c r="I3" s="2">
        <v>1</v>
      </c>
      <c r="J3" s="3">
        <v>1</v>
      </c>
      <c r="M3" s="1">
        <v>36.9</v>
      </c>
    </row>
    <row r="4" spans="1:14" x14ac:dyDescent="0.2">
      <c r="A4" s="1">
        <v>3</v>
      </c>
      <c r="B4" s="1" t="s">
        <v>23</v>
      </c>
      <c r="C4" s="1" t="str">
        <f>Nodes!B8</f>
        <v>Nyhamna</v>
      </c>
      <c r="D4" s="1" t="str">
        <f>Nodes!B17</f>
        <v>Intermediate 3</v>
      </c>
      <c r="E4" s="1">
        <f t="shared" si="0"/>
        <v>77.7</v>
      </c>
      <c r="F4" s="1" t="s">
        <v>48</v>
      </c>
      <c r="G4" s="1">
        <f>INDEX(Nodes!$A:$A,MATCH(Arcs!C4,Nodes!$B:$B,0))</f>
        <v>6</v>
      </c>
      <c r="H4" s="1">
        <f>INDEX(Nodes!$A:$A,MATCH(Arcs!D4,Nodes!$B:$B,0))</f>
        <v>15</v>
      </c>
      <c r="I4" s="2">
        <v>1</v>
      </c>
      <c r="J4" s="3">
        <v>1</v>
      </c>
      <c r="M4" s="1">
        <v>74.7</v>
      </c>
    </row>
    <row r="5" spans="1:14" x14ac:dyDescent="0.2">
      <c r="A5" s="1">
        <v>4</v>
      </c>
      <c r="B5" s="1" t="s">
        <v>23</v>
      </c>
      <c r="C5" s="1" t="str">
        <f>Nodes!B17</f>
        <v>Intermediate 3</v>
      </c>
      <c r="D5" s="1" t="str">
        <f>Nodes!B11</f>
        <v>NBP</v>
      </c>
      <c r="E5" s="1">
        <f t="shared" si="0"/>
        <v>76.8</v>
      </c>
      <c r="F5" s="1" t="s">
        <v>48</v>
      </c>
      <c r="G5" s="1">
        <f>INDEX(Nodes!$A:$A,MATCH(Arcs!C5,Nodes!$B:$B,0))</f>
        <v>15</v>
      </c>
      <c r="H5" s="1">
        <f>INDEX(Nodes!$A:$A,MATCH(Arcs!D5,Nodes!$B:$B,0))</f>
        <v>9</v>
      </c>
      <c r="I5" s="2">
        <v>1</v>
      </c>
      <c r="J5" s="3">
        <v>1</v>
      </c>
      <c r="M5" s="1">
        <v>73.8</v>
      </c>
    </row>
    <row r="6" spans="1:14" x14ac:dyDescent="0.2">
      <c r="A6" s="1">
        <v>5</v>
      </c>
      <c r="B6" s="1" t="s">
        <v>24</v>
      </c>
      <c r="C6" s="1" t="str">
        <f>Nodes!B17</f>
        <v>Intermediate 3</v>
      </c>
      <c r="D6" s="1" t="str">
        <f>Nodes!B12</f>
        <v>Zeebrugge</v>
      </c>
      <c r="E6" s="1">
        <f t="shared" si="0"/>
        <v>45.2</v>
      </c>
      <c r="F6" s="1" t="s">
        <v>48</v>
      </c>
      <c r="G6" s="1">
        <f>INDEX(Nodes!$A:$A,MATCH(Arcs!C6,Nodes!$B:$B,0))</f>
        <v>15</v>
      </c>
      <c r="H6" s="1">
        <f>INDEX(Nodes!$A:$A,MATCH(Arcs!D6,Nodes!$B:$B,0))</f>
        <v>10</v>
      </c>
      <c r="I6" s="2">
        <v>1</v>
      </c>
      <c r="J6" s="3">
        <v>1</v>
      </c>
      <c r="M6" s="1">
        <v>42.2</v>
      </c>
    </row>
    <row r="7" spans="1:14" x14ac:dyDescent="0.2">
      <c r="A7" s="1">
        <v>6</v>
      </c>
      <c r="B7" s="1" t="s">
        <v>25</v>
      </c>
      <c r="C7" s="1" t="str">
        <f>Nodes!B7</f>
        <v>Kollsnes</v>
      </c>
      <c r="D7" s="1" t="str">
        <f>Nodes!B17</f>
        <v>Intermediate 3</v>
      </c>
      <c r="E7" s="1">
        <f t="shared" si="0"/>
        <v>77</v>
      </c>
      <c r="F7" s="1" t="s">
        <v>48</v>
      </c>
      <c r="G7" s="1">
        <f>INDEX(Nodes!$A:$A,MATCH(Arcs!C7,Nodes!$B:$B,0))</f>
        <v>5</v>
      </c>
      <c r="H7" s="1">
        <f>INDEX(Nodes!$A:$A,MATCH(Arcs!D7,Nodes!$B:$B,0))</f>
        <v>15</v>
      </c>
      <c r="I7" s="2">
        <v>1</v>
      </c>
      <c r="J7" s="3">
        <v>1</v>
      </c>
      <c r="M7" s="1">
        <v>74</v>
      </c>
      <c r="N7" t="s">
        <v>116</v>
      </c>
    </row>
    <row r="8" spans="1:14" x14ac:dyDescent="0.2">
      <c r="A8" s="1">
        <v>7</v>
      </c>
      <c r="B8" s="1" t="s">
        <v>26</v>
      </c>
      <c r="C8" s="1" t="str">
        <f>Nodes!B7</f>
        <v>Kollsnes</v>
      </c>
      <c r="D8" s="1" t="str">
        <f>Nodes!B16</f>
        <v>Intermediate 2</v>
      </c>
      <c r="E8" s="1">
        <f t="shared" si="0"/>
        <v>76</v>
      </c>
      <c r="F8" s="1" t="s">
        <v>48</v>
      </c>
      <c r="G8" s="1">
        <f>INDEX(Nodes!$A:$A,MATCH(Arcs!C8,Nodes!$B:$B,0))</f>
        <v>5</v>
      </c>
      <c r="H8" s="1">
        <f>INDEX(Nodes!$A:$A,MATCH(Arcs!D8,Nodes!$B:$B,0))</f>
        <v>14</v>
      </c>
      <c r="I8" s="2">
        <v>1</v>
      </c>
      <c r="J8" s="3">
        <v>1</v>
      </c>
      <c r="M8" s="1">
        <v>73</v>
      </c>
      <c r="N8" t="s">
        <v>116</v>
      </c>
    </row>
    <row r="9" spans="1:14" x14ac:dyDescent="0.2">
      <c r="A9" s="1">
        <v>8</v>
      </c>
      <c r="B9" s="1" t="s">
        <v>27</v>
      </c>
      <c r="C9" s="1" t="str">
        <f>Nodes!B17</f>
        <v>Intermediate 3</v>
      </c>
      <c r="D9" s="1" t="str">
        <f>Nodes!B16</f>
        <v>Intermediate 2</v>
      </c>
      <c r="E9" s="1">
        <f t="shared" si="0"/>
        <v>1003</v>
      </c>
      <c r="F9" s="1" t="s">
        <v>63</v>
      </c>
      <c r="G9" s="1">
        <f>INDEX(Nodes!$A:$A,MATCH(Arcs!C9,Nodes!$B:$B,0))</f>
        <v>15</v>
      </c>
      <c r="H9" s="1">
        <f>INDEX(Nodes!$A:$A,MATCH(Arcs!D9,Nodes!$B:$B,0))</f>
        <v>14</v>
      </c>
      <c r="I9" s="2">
        <v>1</v>
      </c>
      <c r="J9" s="3">
        <v>1</v>
      </c>
      <c r="M9">
        <v>1000</v>
      </c>
    </row>
    <row r="10" spans="1:14" x14ac:dyDescent="0.2">
      <c r="A10" s="1">
        <v>9</v>
      </c>
      <c r="B10" s="1" t="s">
        <v>28</v>
      </c>
      <c r="C10" s="1" t="str">
        <f>Nodes!B5</f>
        <v>Heimdal</v>
      </c>
      <c r="D10" s="1" t="str">
        <f>Nodes!B16</f>
        <v>Intermediate 2</v>
      </c>
      <c r="E10" s="1">
        <f t="shared" si="0"/>
        <v>33.700000000000003</v>
      </c>
      <c r="F10" s="1" t="s">
        <v>48</v>
      </c>
      <c r="G10" s="1">
        <f>INDEX(Nodes!$A:$A,MATCH(Arcs!C10,Nodes!$B:$B,0))</f>
        <v>3</v>
      </c>
      <c r="H10" s="1">
        <f>INDEX(Nodes!$A:$A,MATCH(Arcs!D10,Nodes!$B:$B,0))</f>
        <v>14</v>
      </c>
      <c r="I10" s="2">
        <v>1</v>
      </c>
      <c r="J10" s="3">
        <v>1</v>
      </c>
      <c r="M10" s="1">
        <v>30.7</v>
      </c>
    </row>
    <row r="11" spans="1:14" x14ac:dyDescent="0.2">
      <c r="A11" s="1">
        <v>10</v>
      </c>
      <c r="B11" s="1" t="s">
        <v>29</v>
      </c>
      <c r="C11" s="1" t="str">
        <f>Nodes!B18</f>
        <v>Intermediate 4</v>
      </c>
      <c r="D11" s="1" t="str">
        <f>Nodes!B13</f>
        <v>Dunkerque</v>
      </c>
      <c r="E11" s="1">
        <f t="shared" si="0"/>
        <v>57.2</v>
      </c>
      <c r="F11" s="1" t="s">
        <v>48</v>
      </c>
      <c r="G11" s="1">
        <f>INDEX(Nodes!$A:$A,MATCH(Arcs!C11,Nodes!$B:$B,0))</f>
        <v>16</v>
      </c>
      <c r="H11" s="1">
        <f>INDEX(Nodes!$A:$A,MATCH(Arcs!D11,Nodes!$B:$B,0))</f>
        <v>11</v>
      </c>
      <c r="I11" s="2">
        <v>1</v>
      </c>
      <c r="J11" s="3">
        <v>1</v>
      </c>
      <c r="M11" s="1">
        <v>54.2</v>
      </c>
    </row>
    <row r="12" spans="1:14" x14ac:dyDescent="0.2">
      <c r="A12" s="1">
        <v>11</v>
      </c>
      <c r="B12" s="1" t="s">
        <v>28</v>
      </c>
      <c r="C12" s="1" t="str">
        <f>Nodes!B3</f>
        <v>AreaA</v>
      </c>
      <c r="D12" s="1" t="str">
        <f>Nodes!B20</f>
        <v>Karsto</v>
      </c>
      <c r="E12" s="1">
        <f t="shared" si="0"/>
        <v>24.1</v>
      </c>
      <c r="F12" s="1"/>
      <c r="G12" s="1">
        <f>INDEX(Nodes!$A:$A,MATCH(Arcs!C12,Nodes!$B:$B,0))</f>
        <v>1</v>
      </c>
      <c r="H12" s="1">
        <f>INDEX(Nodes!$A:$A,MATCH(Arcs!D12,Nodes!$B:$B,0))</f>
        <v>18</v>
      </c>
      <c r="I12" s="2">
        <v>1</v>
      </c>
      <c r="J12" s="3">
        <v>1</v>
      </c>
      <c r="M12">
        <v>21.1</v>
      </c>
    </row>
    <row r="13" spans="1:14" x14ac:dyDescent="0.2">
      <c r="A13" s="1">
        <v>12</v>
      </c>
      <c r="B13" s="1" t="s">
        <v>28</v>
      </c>
      <c r="C13" s="1" t="str">
        <f>Nodes!B20</f>
        <v>Karsto</v>
      </c>
      <c r="D13" s="1" t="str">
        <f>Nodes!B18</f>
        <v>Intermediate 4</v>
      </c>
      <c r="E13" s="1">
        <f t="shared" si="0"/>
        <v>24.1</v>
      </c>
      <c r="F13" s="1" t="s">
        <v>48</v>
      </c>
      <c r="G13" s="1">
        <f>INDEX(Nodes!$A:$A,MATCH(Arcs!C13,Nodes!$B:$B,0))</f>
        <v>18</v>
      </c>
      <c r="H13" s="1">
        <f>INDEX(Nodes!$A:$A,MATCH(Arcs!D13,Nodes!$B:$B,0))</f>
        <v>16</v>
      </c>
      <c r="I13" s="2">
        <v>1</v>
      </c>
      <c r="J13" s="3">
        <v>1</v>
      </c>
      <c r="M13" s="1">
        <v>21.1</v>
      </c>
    </row>
    <row r="14" spans="1:14" x14ac:dyDescent="0.2">
      <c r="A14" s="1">
        <v>13</v>
      </c>
      <c r="B14" s="1" t="s">
        <v>31</v>
      </c>
      <c r="C14" s="1" t="str">
        <f>Nodes!B18</f>
        <v>Intermediate 4</v>
      </c>
      <c r="D14" s="1" t="str">
        <f>Nodes!B14</f>
        <v>Germany</v>
      </c>
      <c r="E14" s="1">
        <f t="shared" si="0"/>
        <v>48.7</v>
      </c>
      <c r="F14" s="1" t="s">
        <v>48</v>
      </c>
      <c r="G14" s="1">
        <f>INDEX(Nodes!$A:$A,MATCH(Arcs!C14,Nodes!$B:$B,0))</f>
        <v>16</v>
      </c>
      <c r="H14" s="1">
        <f>INDEX(Nodes!$A:$A,MATCH(Arcs!D14,Nodes!$B:$B,0))</f>
        <v>12</v>
      </c>
      <c r="I14" s="2">
        <v>1</v>
      </c>
      <c r="J14" s="3">
        <v>1</v>
      </c>
      <c r="M14" s="1">
        <v>45.7</v>
      </c>
    </row>
    <row r="15" spans="1:14" x14ac:dyDescent="0.2">
      <c r="A15" s="1">
        <v>14</v>
      </c>
      <c r="B15" s="1" t="s">
        <v>30</v>
      </c>
      <c r="C15" s="1" t="str">
        <f>Nodes!B19</f>
        <v>Intermediate 5</v>
      </c>
      <c r="D15" s="1" t="str">
        <f>Nodes!B14</f>
        <v>Germany</v>
      </c>
      <c r="E15" s="1">
        <f t="shared" si="0"/>
        <v>47.4</v>
      </c>
      <c r="F15" s="1" t="s">
        <v>48</v>
      </c>
      <c r="G15" s="1">
        <f>INDEX(Nodes!$A:$A,MATCH(Arcs!C15,Nodes!$B:$B,0))</f>
        <v>17</v>
      </c>
      <c r="H15" s="1">
        <f>INDEX(Nodes!$A:$A,MATCH(Arcs!D15,Nodes!$B:$B,0))</f>
        <v>12</v>
      </c>
      <c r="I15" s="2">
        <v>1</v>
      </c>
      <c r="J15" s="3">
        <v>1</v>
      </c>
      <c r="M15" s="1">
        <v>44.4</v>
      </c>
    </row>
    <row r="16" spans="1:14" x14ac:dyDescent="0.2">
      <c r="A16" s="1">
        <v>15</v>
      </c>
      <c r="B16" s="1" t="s">
        <v>32</v>
      </c>
      <c r="C16" s="1" t="str">
        <f>Nodes!B20</f>
        <v>Karsto</v>
      </c>
      <c r="D16" s="1" t="str">
        <f>Nodes!B14</f>
        <v>Germany</v>
      </c>
      <c r="E16" s="1">
        <f t="shared" si="0"/>
        <v>76.5</v>
      </c>
      <c r="F16" s="1" t="s">
        <v>48</v>
      </c>
      <c r="G16" s="1">
        <f>INDEX(Nodes!$A:$A,MATCH(Arcs!C16,Nodes!$B:$B,0))</f>
        <v>18</v>
      </c>
      <c r="H16" s="1">
        <f>INDEX(Nodes!$A:$A,MATCH(Arcs!D16,Nodes!$B:$B,0))</f>
        <v>12</v>
      </c>
      <c r="I16" s="2">
        <v>1</v>
      </c>
      <c r="J16" s="3">
        <v>1</v>
      </c>
      <c r="M16" s="1">
        <v>73.5</v>
      </c>
    </row>
    <row r="17" spans="1:13" x14ac:dyDescent="0.2">
      <c r="A17" s="1">
        <v>16</v>
      </c>
      <c r="B17" s="1" t="s">
        <v>114</v>
      </c>
      <c r="C17" s="1" t="str">
        <f>Nodes!B6</f>
        <v>AreaB</v>
      </c>
      <c r="D17" s="1" t="str">
        <f>Nodes!B20</f>
        <v>Karsto</v>
      </c>
      <c r="E17" s="1">
        <f t="shared" si="0"/>
        <v>73</v>
      </c>
      <c r="F17" s="1" t="s">
        <v>62</v>
      </c>
      <c r="G17" s="1">
        <f>INDEX(Nodes!$A:$A,MATCH(Arcs!C17,Nodes!$B:$B,0))</f>
        <v>4</v>
      </c>
      <c r="H17" s="1">
        <f>INDEX(Nodes!$A:$A,MATCH(Arcs!D17,Nodes!$B:$B,0))</f>
        <v>18</v>
      </c>
      <c r="I17" s="2">
        <v>1</v>
      </c>
      <c r="J17" s="3">
        <v>1</v>
      </c>
      <c r="M17">
        <v>70</v>
      </c>
    </row>
    <row r="18" spans="1:13" x14ac:dyDescent="0.2">
      <c r="A18" s="1">
        <v>17</v>
      </c>
      <c r="B18" s="1" t="s">
        <v>28</v>
      </c>
      <c r="C18" s="1" t="str">
        <f>Nodes!B18</f>
        <v>Intermediate 4</v>
      </c>
      <c r="D18" s="1" t="str">
        <f>Nodes!B19</f>
        <v>Intermediate 5</v>
      </c>
      <c r="E18" s="1">
        <f t="shared" si="0"/>
        <v>47.4</v>
      </c>
      <c r="F18" s="1" t="s">
        <v>63</v>
      </c>
      <c r="G18" s="1">
        <f>INDEX(Nodes!$A:$A,MATCH(Arcs!C18,Nodes!$B:$B,0))</f>
        <v>16</v>
      </c>
      <c r="H18" s="1">
        <f>INDEX(Nodes!$A:$A,MATCH(Arcs!D18,Nodes!$B:$B,0))</f>
        <v>17</v>
      </c>
      <c r="I18" s="2">
        <v>1</v>
      </c>
      <c r="J18" s="3">
        <v>1</v>
      </c>
      <c r="M18" s="1">
        <v>44.4</v>
      </c>
    </row>
    <row r="19" spans="1:13" x14ac:dyDescent="0.2">
      <c r="A19" s="1">
        <v>18</v>
      </c>
      <c r="B19" s="1" t="s">
        <v>33</v>
      </c>
      <c r="C19" s="1" t="str">
        <f>Nodes!B4</f>
        <v>Oseberg</v>
      </c>
      <c r="D19" s="1" t="str">
        <f>Nodes!B15</f>
        <v>Intermediate 1</v>
      </c>
      <c r="E19" s="1">
        <f t="shared" si="0"/>
        <v>1003</v>
      </c>
      <c r="F19" s="1" t="s">
        <v>63</v>
      </c>
      <c r="G19" s="1">
        <f>INDEX(Nodes!$A:$A,MATCH(Arcs!C19,Nodes!$B:$B,0))</f>
        <v>2</v>
      </c>
      <c r="H19" s="1">
        <f>INDEX(Nodes!$A:$A,MATCH(Arcs!D19,Nodes!$B:$B,0))</f>
        <v>13</v>
      </c>
      <c r="I19" s="2">
        <v>1</v>
      </c>
      <c r="J19" s="3">
        <v>1</v>
      </c>
      <c r="M19" s="1">
        <v>1000</v>
      </c>
    </row>
    <row r="20" spans="1:13" x14ac:dyDescent="0.2">
      <c r="A20" s="1">
        <v>19</v>
      </c>
      <c r="B20" s="1" t="s">
        <v>34</v>
      </c>
      <c r="C20" s="1" t="str">
        <f>Nodes!B5</f>
        <v>Heimdal</v>
      </c>
      <c r="D20" s="1" t="str">
        <f>Nodes!B15</f>
        <v>Intermediate 1</v>
      </c>
      <c r="E20" s="1">
        <f t="shared" si="0"/>
        <v>1003</v>
      </c>
      <c r="F20" s="1" t="s">
        <v>63</v>
      </c>
      <c r="G20" s="1">
        <f>INDEX(Nodes!$A:$A,MATCH(Arcs!C20,Nodes!$B:$B,0))</f>
        <v>3</v>
      </c>
      <c r="H20" s="1">
        <f>INDEX(Nodes!$A:$A,MATCH(Arcs!D20,Nodes!$B:$B,0))</f>
        <v>13</v>
      </c>
      <c r="I20" s="2">
        <v>1</v>
      </c>
      <c r="J20" s="3">
        <v>1</v>
      </c>
      <c r="M20" s="1">
        <v>1000</v>
      </c>
    </row>
    <row r="21" spans="1:13" x14ac:dyDescent="0.2">
      <c r="A21" s="1">
        <v>20</v>
      </c>
      <c r="B21" s="1" t="s">
        <v>35</v>
      </c>
      <c r="C21" s="1" t="str">
        <f>Nodes!B16</f>
        <v>Intermediate 2</v>
      </c>
      <c r="D21" s="1" t="str">
        <f>Nodes!B20</f>
        <v>Karsto</v>
      </c>
      <c r="E21" s="1">
        <f t="shared" si="0"/>
        <v>1003</v>
      </c>
      <c r="F21" s="1" t="s">
        <v>63</v>
      </c>
      <c r="G21" s="1">
        <f>INDEX(Nodes!$A:$A,MATCH(Arcs!C21,Nodes!$B:$B,0))</f>
        <v>14</v>
      </c>
      <c r="H21" s="1">
        <f>INDEX(Nodes!$A:$A,MATCH(Arcs!D21,Nodes!$B:$B,0))</f>
        <v>18</v>
      </c>
      <c r="I21" s="2">
        <v>1</v>
      </c>
      <c r="J21" s="3">
        <v>1</v>
      </c>
      <c r="M21" s="1">
        <v>1000</v>
      </c>
    </row>
    <row r="22" spans="1:13" x14ac:dyDescent="0.2">
      <c r="A22" s="1">
        <v>21</v>
      </c>
      <c r="B22" s="1" t="s">
        <v>36</v>
      </c>
      <c r="C22" s="1" t="str">
        <f>Nodes!B16</f>
        <v>Intermediate 2</v>
      </c>
      <c r="D22" s="1" t="str">
        <f>Nodes!B18</f>
        <v>Intermediate 4</v>
      </c>
      <c r="E22" s="1">
        <f t="shared" si="0"/>
        <v>1003</v>
      </c>
      <c r="F22" s="1" t="s">
        <v>63</v>
      </c>
      <c r="G22" s="1">
        <f>INDEX(Nodes!$A:$A,MATCH(Arcs!C22,Nodes!$B:$B,0))</f>
        <v>14</v>
      </c>
      <c r="H22" s="1">
        <f>INDEX(Nodes!$A:$A,MATCH(Arcs!D22,Nodes!$B:$B,0))</f>
        <v>16</v>
      </c>
      <c r="I22" s="2">
        <v>1</v>
      </c>
      <c r="J22" s="3">
        <v>1</v>
      </c>
      <c r="M22" s="1">
        <v>1000</v>
      </c>
    </row>
    <row r="23" spans="1:13" x14ac:dyDescent="0.2">
      <c r="A23" s="16">
        <v>22</v>
      </c>
      <c r="B23" s="16" t="s">
        <v>121</v>
      </c>
      <c r="C23" t="s">
        <v>12</v>
      </c>
      <c r="D23" t="s">
        <v>46</v>
      </c>
      <c r="E23">
        <v>1003</v>
      </c>
      <c r="I23" s="17">
        <v>1</v>
      </c>
      <c r="J23" s="19">
        <v>1</v>
      </c>
    </row>
    <row r="24" spans="1:13" x14ac:dyDescent="0.2">
      <c r="A24" s="16">
        <v>23</v>
      </c>
      <c r="B24" s="16" t="s">
        <v>122</v>
      </c>
      <c r="C24" t="s">
        <v>12</v>
      </c>
      <c r="D24" t="s">
        <v>16</v>
      </c>
      <c r="E24">
        <v>1003</v>
      </c>
      <c r="I24" s="17">
        <v>1</v>
      </c>
      <c r="J24" s="18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A445-15C0-AB40-A0A7-7DAECA950535}">
  <dimension ref="A1:B13"/>
  <sheetViews>
    <sheetView zoomScale="200" zoomScaleNormal="200" workbookViewId="0">
      <selection activeCell="C7" sqref="C7"/>
    </sheetView>
  </sheetViews>
  <sheetFormatPr baseColWidth="10" defaultRowHeight="16" x14ac:dyDescent="0.2"/>
  <cols>
    <col min="1" max="1" width="13.33203125" bestFit="1" customWidth="1"/>
  </cols>
  <sheetData>
    <row r="1" spans="1:2" x14ac:dyDescent="0.2">
      <c r="A1" s="4" t="s">
        <v>124</v>
      </c>
      <c r="B1" s="4" t="s">
        <v>125</v>
      </c>
    </row>
    <row r="2" spans="1:2" x14ac:dyDescent="0.2">
      <c r="A2" s="1" t="s">
        <v>5</v>
      </c>
      <c r="B2" s="1" t="s">
        <v>9</v>
      </c>
    </row>
    <row r="3" spans="1:2" x14ac:dyDescent="0.2">
      <c r="A3" s="1" t="s">
        <v>6</v>
      </c>
      <c r="B3" s="1" t="s">
        <v>8</v>
      </c>
    </row>
    <row r="4" spans="1:2" x14ac:dyDescent="0.2">
      <c r="A4" s="1" t="s">
        <v>9</v>
      </c>
      <c r="B4" s="1" t="s">
        <v>10</v>
      </c>
    </row>
    <row r="5" spans="1:2" x14ac:dyDescent="0.2">
      <c r="A5" s="1" t="s">
        <v>8</v>
      </c>
      <c r="B5" s="1" t="s">
        <v>11</v>
      </c>
    </row>
    <row r="6" spans="1:2" x14ac:dyDescent="0.2">
      <c r="A6" s="1" t="s">
        <v>10</v>
      </c>
      <c r="B6" s="1" t="s">
        <v>12</v>
      </c>
    </row>
    <row r="7" spans="1:2" x14ac:dyDescent="0.2">
      <c r="A7" s="1" t="s">
        <v>11</v>
      </c>
      <c r="B7" s="1" t="s">
        <v>7</v>
      </c>
    </row>
    <row r="8" spans="1:2" x14ac:dyDescent="0.2">
      <c r="A8" s="1" t="s">
        <v>17</v>
      </c>
    </row>
    <row r="9" spans="1:2" x14ac:dyDescent="0.2">
      <c r="A9" s="1" t="s">
        <v>43</v>
      </c>
    </row>
    <row r="10" spans="1:2" x14ac:dyDescent="0.2">
      <c r="A10" s="1" t="s">
        <v>44</v>
      </c>
    </row>
    <row r="11" spans="1:2" x14ac:dyDescent="0.2">
      <c r="A11" s="1" t="s">
        <v>45</v>
      </c>
    </row>
    <row r="12" spans="1:2" x14ac:dyDescent="0.2">
      <c r="A12" s="1" t="s">
        <v>46</v>
      </c>
    </row>
    <row r="13" spans="1:2" x14ac:dyDescent="0.2">
      <c r="A13" s="1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2103-BB5B-1146-8172-40BAC814D614}">
  <dimension ref="A1:B3"/>
  <sheetViews>
    <sheetView zoomScale="200" zoomScaleNormal="200" workbookViewId="0">
      <selection activeCell="B3" sqref="B3"/>
    </sheetView>
  </sheetViews>
  <sheetFormatPr baseColWidth="10" defaultRowHeight="16" x14ac:dyDescent="0.2"/>
  <sheetData>
    <row r="1" spans="1:2" x14ac:dyDescent="0.2">
      <c r="A1" s="4" t="s">
        <v>0</v>
      </c>
      <c r="B1" s="4" t="s">
        <v>1</v>
      </c>
    </row>
    <row r="2" spans="1:2" x14ac:dyDescent="0.2">
      <c r="A2" s="1">
        <v>1</v>
      </c>
      <c r="B2" s="1" t="s">
        <v>50</v>
      </c>
    </row>
    <row r="3" spans="1:2" x14ac:dyDescent="0.2">
      <c r="A3" s="1">
        <v>2</v>
      </c>
      <c r="B3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11</vt:i4>
      </vt:variant>
    </vt:vector>
  </HeadingPairs>
  <TitlesOfParts>
    <vt:vector size="11" baseType="lpstr">
      <vt:lpstr>Visualisation</vt:lpstr>
      <vt:lpstr>Units</vt:lpstr>
      <vt:lpstr>Nodes</vt:lpstr>
      <vt:lpstr>Demand Stage 2</vt:lpstr>
      <vt:lpstr>Demand Stage 3</vt:lpstr>
      <vt:lpstr>SalesPriceGasMix</vt:lpstr>
      <vt:lpstr>SalesPricePureHydrogen</vt:lpstr>
      <vt:lpstr>Parameters</vt:lpstr>
      <vt:lpstr>Arcs</vt:lpstr>
      <vt:lpstr>Traders</vt:lpstr>
      <vt:lpstr>Commodities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Markhorst, B.T. (Berend)</dc:creator>
  <cp:lastModifiedBy>Markhorst, B.T. (Berend)</cp:lastModifiedBy>
  <dcterms:created xsi:type="dcterms:W3CDTF">2024-08-20T19:36:56Z</dcterms:created>
  <dcterms:modified xsi:type="dcterms:W3CDTF">2024-10-30T15:41:50Z</dcterms:modified>
</cp:coreProperties>
</file>