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erendmarkhorst/Library/Mobile Documents/com~apple~CloudDocs/PhD/READINESS/08 - Trondheim/Data/"/>
    </mc:Choice>
  </mc:AlternateContent>
  <xr:revisionPtr revIDLastSave="0" documentId="13_ncr:1_{058B3F4A-4767-8441-8B95-FCECC6ADABB0}" xr6:coauthVersionLast="47" xr6:coauthVersionMax="47" xr10:uidLastSave="{00000000-0000-0000-0000-000000000000}"/>
  <bookViews>
    <workbookView xWindow="0" yWindow="500" windowWidth="51200" windowHeight="26860" activeTab="4" xr2:uid="{D82E7092-1A4C-0041-9612-C431AA3B912B}"/>
  </bookViews>
  <sheets>
    <sheet name="Visualisation" sheetId="7" r:id="rId1"/>
    <sheet name="Units" sheetId="6" r:id="rId2"/>
    <sheet name="Nodes" sheetId="2" r:id="rId3"/>
    <sheet name="Demand Stage 2" sheetId="5" r:id="rId4"/>
    <sheet name="Demand Stage 3" sheetId="9" r:id="rId5"/>
    <sheet name="Parameters" sheetId="8" r:id="rId6"/>
    <sheet name="Arcs" sheetId="1" r:id="rId7"/>
    <sheet name="Traders" sheetId="3" r:id="rId8"/>
    <sheet name="Commodities" sheetId="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" i="9" l="1"/>
  <c r="B1" i="9"/>
  <c r="B1" i="5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" i="1"/>
  <c r="B30" i="5"/>
  <c r="K6" i="9"/>
  <c r="L6" i="9"/>
  <c r="M6" i="9"/>
  <c r="J6" i="9"/>
  <c r="B4" i="5"/>
  <c r="F4" i="5" s="1"/>
  <c r="Q6" i="9"/>
  <c r="P6" i="9"/>
  <c r="O6" i="9"/>
  <c r="N6" i="9"/>
  <c r="E5" i="9"/>
  <c r="I5" i="9" s="1"/>
  <c r="D5" i="9"/>
  <c r="H5" i="9" s="1"/>
  <c r="C5" i="9"/>
  <c r="K5" i="9" s="1"/>
  <c r="O5" i="9" s="1"/>
  <c r="B5" i="9"/>
  <c r="J5" i="9" s="1"/>
  <c r="N5" i="9" s="1"/>
  <c r="N4" i="9"/>
  <c r="J4" i="9"/>
  <c r="Y11" i="2"/>
  <c r="Z11" i="2"/>
  <c r="AA11" i="2"/>
  <c r="AB11" i="2"/>
  <c r="AC11" i="2"/>
  <c r="Y12" i="2"/>
  <c r="Z12" i="2"/>
  <c r="AA12" i="2"/>
  <c r="AB12" i="2"/>
  <c r="AC12" i="2"/>
  <c r="Y13" i="2"/>
  <c r="Z13" i="2"/>
  <c r="AA13" i="2"/>
  <c r="AB13" i="2"/>
  <c r="AC13" i="2"/>
  <c r="Y14" i="2"/>
  <c r="Z14" i="2"/>
  <c r="AA14" i="2"/>
  <c r="AB14" i="2"/>
  <c r="AC14" i="2"/>
  <c r="Y15" i="2"/>
  <c r="Z15" i="2"/>
  <c r="AA15" i="2"/>
  <c r="AB15" i="2"/>
  <c r="AC15" i="2"/>
  <c r="Y16" i="2"/>
  <c r="Z16" i="2"/>
  <c r="AA16" i="2"/>
  <c r="AB16" i="2"/>
  <c r="AC16" i="2"/>
  <c r="Y17" i="2"/>
  <c r="Z17" i="2"/>
  <c r="AA17" i="2"/>
  <c r="AB17" i="2"/>
  <c r="AC17" i="2"/>
  <c r="Y18" i="2"/>
  <c r="Z18" i="2"/>
  <c r="AA18" i="2"/>
  <c r="AB18" i="2"/>
  <c r="AC18" i="2"/>
  <c r="Y19" i="2"/>
  <c r="Z19" i="2"/>
  <c r="AA19" i="2"/>
  <c r="AB19" i="2"/>
  <c r="AC19" i="2"/>
  <c r="Y20" i="2"/>
  <c r="Z20" i="2"/>
  <c r="AA20" i="2"/>
  <c r="AB20" i="2"/>
  <c r="AC20" i="2"/>
  <c r="J22" i="2"/>
  <c r="J9" i="2" s="1"/>
  <c r="X11" i="2"/>
  <c r="X12" i="2"/>
  <c r="X13" i="2"/>
  <c r="X14" i="2"/>
  <c r="X15" i="2"/>
  <c r="X16" i="2"/>
  <c r="X17" i="2"/>
  <c r="X18" i="2"/>
  <c r="X19" i="2"/>
  <c r="X20" i="2"/>
  <c r="A9" i="6"/>
  <c r="A8" i="6"/>
  <c r="A7" i="6"/>
  <c r="A6" i="6"/>
  <c r="A5" i="6"/>
  <c r="A4" i="6"/>
  <c r="A3" i="6"/>
  <c r="A2" i="6"/>
  <c r="V1" i="2"/>
  <c r="H1" i="2"/>
  <c r="E4" i="5"/>
  <c r="I4" i="5" s="1"/>
  <c r="D4" i="5"/>
  <c r="H4" i="5" s="1"/>
  <c r="C4" i="5"/>
  <c r="G4" i="5" s="1"/>
  <c r="D4" i="1"/>
  <c r="H4" i="1" s="1"/>
  <c r="D22" i="1"/>
  <c r="H22" i="1" s="1"/>
  <c r="C22" i="1"/>
  <c r="G22" i="1" s="1"/>
  <c r="D21" i="1"/>
  <c r="H21" i="1" s="1"/>
  <c r="C21" i="1"/>
  <c r="G21" i="1" s="1"/>
  <c r="D20" i="1"/>
  <c r="H20" i="1" s="1"/>
  <c r="C20" i="1"/>
  <c r="G20" i="1" s="1"/>
  <c r="D19" i="1"/>
  <c r="H19" i="1" s="1"/>
  <c r="C19" i="1"/>
  <c r="G19" i="1" s="1"/>
  <c r="D18" i="1"/>
  <c r="H18" i="1" s="1"/>
  <c r="C18" i="1"/>
  <c r="G18" i="1" s="1"/>
  <c r="D17" i="1"/>
  <c r="H17" i="1" s="1"/>
  <c r="C17" i="1"/>
  <c r="G17" i="1" s="1"/>
  <c r="D16" i="1"/>
  <c r="H16" i="1" s="1"/>
  <c r="C16" i="1"/>
  <c r="G16" i="1" s="1"/>
  <c r="D15" i="1"/>
  <c r="H15" i="1" s="1"/>
  <c r="C15" i="1"/>
  <c r="G15" i="1" s="1"/>
  <c r="D14" i="1"/>
  <c r="H14" i="1" s="1"/>
  <c r="C14" i="1"/>
  <c r="G14" i="1" s="1"/>
  <c r="D13" i="1"/>
  <c r="H13" i="1" s="1"/>
  <c r="C13" i="1"/>
  <c r="G13" i="1" s="1"/>
  <c r="D12" i="1"/>
  <c r="H12" i="1" s="1"/>
  <c r="C12" i="1"/>
  <c r="G12" i="1" s="1"/>
  <c r="D11" i="1"/>
  <c r="H11" i="1" s="1"/>
  <c r="C11" i="1"/>
  <c r="G11" i="1" s="1"/>
  <c r="D10" i="1"/>
  <c r="H10" i="1" s="1"/>
  <c r="C10" i="1"/>
  <c r="G10" i="1" s="1"/>
  <c r="D9" i="1"/>
  <c r="H9" i="1" s="1"/>
  <c r="C9" i="1"/>
  <c r="G9" i="1" s="1"/>
  <c r="D8" i="1"/>
  <c r="H8" i="1" s="1"/>
  <c r="C8" i="1"/>
  <c r="G8" i="1" s="1"/>
  <c r="D7" i="1"/>
  <c r="H7" i="1" s="1"/>
  <c r="C7" i="1"/>
  <c r="G7" i="1" s="1"/>
  <c r="D6" i="1"/>
  <c r="H6" i="1" s="1"/>
  <c r="C6" i="1"/>
  <c r="G6" i="1" s="1"/>
  <c r="D5" i="1"/>
  <c r="H5" i="1" s="1"/>
  <c r="C5" i="1"/>
  <c r="G5" i="1" s="1"/>
  <c r="C4" i="1"/>
  <c r="G4" i="1" s="1"/>
  <c r="D3" i="1"/>
  <c r="H3" i="1" s="1"/>
  <c r="C3" i="1"/>
  <c r="G3" i="1" s="1"/>
  <c r="D2" i="1"/>
  <c r="H2" i="1" s="1"/>
  <c r="C2" i="1"/>
  <c r="G2" i="1" s="1"/>
  <c r="B31" i="9" l="1"/>
  <c r="F5" i="9"/>
  <c r="G5" i="9"/>
  <c r="M5" i="9"/>
  <c r="Q5" i="9" s="1"/>
  <c r="L5" i="9"/>
  <c r="P5" i="9" s="1"/>
  <c r="J3" i="2"/>
  <c r="J6" i="2"/>
</calcChain>
</file>

<file path=xl/sharedStrings.xml><?xml version="1.0" encoding="utf-8"?>
<sst xmlns="http://schemas.openxmlformats.org/spreadsheetml/2006/main" count="179" uniqueCount="123">
  <si>
    <t>ID</t>
  </si>
  <si>
    <t>Name</t>
  </si>
  <si>
    <t>Source</t>
  </si>
  <si>
    <t>Sink</t>
  </si>
  <si>
    <t>Type</t>
  </si>
  <si>
    <t>AreaA</t>
  </si>
  <si>
    <t>Oseberg</t>
  </si>
  <si>
    <t>Heimdal</t>
  </si>
  <si>
    <t>Kollsnes</t>
  </si>
  <si>
    <t>AreaB</t>
  </si>
  <si>
    <t>Nyhamna</t>
  </si>
  <si>
    <t>AreaD</t>
  </si>
  <si>
    <t>Ekofisk</t>
  </si>
  <si>
    <t>NBP</t>
  </si>
  <si>
    <t>Zeebrugge</t>
  </si>
  <si>
    <t>Dunkerque</t>
  </si>
  <si>
    <t>Germany</t>
  </si>
  <si>
    <t>Intermediate 1</t>
  </si>
  <si>
    <t>Field</t>
  </si>
  <si>
    <t>Intermediate node</t>
  </si>
  <si>
    <t>Market</t>
  </si>
  <si>
    <t>Tampen Link</t>
  </si>
  <si>
    <t>Vesterled</t>
  </si>
  <si>
    <t>Langeled</t>
  </si>
  <si>
    <t>Zeepipe</t>
  </si>
  <si>
    <t>Zeepipe II A</t>
  </si>
  <si>
    <t>Zeepipe II B</t>
  </si>
  <si>
    <t>Crossover</t>
  </si>
  <si>
    <t>Statpipe</t>
  </si>
  <si>
    <t>Franpipe</t>
  </si>
  <si>
    <t>Norpipe</t>
  </si>
  <si>
    <t>Europipe I</t>
  </si>
  <si>
    <t>Europipe II</t>
  </si>
  <si>
    <t>Arc 1</t>
  </si>
  <si>
    <t>Arc 2</t>
  </si>
  <si>
    <t>Arc 3</t>
  </si>
  <si>
    <t>Arc 4</t>
  </si>
  <si>
    <t>Source_ID</t>
  </si>
  <si>
    <t>Sink_ID</t>
  </si>
  <si>
    <t>Sleipner</t>
  </si>
  <si>
    <t>Draupner E</t>
  </si>
  <si>
    <t>Draupner S</t>
  </si>
  <si>
    <t>Ekofisk Y</t>
  </si>
  <si>
    <t>Intermediate 2</t>
  </si>
  <si>
    <t>Intermediate 3</t>
  </si>
  <si>
    <t>Intermediate 4</t>
  </si>
  <si>
    <t>Intermediate 5</t>
  </si>
  <si>
    <t>Opmerking</t>
  </si>
  <si>
    <t>Zeker</t>
  </si>
  <si>
    <t>St Fergus</t>
  </si>
  <si>
    <t>Shipper 1</t>
  </si>
  <si>
    <t>Shipper 2</t>
  </si>
  <si>
    <t>gas</t>
  </si>
  <si>
    <t>hydrogen</t>
  </si>
  <si>
    <t>Hour</t>
  </si>
  <si>
    <t>Demand</t>
  </si>
  <si>
    <t>Vermoeden</t>
  </si>
  <si>
    <t>Unit</t>
  </si>
  <si>
    <t>Explanation</t>
  </si>
  <si>
    <t>Quantity</t>
  </si>
  <si>
    <t>NOK / MSm3</t>
  </si>
  <si>
    <t>MSm3</t>
  </si>
  <si>
    <t>MSm3/h</t>
  </si>
  <si>
    <t xml:space="preserve">Mega (or million) standard cubic metres per hour. One standard cubic meter means the amount of gas which occupies a Cubic Meter at fifteen (15) Degrees Celsius and a pressure of one hundred one decimal three two five (101.325) kPa. </t>
  </si>
  <si>
    <t>Andere data</t>
  </si>
  <si>
    <t>Overleg met Ruud</t>
  </si>
  <si>
    <t>Google</t>
  </si>
  <si>
    <t>Ruud &amp; Google</t>
  </si>
  <si>
    <t>Ruud (Google; 21,2?)</t>
  </si>
  <si>
    <t>Ruud (Google; 27?)</t>
  </si>
  <si>
    <t>Total Production Cap</t>
  </si>
  <si>
    <t>Known Prod Cap</t>
  </si>
  <si>
    <t>Probability</t>
  </si>
  <si>
    <t>gas or mix</t>
  </si>
  <si>
    <t>pure hydrogen</t>
  </si>
  <si>
    <t>Loss rate</t>
  </si>
  <si>
    <t>Allowed percentage</t>
  </si>
  <si>
    <t>Gamma</t>
  </si>
  <si>
    <t>Capacity</t>
  </si>
  <si>
    <t>Node Number</t>
  </si>
  <si>
    <t>Parent Node Number</t>
  </si>
  <si>
    <t>Stage 2 nodes</t>
  </si>
  <si>
    <t>Stage 3 nodes</t>
  </si>
  <si>
    <t>Value</t>
  </si>
  <si>
    <t>Production Capacity Gas</t>
  </si>
  <si>
    <t>Entry Capacity Gas</t>
  </si>
  <si>
    <t>Exit Capacity Gas</t>
  </si>
  <si>
    <t>Production Costs Gas</t>
  </si>
  <si>
    <t>Storage Capacity Gas</t>
  </si>
  <si>
    <t>Entry Storage Costs Gas</t>
  </si>
  <si>
    <t>Entry Costs Gas Stage 1</t>
  </si>
  <si>
    <t>Exit Costs Gas Stage 1</t>
  </si>
  <si>
    <t>Entry Costs Gas Stage 2</t>
  </si>
  <si>
    <t>Exit Costs Gas Stage 2</t>
  </si>
  <si>
    <t>Entry Costs Gas Stage 3</t>
  </si>
  <si>
    <t>Exit Costs Gas Stage 3</t>
  </si>
  <si>
    <t>Production Capacity Hydrogen</t>
  </si>
  <si>
    <t>Entry Capacity Hydrogen</t>
  </si>
  <si>
    <t>Exit Capacity Hydrogen</t>
  </si>
  <si>
    <t>Production Costs Hydrogen</t>
  </si>
  <si>
    <t>Storage Capacity Hydrogen</t>
  </si>
  <si>
    <t>Entry Storage Costs Hydrogen</t>
  </si>
  <si>
    <t>Entry Costs Hydrogen Stage 1</t>
  </si>
  <si>
    <t>Exit Costs Hydrogen Stage 1</t>
  </si>
  <si>
    <t>Entry Costs Hydrogen Stage 2</t>
  </si>
  <si>
    <t>Exit Costs Hydrogen Stage 2</t>
  </si>
  <si>
    <t>Entry Costs Hydrogen Stage 3</t>
  </si>
  <si>
    <t>Exit Costs Hydrogen Stage 3</t>
  </si>
  <si>
    <t>Number hours</t>
  </si>
  <si>
    <t>Number markets</t>
  </si>
  <si>
    <t>Number shippers</t>
  </si>
  <si>
    <t>Flow costs Gas</t>
  </si>
  <si>
    <t>Flow costs Hydrogen</t>
  </si>
  <si>
    <t>X_coordinate</t>
  </si>
  <si>
    <t>Y_coordinate</t>
  </si>
  <si>
    <t>Karsto</t>
  </si>
  <si>
    <t>Asgard Transport</t>
  </si>
  <si>
    <t>Original Capacity</t>
  </si>
  <si>
    <t>Niet op Gassco</t>
  </si>
  <si>
    <t>TSO entry costs Gas</t>
  </si>
  <si>
    <t>TSO exit costs Gas</t>
  </si>
  <si>
    <t>TSO entry costs Hydrogen</t>
  </si>
  <si>
    <t>TSO exit costs Hydrogen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</si>
</sst>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9C0006"/>
      <name val="Calibri"/>
      <family val="2"/>
      <scheme val="minor"/>
    </font>
    <font>
      <b/>
      <sz val="12"/>
      <color rgb="FF006100"/>
      <name val="Calibri"/>
      <family val="2"/>
      <scheme val="minor"/>
    </font>
    <font>
      <sz val="12"/>
      <color rgb="FF202122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</cellStyleXfs>
  <cellXfs count="27">
    <xf numFmtId="0" fontId="0" fillId="0" borderId="0" xfId="0"/>
    <xf numFmtId="0" fontId="0" fillId="0" borderId="1" xfId="0" applyBorder="1"/>
    <xf numFmtId="0" fontId="3" fillId="3" borderId="1" xfId="2" applyBorder="1"/>
    <xf numFmtId="0" fontId="2" fillId="2" borderId="1" xfId="1" applyBorder="1"/>
    <xf numFmtId="0" fontId="4" fillId="0" borderId="1" xfId="0" applyFont="1" applyBorder="1"/>
    <xf numFmtId="0" fontId="5" fillId="3" borderId="1" xfId="2" applyFont="1" applyBorder="1"/>
    <xf numFmtId="0" fontId="6" fillId="2" borderId="1" xfId="1" applyFont="1" applyBorder="1"/>
    <xf numFmtId="0" fontId="4" fillId="0" borderId="2" xfId="0" applyFont="1" applyBorder="1"/>
    <xf numFmtId="0" fontId="4" fillId="0" borderId="0" xfId="0" applyFont="1"/>
    <xf numFmtId="0" fontId="7" fillId="0" borderId="1" xfId="0" applyFont="1" applyBorder="1"/>
    <xf numFmtId="0" fontId="7" fillId="0" borderId="1" xfId="0" applyFont="1" applyBorder="1" applyAlignment="1">
      <alignment wrapText="1"/>
    </xf>
    <xf numFmtId="0" fontId="0" fillId="0" borderId="2" xfId="0" applyBorder="1"/>
    <xf numFmtId="0" fontId="0" fillId="0" borderId="2" xfId="0" applyBorder="1" applyAlignment="1">
      <alignment horizontal="left"/>
    </xf>
    <xf numFmtId="2" fontId="3" fillId="3" borderId="1" xfId="2" applyNumberFormat="1" applyBorder="1"/>
    <xf numFmtId="0" fontId="8" fillId="0" borderId="0" xfId="0" applyFont="1"/>
    <xf numFmtId="0" fontId="9" fillId="0" borderId="0" xfId="0" applyFont="1"/>
    <xf numFmtId="0" fontId="5" fillId="3" borderId="5" xfId="2" applyFont="1" applyBorder="1" applyAlignment="1">
      <alignment horizontal="center"/>
    </xf>
    <xf numFmtId="0" fontId="5" fillId="3" borderId="6" xfId="2" applyFont="1" applyBorder="1" applyAlignment="1">
      <alignment horizontal="center"/>
    </xf>
    <xf numFmtId="0" fontId="6" fillId="2" borderId="7" xfId="1" applyFont="1" applyBorder="1" applyAlignment="1">
      <alignment horizontal="center"/>
    </xf>
    <xf numFmtId="0" fontId="6" fillId="2" borderId="5" xfId="1" applyFont="1" applyBorder="1" applyAlignment="1">
      <alignment horizontal="center"/>
    </xf>
    <xf numFmtId="0" fontId="6" fillId="2" borderId="6" xfId="1" applyFont="1" applyBorder="1" applyAlignment="1">
      <alignment horizontal="center"/>
    </xf>
    <xf numFmtId="0" fontId="5" fillId="3" borderId="1" xfId="2" applyFont="1" applyBorder="1" applyAlignment="1">
      <alignment horizontal="center"/>
    </xf>
    <xf numFmtId="0" fontId="6" fillId="2" borderId="1" xfId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3">
    <cellStyle name="Goed" xfId="1" builtinId="26"/>
    <cellStyle name="Ongeldig" xfId="2" builtinId="27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15</xdr:col>
      <xdr:colOff>482600</xdr:colOff>
      <xdr:row>43</xdr:row>
      <xdr:rowOff>41796</xdr:rowOff>
    </xdr:to>
    <xdr:pic>
      <xdr:nvPicPr>
        <xdr:cNvPr id="2" name="Afbeelding 1">
          <a:extLst>
            <a:ext uri="{FF2B5EF4-FFF2-40B4-BE49-F238E27FC236}">
              <a16:creationId xmlns:a16="http://schemas.microsoft.com/office/drawing/2014/main" id="{C7A31461-9373-886D-0EDC-D298F3EB75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2865100" cy="87793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08315-FBE0-CA4C-9EFE-0A9542346138}">
  <dimension ref="A1"/>
  <sheetViews>
    <sheetView workbookViewId="0">
      <selection activeCell="S30" sqref="S30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C4DE0-7BAC-1F4D-92A3-44AE62829735}">
  <dimension ref="A1:C10"/>
  <sheetViews>
    <sheetView zoomScale="200" zoomScaleNormal="200" workbookViewId="0">
      <selection activeCell="H27" sqref="H27"/>
    </sheetView>
  </sheetViews>
  <sheetFormatPr baseColWidth="10" defaultRowHeight="16" x14ac:dyDescent="0.2"/>
  <cols>
    <col min="1" max="1" width="17.33203125" bestFit="1" customWidth="1"/>
    <col min="2" max="2" width="12" bestFit="1" customWidth="1"/>
    <col min="3" max="3" width="60.5" customWidth="1"/>
  </cols>
  <sheetData>
    <row r="1" spans="1:3" x14ac:dyDescent="0.2">
      <c r="A1" s="4" t="s">
        <v>59</v>
      </c>
      <c r="B1" s="4" t="s">
        <v>57</v>
      </c>
      <c r="C1" s="4" t="s">
        <v>58</v>
      </c>
    </row>
    <row r="2" spans="1:3" ht="68" x14ac:dyDescent="0.2">
      <c r="A2" s="1" t="str">
        <f>Nodes!J2</f>
        <v>Production Capacity Gas</v>
      </c>
      <c r="B2" s="9" t="s">
        <v>62</v>
      </c>
      <c r="C2" s="10" t="s">
        <v>63</v>
      </c>
    </row>
    <row r="3" spans="1:3" x14ac:dyDescent="0.2">
      <c r="A3" s="1" t="str">
        <f>Nodes!M2</f>
        <v>Production Costs Gas</v>
      </c>
      <c r="B3" s="1" t="s">
        <v>60</v>
      </c>
      <c r="C3" s="1"/>
    </row>
    <row r="4" spans="1:3" ht="19" x14ac:dyDescent="0.2">
      <c r="A4" s="1" t="str">
        <f>Nodes!N2</f>
        <v>Storage Capacity Gas</v>
      </c>
      <c r="B4" s="9" t="s">
        <v>61</v>
      </c>
      <c r="C4" s="9"/>
    </row>
    <row r="5" spans="1:3" x14ac:dyDescent="0.2">
      <c r="A5" s="1" t="str">
        <f>Nodes!O2</f>
        <v>Entry Storage Costs Gas</v>
      </c>
      <c r="B5" s="1" t="s">
        <v>60</v>
      </c>
      <c r="C5" s="1"/>
    </row>
    <row r="6" spans="1:3" x14ac:dyDescent="0.2">
      <c r="A6" s="1" t="str">
        <f>Nodes!P2</f>
        <v>Entry Costs Gas Stage 1</v>
      </c>
      <c r="B6" s="1" t="s">
        <v>60</v>
      </c>
      <c r="C6" s="1"/>
    </row>
    <row r="7" spans="1:3" x14ac:dyDescent="0.2">
      <c r="A7" s="1" t="str">
        <f>Nodes!Q2</f>
        <v>Exit Costs Gas Stage 1</v>
      </c>
      <c r="B7" s="1" t="s">
        <v>60</v>
      </c>
      <c r="C7" s="1"/>
    </row>
    <row r="8" spans="1:3" x14ac:dyDescent="0.2">
      <c r="A8" s="1" t="str">
        <f>Arcs!I1</f>
        <v>Flow costs Gas</v>
      </c>
      <c r="B8" s="1" t="s">
        <v>60</v>
      </c>
      <c r="C8" s="1"/>
    </row>
    <row r="9" spans="1:3" ht="19" x14ac:dyDescent="0.2">
      <c r="A9" s="1" t="str">
        <f>Arcs!E1</f>
        <v>Capacity</v>
      </c>
      <c r="B9" s="9" t="s">
        <v>62</v>
      </c>
      <c r="C9" s="9"/>
    </row>
    <row r="10" spans="1:3" ht="19" x14ac:dyDescent="0.2">
      <c r="A10" s="1" t="s">
        <v>55</v>
      </c>
      <c r="B10" s="9" t="s">
        <v>62</v>
      </c>
      <c r="C1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F5746-A1B1-6F4F-9762-CACD4A91B5F2}">
  <dimension ref="A1:AI23"/>
  <sheetViews>
    <sheetView topLeftCell="C1" zoomScale="180" zoomScaleNormal="180" workbookViewId="0">
      <selection activeCell="X5" sqref="X5"/>
    </sheetView>
  </sheetViews>
  <sheetFormatPr baseColWidth="10" defaultRowHeight="16" x14ac:dyDescent="0.2"/>
  <cols>
    <col min="1" max="1" width="3.1640625" bestFit="1" customWidth="1"/>
    <col min="2" max="2" width="13.33203125" bestFit="1" customWidth="1"/>
    <col min="3" max="3" width="16.5" bestFit="1" customWidth="1"/>
    <col min="4" max="5" width="16.5" customWidth="1"/>
    <col min="6" max="6" width="10.6640625" bestFit="1" customWidth="1"/>
    <col min="7" max="7" width="18.1640625" bestFit="1" customWidth="1"/>
    <col min="8" max="9" width="18.1640625" customWidth="1"/>
    <col min="10" max="10" width="21.6640625" bestFit="1" customWidth="1"/>
    <col min="11" max="11" width="16.83203125" bestFit="1" customWidth="1"/>
    <col min="12" max="12" width="15.5" bestFit="1" customWidth="1"/>
    <col min="13" max="14" width="18.83203125" bestFit="1" customWidth="1"/>
    <col min="15" max="15" width="21" bestFit="1" customWidth="1"/>
    <col min="16" max="16" width="20.83203125" bestFit="1" customWidth="1"/>
    <col min="17" max="17" width="19.6640625" bestFit="1" customWidth="1"/>
    <col min="18" max="18" width="20.83203125" bestFit="1" customWidth="1"/>
    <col min="19" max="19" width="19.6640625" bestFit="1" customWidth="1"/>
    <col min="20" max="20" width="20.83203125" bestFit="1" customWidth="1"/>
    <col min="21" max="21" width="19.6640625" bestFit="1" customWidth="1"/>
    <col min="22" max="22" width="23" bestFit="1" customWidth="1"/>
    <col min="23" max="23" width="21.6640625" bestFit="1" customWidth="1"/>
    <col min="24" max="24" width="27" bestFit="1" customWidth="1"/>
    <col min="25" max="25" width="22" bestFit="1" customWidth="1"/>
    <col min="26" max="26" width="20.5" bestFit="1" customWidth="1"/>
    <col min="27" max="27" width="24.1640625" bestFit="1" customWidth="1"/>
    <col min="28" max="28" width="24" bestFit="1" customWidth="1"/>
    <col min="29" max="29" width="26.1640625" bestFit="1" customWidth="1"/>
    <col min="30" max="30" width="25.83203125" bestFit="1" customWidth="1"/>
    <col min="31" max="31" width="24.6640625" bestFit="1" customWidth="1"/>
    <col min="32" max="32" width="25.83203125" bestFit="1" customWidth="1"/>
    <col min="33" max="33" width="24.6640625" bestFit="1" customWidth="1"/>
    <col min="34" max="34" width="25.83203125" bestFit="1" customWidth="1"/>
    <col min="35" max="35" width="24.6640625" bestFit="1" customWidth="1"/>
  </cols>
  <sheetData>
    <row r="1" spans="1:35" x14ac:dyDescent="0.2">
      <c r="A1" s="8"/>
      <c r="B1" s="8"/>
      <c r="C1" s="8"/>
      <c r="D1" s="8"/>
      <c r="E1" s="8"/>
      <c r="F1" s="8"/>
      <c r="G1" s="8"/>
      <c r="H1" s="16" t="str">
        <f>Commodities!B2</f>
        <v>gas</v>
      </c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7"/>
      <c r="V1" s="18" t="str">
        <f>Commodities!B3</f>
        <v>hydrogen</v>
      </c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20"/>
    </row>
    <row r="2" spans="1:35" x14ac:dyDescent="0.2">
      <c r="A2" s="4" t="s">
        <v>0</v>
      </c>
      <c r="B2" s="4" t="s">
        <v>1</v>
      </c>
      <c r="C2" s="4" t="s">
        <v>4</v>
      </c>
      <c r="D2" s="4" t="s">
        <v>113</v>
      </c>
      <c r="E2" s="4" t="s">
        <v>114</v>
      </c>
      <c r="F2" s="4" t="s">
        <v>56</v>
      </c>
      <c r="G2" s="7" t="s">
        <v>2</v>
      </c>
      <c r="H2" s="5" t="s">
        <v>119</v>
      </c>
      <c r="I2" s="5" t="s">
        <v>120</v>
      </c>
      <c r="J2" s="5" t="s">
        <v>84</v>
      </c>
      <c r="K2" s="5" t="s">
        <v>85</v>
      </c>
      <c r="L2" s="5" t="s">
        <v>86</v>
      </c>
      <c r="M2" s="5" t="s">
        <v>87</v>
      </c>
      <c r="N2" s="5" t="s">
        <v>88</v>
      </c>
      <c r="O2" s="5" t="s">
        <v>89</v>
      </c>
      <c r="P2" s="5" t="s">
        <v>90</v>
      </c>
      <c r="Q2" s="5" t="s">
        <v>91</v>
      </c>
      <c r="R2" s="5" t="s">
        <v>92</v>
      </c>
      <c r="S2" s="5" t="s">
        <v>93</v>
      </c>
      <c r="T2" s="5" t="s">
        <v>94</v>
      </c>
      <c r="U2" s="5" t="s">
        <v>95</v>
      </c>
      <c r="V2" s="6" t="s">
        <v>121</v>
      </c>
      <c r="W2" s="6" t="s">
        <v>122</v>
      </c>
      <c r="X2" s="6" t="s">
        <v>96</v>
      </c>
      <c r="Y2" s="6" t="s">
        <v>97</v>
      </c>
      <c r="Z2" s="6" t="s">
        <v>98</v>
      </c>
      <c r="AA2" s="6" t="s">
        <v>99</v>
      </c>
      <c r="AB2" s="6" t="s">
        <v>100</v>
      </c>
      <c r="AC2" s="6" t="s">
        <v>101</v>
      </c>
      <c r="AD2" s="6" t="s">
        <v>102</v>
      </c>
      <c r="AE2" s="6" t="s">
        <v>103</v>
      </c>
      <c r="AF2" s="6" t="s">
        <v>104</v>
      </c>
      <c r="AG2" s="6" t="s">
        <v>105</v>
      </c>
      <c r="AH2" s="6" t="s">
        <v>106</v>
      </c>
      <c r="AI2" s="6" t="s">
        <v>107</v>
      </c>
    </row>
    <row r="3" spans="1:35" x14ac:dyDescent="0.2">
      <c r="A3" s="1">
        <v>1</v>
      </c>
      <c r="B3" s="1" t="s">
        <v>5</v>
      </c>
      <c r="C3" s="1" t="s">
        <v>18</v>
      </c>
      <c r="D3" s="1">
        <v>8</v>
      </c>
      <c r="E3" s="1">
        <v>50</v>
      </c>
      <c r="F3" s="1"/>
      <c r="G3" s="11"/>
      <c r="H3" s="2">
        <v>5</v>
      </c>
      <c r="I3" s="2">
        <v>5</v>
      </c>
      <c r="J3" s="13">
        <f>($J$23-$J$22)/3</f>
        <v>24.933333333333337</v>
      </c>
      <c r="K3" s="13">
        <v>500</v>
      </c>
      <c r="L3" s="13">
        <v>0</v>
      </c>
      <c r="M3" s="2">
        <v>1</v>
      </c>
      <c r="N3" s="2">
        <v>0</v>
      </c>
      <c r="O3" s="2">
        <v>0</v>
      </c>
      <c r="P3" s="2">
        <v>1</v>
      </c>
      <c r="Q3" s="2">
        <v>1</v>
      </c>
      <c r="R3" s="2">
        <v>1.5</v>
      </c>
      <c r="S3" s="2">
        <v>1.5</v>
      </c>
      <c r="T3" s="2">
        <v>1.5</v>
      </c>
      <c r="U3" s="2">
        <v>1.5</v>
      </c>
      <c r="V3" s="3">
        <v>5</v>
      </c>
      <c r="W3" s="3">
        <v>5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H3" s="3">
        <v>0</v>
      </c>
      <c r="AI3" s="3">
        <v>0</v>
      </c>
    </row>
    <row r="4" spans="1:35" x14ac:dyDescent="0.2">
      <c r="A4" s="1">
        <v>2</v>
      </c>
      <c r="B4" s="1" t="s">
        <v>6</v>
      </c>
      <c r="C4" s="1" t="s">
        <v>18</v>
      </c>
      <c r="D4" s="1">
        <v>7</v>
      </c>
      <c r="E4" s="1">
        <v>45</v>
      </c>
      <c r="F4" s="1"/>
      <c r="G4" t="s">
        <v>69</v>
      </c>
      <c r="H4" s="2">
        <v>5</v>
      </c>
      <c r="I4" s="2">
        <v>5</v>
      </c>
      <c r="J4" s="13">
        <v>27</v>
      </c>
      <c r="K4" s="13">
        <v>500</v>
      </c>
      <c r="L4" s="13">
        <v>0</v>
      </c>
      <c r="M4" s="2">
        <v>1</v>
      </c>
      <c r="N4" s="2">
        <v>0</v>
      </c>
      <c r="O4" s="2">
        <v>0</v>
      </c>
      <c r="P4" s="2">
        <v>1</v>
      </c>
      <c r="Q4" s="2">
        <v>1</v>
      </c>
      <c r="R4" s="2">
        <v>1.5</v>
      </c>
      <c r="S4" s="2">
        <v>1.5</v>
      </c>
      <c r="T4" s="2">
        <v>1.5</v>
      </c>
      <c r="U4" s="2">
        <v>1.5</v>
      </c>
      <c r="V4" s="3">
        <v>5</v>
      </c>
      <c r="W4" s="3">
        <v>5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3">
        <v>0</v>
      </c>
      <c r="AI4" s="3">
        <v>0</v>
      </c>
    </row>
    <row r="5" spans="1:35" x14ac:dyDescent="0.2">
      <c r="A5" s="1">
        <v>3</v>
      </c>
      <c r="B5" s="1" t="s">
        <v>7</v>
      </c>
      <c r="C5" s="1" t="s">
        <v>18</v>
      </c>
      <c r="D5" s="1">
        <v>9</v>
      </c>
      <c r="E5" s="1">
        <v>40</v>
      </c>
      <c r="F5" s="1"/>
      <c r="G5" s="12" t="s">
        <v>67</v>
      </c>
      <c r="H5" s="2">
        <v>5</v>
      </c>
      <c r="I5" s="2">
        <v>5</v>
      </c>
      <c r="J5" s="13">
        <v>0</v>
      </c>
      <c r="K5" s="13">
        <v>500</v>
      </c>
      <c r="L5" s="13">
        <v>0</v>
      </c>
      <c r="M5" s="2">
        <v>1</v>
      </c>
      <c r="N5" s="2">
        <v>0</v>
      </c>
      <c r="O5" s="2">
        <v>0</v>
      </c>
      <c r="P5" s="2">
        <v>1</v>
      </c>
      <c r="Q5" s="2">
        <v>1</v>
      </c>
      <c r="R5" s="2">
        <v>1.5</v>
      </c>
      <c r="S5" s="2">
        <v>1.5</v>
      </c>
      <c r="T5" s="2">
        <v>1.5</v>
      </c>
      <c r="U5" s="2">
        <v>1.5</v>
      </c>
      <c r="V5" s="3">
        <v>5</v>
      </c>
      <c r="W5" s="3">
        <v>5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</row>
    <row r="6" spans="1:35" x14ac:dyDescent="0.2">
      <c r="A6" s="1">
        <v>4</v>
      </c>
      <c r="B6" s="1" t="s">
        <v>9</v>
      </c>
      <c r="C6" s="1" t="s">
        <v>18</v>
      </c>
      <c r="D6" s="1">
        <v>14</v>
      </c>
      <c r="E6" s="1">
        <v>40</v>
      </c>
      <c r="F6" s="1"/>
      <c r="G6" s="11"/>
      <c r="H6" s="2">
        <v>5</v>
      </c>
      <c r="I6" s="2">
        <v>5</v>
      </c>
      <c r="J6" s="13">
        <f>($J$23-$J$22)/3</f>
        <v>24.933333333333337</v>
      </c>
      <c r="K6" s="13">
        <v>500</v>
      </c>
      <c r="L6" s="13">
        <v>0</v>
      </c>
      <c r="M6" s="2">
        <v>1</v>
      </c>
      <c r="N6" s="2">
        <v>0</v>
      </c>
      <c r="O6" s="2">
        <v>0</v>
      </c>
      <c r="P6" s="2">
        <v>1</v>
      </c>
      <c r="Q6" s="2">
        <v>1</v>
      </c>
      <c r="R6" s="2">
        <v>1.5</v>
      </c>
      <c r="S6" s="2">
        <v>1.5</v>
      </c>
      <c r="T6" s="2">
        <v>1.5</v>
      </c>
      <c r="U6" s="2">
        <v>1.5</v>
      </c>
      <c r="V6" s="3">
        <v>5</v>
      </c>
      <c r="W6" s="3">
        <v>5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</row>
    <row r="7" spans="1:35" x14ac:dyDescent="0.2">
      <c r="A7" s="1">
        <v>5</v>
      </c>
      <c r="B7" s="1" t="s">
        <v>8</v>
      </c>
      <c r="C7" s="1" t="s">
        <v>18</v>
      </c>
      <c r="D7" s="1">
        <v>8</v>
      </c>
      <c r="E7" s="1">
        <v>35</v>
      </c>
      <c r="F7" s="1"/>
      <c r="G7" s="11" t="s">
        <v>66</v>
      </c>
      <c r="H7" s="2">
        <v>5</v>
      </c>
      <c r="I7" s="2">
        <v>5</v>
      </c>
      <c r="J7" s="13">
        <v>143</v>
      </c>
      <c r="K7" s="13">
        <v>500</v>
      </c>
      <c r="L7" s="13">
        <v>0</v>
      </c>
      <c r="M7" s="2">
        <v>1</v>
      </c>
      <c r="N7" s="2">
        <v>0</v>
      </c>
      <c r="O7" s="2">
        <v>0</v>
      </c>
      <c r="P7" s="2">
        <v>1</v>
      </c>
      <c r="Q7" s="2">
        <v>1</v>
      </c>
      <c r="R7" s="2">
        <v>1.5</v>
      </c>
      <c r="S7" s="2">
        <v>1.5</v>
      </c>
      <c r="T7" s="2">
        <v>1.5</v>
      </c>
      <c r="U7" s="2">
        <v>1.5</v>
      </c>
      <c r="V7" s="3">
        <v>5</v>
      </c>
      <c r="W7" s="3">
        <v>5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</row>
    <row r="8" spans="1:35" x14ac:dyDescent="0.2">
      <c r="A8" s="1">
        <v>6</v>
      </c>
      <c r="B8" s="1" t="s">
        <v>10</v>
      </c>
      <c r="C8" s="1" t="s">
        <v>18</v>
      </c>
      <c r="D8" s="1">
        <v>6</v>
      </c>
      <c r="E8" s="1">
        <v>32</v>
      </c>
      <c r="F8" s="1"/>
      <c r="G8" s="11"/>
      <c r="H8" s="2">
        <v>5</v>
      </c>
      <c r="I8" s="2">
        <v>5</v>
      </c>
      <c r="J8" s="13">
        <v>84</v>
      </c>
      <c r="K8" s="13">
        <v>500</v>
      </c>
      <c r="L8" s="13">
        <v>0</v>
      </c>
      <c r="M8" s="2">
        <v>1</v>
      </c>
      <c r="N8" s="2">
        <v>0</v>
      </c>
      <c r="O8" s="2">
        <v>0</v>
      </c>
      <c r="P8" s="2">
        <v>1</v>
      </c>
      <c r="Q8" s="2">
        <v>1</v>
      </c>
      <c r="R8" s="2">
        <v>1.5</v>
      </c>
      <c r="S8" s="2">
        <v>1.5</v>
      </c>
      <c r="T8" s="2">
        <v>1.5</v>
      </c>
      <c r="U8" s="2">
        <v>1.5</v>
      </c>
      <c r="V8" s="3">
        <v>5</v>
      </c>
      <c r="W8" s="3">
        <v>5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</row>
    <row r="9" spans="1:35" x14ac:dyDescent="0.2">
      <c r="A9" s="1">
        <v>7</v>
      </c>
      <c r="B9" s="1" t="s">
        <v>11</v>
      </c>
      <c r="C9" s="1" t="s">
        <v>18</v>
      </c>
      <c r="D9" s="1">
        <v>4</v>
      </c>
      <c r="E9" s="1">
        <v>25</v>
      </c>
      <c r="F9" s="1"/>
      <c r="G9" s="11"/>
      <c r="H9" s="2">
        <v>5</v>
      </c>
      <c r="I9" s="2">
        <v>5</v>
      </c>
      <c r="J9" s="13">
        <f>($J$23-$J$22)/3</f>
        <v>24.933333333333337</v>
      </c>
      <c r="K9" s="13">
        <v>500</v>
      </c>
      <c r="L9" s="13">
        <v>0</v>
      </c>
      <c r="M9" s="2">
        <v>1</v>
      </c>
      <c r="N9" s="2">
        <v>0</v>
      </c>
      <c r="O9" s="2">
        <v>0</v>
      </c>
      <c r="P9" s="2">
        <v>1</v>
      </c>
      <c r="Q9" s="2">
        <v>1</v>
      </c>
      <c r="R9" s="2">
        <v>1.5</v>
      </c>
      <c r="S9" s="2">
        <v>1.5</v>
      </c>
      <c r="T9" s="2">
        <v>1.5</v>
      </c>
      <c r="U9" s="2">
        <v>1.5</v>
      </c>
      <c r="V9" s="3">
        <v>5</v>
      </c>
      <c r="W9" s="3">
        <v>5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</row>
    <row r="10" spans="1:35" x14ac:dyDescent="0.2">
      <c r="A10" s="1">
        <v>8</v>
      </c>
      <c r="B10" s="1" t="s">
        <v>12</v>
      </c>
      <c r="C10" s="1" t="s">
        <v>18</v>
      </c>
      <c r="D10" s="1">
        <v>12</v>
      </c>
      <c r="E10" s="1">
        <v>28</v>
      </c>
      <c r="F10" s="1"/>
      <c r="G10" t="s">
        <v>68</v>
      </c>
      <c r="H10" s="2">
        <v>5</v>
      </c>
      <c r="I10" s="2">
        <v>5</v>
      </c>
      <c r="J10" s="13">
        <v>21.2</v>
      </c>
      <c r="K10" s="13">
        <v>500</v>
      </c>
      <c r="L10" s="13">
        <v>0</v>
      </c>
      <c r="M10" s="2">
        <v>1</v>
      </c>
      <c r="N10" s="2">
        <v>0</v>
      </c>
      <c r="O10" s="2">
        <v>0</v>
      </c>
      <c r="P10" s="2">
        <v>1</v>
      </c>
      <c r="Q10" s="2">
        <v>1</v>
      </c>
      <c r="R10" s="2">
        <v>1.5</v>
      </c>
      <c r="S10" s="2">
        <v>1.5</v>
      </c>
      <c r="T10" s="2">
        <v>1.5</v>
      </c>
      <c r="U10" s="2">
        <v>1.5</v>
      </c>
      <c r="V10" s="3">
        <v>5</v>
      </c>
      <c r="W10" s="3">
        <v>5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</row>
    <row r="11" spans="1:35" x14ac:dyDescent="0.2">
      <c r="A11" s="1">
        <v>9</v>
      </c>
      <c r="B11" s="1" t="s">
        <v>13</v>
      </c>
      <c r="C11" s="1" t="s">
        <v>20</v>
      </c>
      <c r="D11" s="1">
        <v>2</v>
      </c>
      <c r="E11" s="1">
        <v>20</v>
      </c>
      <c r="F11" s="1"/>
      <c r="G11" s="11"/>
      <c r="H11" s="2">
        <v>5</v>
      </c>
      <c r="I11" s="2">
        <v>5</v>
      </c>
      <c r="J11" s="2">
        <v>0</v>
      </c>
      <c r="K11" s="2">
        <v>0</v>
      </c>
      <c r="L11" s="2">
        <v>500</v>
      </c>
      <c r="M11" s="2">
        <v>1</v>
      </c>
      <c r="N11" s="2">
        <v>0</v>
      </c>
      <c r="O11" s="2">
        <v>0</v>
      </c>
      <c r="P11" s="2">
        <v>1</v>
      </c>
      <c r="Q11" s="2">
        <v>1</v>
      </c>
      <c r="R11" s="2">
        <v>1.5</v>
      </c>
      <c r="S11" s="2">
        <v>1.5</v>
      </c>
      <c r="T11" s="2">
        <v>1.5</v>
      </c>
      <c r="U11" s="2">
        <v>1.5</v>
      </c>
      <c r="V11" s="3">
        <v>5</v>
      </c>
      <c r="W11" s="3">
        <v>5</v>
      </c>
      <c r="X11" s="3">
        <f t="shared" ref="X11:X20" si="0">J11</f>
        <v>0</v>
      </c>
      <c r="Y11" s="3">
        <f t="shared" ref="Y11:Y20" si="1">M11</f>
        <v>1</v>
      </c>
      <c r="Z11" s="3">
        <f t="shared" ref="Z11:Z20" si="2">N11</f>
        <v>0</v>
      </c>
      <c r="AA11" s="3">
        <f t="shared" ref="AA11:AA20" si="3">O11</f>
        <v>0</v>
      </c>
      <c r="AB11" s="3">
        <f t="shared" ref="AB11:AB20" si="4">P11</f>
        <v>1</v>
      </c>
      <c r="AC11" s="3">
        <f t="shared" ref="AC11:AC20" si="5">Q11</f>
        <v>1</v>
      </c>
      <c r="AD11" s="3">
        <v>0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</row>
    <row r="12" spans="1:35" x14ac:dyDescent="0.2">
      <c r="A12" s="1">
        <v>10</v>
      </c>
      <c r="B12" s="1" t="s">
        <v>14</v>
      </c>
      <c r="C12" s="1" t="s">
        <v>20</v>
      </c>
      <c r="D12" s="1">
        <v>5</v>
      </c>
      <c r="E12" s="1">
        <v>15</v>
      </c>
      <c r="F12" s="1"/>
      <c r="G12" s="11"/>
      <c r="H12" s="2">
        <v>5</v>
      </c>
      <c r="I12" s="2">
        <v>5</v>
      </c>
      <c r="J12" s="2">
        <v>0</v>
      </c>
      <c r="K12" s="2">
        <v>0</v>
      </c>
      <c r="L12" s="2">
        <v>500</v>
      </c>
      <c r="M12" s="2">
        <v>1</v>
      </c>
      <c r="N12" s="2">
        <v>0</v>
      </c>
      <c r="O12" s="2">
        <v>0</v>
      </c>
      <c r="P12" s="2">
        <v>1</v>
      </c>
      <c r="Q12" s="2">
        <v>1</v>
      </c>
      <c r="R12" s="2">
        <v>1.5</v>
      </c>
      <c r="S12" s="2">
        <v>1.5</v>
      </c>
      <c r="T12" s="2">
        <v>1.5</v>
      </c>
      <c r="U12" s="2">
        <v>1.5</v>
      </c>
      <c r="V12" s="3">
        <v>5</v>
      </c>
      <c r="W12" s="3">
        <v>5</v>
      </c>
      <c r="X12" s="3">
        <f t="shared" si="0"/>
        <v>0</v>
      </c>
      <c r="Y12" s="3">
        <f t="shared" si="1"/>
        <v>1</v>
      </c>
      <c r="Z12" s="3">
        <f t="shared" si="2"/>
        <v>0</v>
      </c>
      <c r="AA12" s="3">
        <f t="shared" si="3"/>
        <v>0</v>
      </c>
      <c r="AB12" s="3">
        <f t="shared" si="4"/>
        <v>1</v>
      </c>
      <c r="AC12" s="3">
        <f t="shared" si="5"/>
        <v>1</v>
      </c>
      <c r="AD12" s="3">
        <v>0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</row>
    <row r="13" spans="1:35" x14ac:dyDescent="0.2">
      <c r="A13" s="1">
        <v>11</v>
      </c>
      <c r="B13" s="1" t="s">
        <v>15</v>
      </c>
      <c r="C13" s="1" t="s">
        <v>20</v>
      </c>
      <c r="D13" s="1">
        <v>9</v>
      </c>
      <c r="E13" s="1">
        <v>10</v>
      </c>
      <c r="F13" s="1"/>
      <c r="G13" s="11"/>
      <c r="H13" s="2">
        <v>5</v>
      </c>
      <c r="I13" s="2">
        <v>5</v>
      </c>
      <c r="J13" s="2">
        <v>0</v>
      </c>
      <c r="K13" s="2">
        <v>0</v>
      </c>
      <c r="L13" s="2">
        <v>500</v>
      </c>
      <c r="M13" s="2">
        <v>1</v>
      </c>
      <c r="N13" s="2">
        <v>0</v>
      </c>
      <c r="O13" s="2">
        <v>0</v>
      </c>
      <c r="P13" s="2">
        <v>1</v>
      </c>
      <c r="Q13" s="2">
        <v>1</v>
      </c>
      <c r="R13" s="2">
        <v>1.5</v>
      </c>
      <c r="S13" s="2">
        <v>1.5</v>
      </c>
      <c r="T13" s="2">
        <v>1.5</v>
      </c>
      <c r="U13" s="2">
        <v>1.5</v>
      </c>
      <c r="V13" s="3">
        <v>5</v>
      </c>
      <c r="W13" s="3">
        <v>5</v>
      </c>
      <c r="X13" s="3">
        <f t="shared" si="0"/>
        <v>0</v>
      </c>
      <c r="Y13" s="3">
        <f t="shared" si="1"/>
        <v>1</v>
      </c>
      <c r="Z13" s="3">
        <f t="shared" si="2"/>
        <v>0</v>
      </c>
      <c r="AA13" s="3">
        <f t="shared" si="3"/>
        <v>0</v>
      </c>
      <c r="AB13" s="3">
        <f t="shared" si="4"/>
        <v>1</v>
      </c>
      <c r="AC13" s="3">
        <f t="shared" si="5"/>
        <v>1</v>
      </c>
      <c r="AD13" s="3">
        <v>0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</row>
    <row r="14" spans="1:35" x14ac:dyDescent="0.2">
      <c r="A14" s="1">
        <v>12</v>
      </c>
      <c r="B14" s="1" t="s">
        <v>16</v>
      </c>
      <c r="C14" s="1" t="s">
        <v>20</v>
      </c>
      <c r="D14" s="1">
        <v>15</v>
      </c>
      <c r="E14" s="1">
        <v>5</v>
      </c>
      <c r="F14" s="1"/>
      <c r="G14" s="11"/>
      <c r="H14" s="2">
        <v>5</v>
      </c>
      <c r="I14" s="2">
        <v>5</v>
      </c>
      <c r="J14" s="2">
        <v>0</v>
      </c>
      <c r="K14" s="2">
        <v>0</v>
      </c>
      <c r="L14" s="2">
        <v>500</v>
      </c>
      <c r="M14" s="2">
        <v>1</v>
      </c>
      <c r="N14" s="2">
        <v>0</v>
      </c>
      <c r="O14" s="2">
        <v>0</v>
      </c>
      <c r="P14" s="2">
        <v>1</v>
      </c>
      <c r="Q14" s="2">
        <v>1</v>
      </c>
      <c r="R14" s="2">
        <v>1.5</v>
      </c>
      <c r="S14" s="2">
        <v>1.5</v>
      </c>
      <c r="T14" s="2">
        <v>1.5</v>
      </c>
      <c r="U14" s="2">
        <v>1.5</v>
      </c>
      <c r="V14" s="3">
        <v>5</v>
      </c>
      <c r="W14" s="3">
        <v>5</v>
      </c>
      <c r="X14" s="3">
        <f t="shared" si="0"/>
        <v>0</v>
      </c>
      <c r="Y14" s="3">
        <f t="shared" si="1"/>
        <v>1</v>
      </c>
      <c r="Z14" s="3">
        <f t="shared" si="2"/>
        <v>0</v>
      </c>
      <c r="AA14" s="3">
        <f t="shared" si="3"/>
        <v>0</v>
      </c>
      <c r="AB14" s="3">
        <f t="shared" si="4"/>
        <v>1</v>
      </c>
      <c r="AC14" s="3">
        <f t="shared" si="5"/>
        <v>1</v>
      </c>
      <c r="AD14" s="3">
        <v>0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</row>
    <row r="15" spans="1:35" x14ac:dyDescent="0.2">
      <c r="A15" s="1">
        <v>13</v>
      </c>
      <c r="B15" s="1" t="s">
        <v>17</v>
      </c>
      <c r="C15" s="1" t="s">
        <v>19</v>
      </c>
      <c r="D15" s="1">
        <v>6</v>
      </c>
      <c r="E15" s="1">
        <v>37</v>
      </c>
      <c r="F15" s="1" t="s">
        <v>49</v>
      </c>
      <c r="G15" s="11"/>
      <c r="H15" s="2">
        <v>5</v>
      </c>
      <c r="I15" s="2">
        <v>5</v>
      </c>
      <c r="J15" s="2">
        <v>0</v>
      </c>
      <c r="K15" s="2">
        <v>0</v>
      </c>
      <c r="L15" s="2">
        <v>0</v>
      </c>
      <c r="M15" s="2">
        <v>1</v>
      </c>
      <c r="N15" s="2">
        <v>0</v>
      </c>
      <c r="O15" s="2">
        <v>0</v>
      </c>
      <c r="P15" s="2">
        <v>1</v>
      </c>
      <c r="Q15" s="2">
        <v>1</v>
      </c>
      <c r="R15" s="2">
        <v>1.5</v>
      </c>
      <c r="S15" s="2">
        <v>1.5</v>
      </c>
      <c r="T15" s="2">
        <v>1.5</v>
      </c>
      <c r="U15" s="2">
        <v>1.5</v>
      </c>
      <c r="V15" s="3">
        <v>5</v>
      </c>
      <c r="W15" s="3">
        <v>5</v>
      </c>
      <c r="X15" s="3">
        <f t="shared" si="0"/>
        <v>0</v>
      </c>
      <c r="Y15" s="3">
        <f t="shared" si="1"/>
        <v>1</v>
      </c>
      <c r="Z15" s="3">
        <f t="shared" si="2"/>
        <v>0</v>
      </c>
      <c r="AA15" s="3">
        <f t="shared" si="3"/>
        <v>0</v>
      </c>
      <c r="AB15" s="3">
        <f t="shared" si="4"/>
        <v>1</v>
      </c>
      <c r="AC15" s="3">
        <f t="shared" si="5"/>
        <v>1</v>
      </c>
      <c r="AD15" s="3">
        <v>0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</row>
    <row r="16" spans="1:35" x14ac:dyDescent="0.2">
      <c r="A16" s="1">
        <v>14</v>
      </c>
      <c r="B16" s="1" t="s">
        <v>43</v>
      </c>
      <c r="C16" s="1" t="s">
        <v>19</v>
      </c>
      <c r="D16" s="1">
        <v>11</v>
      </c>
      <c r="E16" s="1">
        <v>30</v>
      </c>
      <c r="F16" s="1" t="s">
        <v>40</v>
      </c>
      <c r="G16" s="11"/>
      <c r="H16" s="2">
        <v>5</v>
      </c>
      <c r="I16" s="2">
        <v>5</v>
      </c>
      <c r="J16" s="2">
        <v>0</v>
      </c>
      <c r="K16" s="2">
        <v>0</v>
      </c>
      <c r="L16" s="2">
        <v>0</v>
      </c>
      <c r="M16" s="2">
        <v>1</v>
      </c>
      <c r="N16" s="2">
        <v>0</v>
      </c>
      <c r="O16" s="2">
        <v>0</v>
      </c>
      <c r="P16" s="2">
        <v>1</v>
      </c>
      <c r="Q16" s="2">
        <v>1</v>
      </c>
      <c r="R16" s="2">
        <v>1.5</v>
      </c>
      <c r="S16" s="2">
        <v>1.5</v>
      </c>
      <c r="T16" s="2">
        <v>1.5</v>
      </c>
      <c r="U16" s="2">
        <v>1.5</v>
      </c>
      <c r="V16" s="3">
        <v>5</v>
      </c>
      <c r="W16" s="3">
        <v>5</v>
      </c>
      <c r="X16" s="3">
        <f t="shared" si="0"/>
        <v>0</v>
      </c>
      <c r="Y16" s="3">
        <f t="shared" si="1"/>
        <v>1</v>
      </c>
      <c r="Z16" s="3">
        <f t="shared" si="2"/>
        <v>0</v>
      </c>
      <c r="AA16" s="3">
        <f t="shared" si="3"/>
        <v>0</v>
      </c>
      <c r="AB16" s="3">
        <f t="shared" si="4"/>
        <v>1</v>
      </c>
      <c r="AC16" s="3">
        <f t="shared" si="5"/>
        <v>1</v>
      </c>
      <c r="AD16" s="3">
        <v>0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</row>
    <row r="17" spans="1:35" x14ac:dyDescent="0.2">
      <c r="A17" s="1">
        <v>15</v>
      </c>
      <c r="B17" s="1" t="s">
        <v>44</v>
      </c>
      <c r="C17" s="1" t="s">
        <v>19</v>
      </c>
      <c r="D17" s="1">
        <v>7</v>
      </c>
      <c r="E17" s="1">
        <v>25</v>
      </c>
      <c r="F17" s="1" t="s">
        <v>39</v>
      </c>
      <c r="G17" s="11"/>
      <c r="H17" s="2">
        <v>5</v>
      </c>
      <c r="I17" s="2">
        <v>5</v>
      </c>
      <c r="J17" s="2">
        <v>0</v>
      </c>
      <c r="K17" s="2">
        <v>0</v>
      </c>
      <c r="L17" s="2">
        <v>0</v>
      </c>
      <c r="M17" s="2">
        <v>1</v>
      </c>
      <c r="N17" s="2">
        <v>0</v>
      </c>
      <c r="O17" s="2">
        <v>0</v>
      </c>
      <c r="P17" s="2">
        <v>1</v>
      </c>
      <c r="Q17" s="2">
        <v>1</v>
      </c>
      <c r="R17" s="2">
        <v>1.5</v>
      </c>
      <c r="S17" s="2">
        <v>1.5</v>
      </c>
      <c r="T17" s="2">
        <v>1.5</v>
      </c>
      <c r="U17" s="2">
        <v>1.5</v>
      </c>
      <c r="V17" s="3">
        <v>5</v>
      </c>
      <c r="W17" s="3">
        <v>5</v>
      </c>
      <c r="X17" s="3">
        <f t="shared" si="0"/>
        <v>0</v>
      </c>
      <c r="Y17" s="3">
        <f t="shared" si="1"/>
        <v>1</v>
      </c>
      <c r="Z17" s="3">
        <f t="shared" si="2"/>
        <v>0</v>
      </c>
      <c r="AA17" s="3">
        <f t="shared" si="3"/>
        <v>0</v>
      </c>
      <c r="AB17" s="3">
        <f t="shared" si="4"/>
        <v>1</v>
      </c>
      <c r="AC17" s="3">
        <f t="shared" si="5"/>
        <v>1</v>
      </c>
      <c r="AD17" s="3">
        <v>0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</row>
    <row r="18" spans="1:35" x14ac:dyDescent="0.2">
      <c r="A18" s="1">
        <v>16</v>
      </c>
      <c r="B18" s="1" t="s">
        <v>45</v>
      </c>
      <c r="C18" s="1" t="s">
        <v>19</v>
      </c>
      <c r="D18" s="1">
        <v>12</v>
      </c>
      <c r="E18" s="1">
        <v>22</v>
      </c>
      <c r="F18" s="1" t="s">
        <v>41</v>
      </c>
      <c r="G18" s="11"/>
      <c r="H18" s="2">
        <v>5</v>
      </c>
      <c r="I18" s="2">
        <v>5</v>
      </c>
      <c r="J18" s="2">
        <v>0</v>
      </c>
      <c r="K18" s="2">
        <v>0</v>
      </c>
      <c r="L18" s="2">
        <v>0</v>
      </c>
      <c r="M18" s="2">
        <v>1</v>
      </c>
      <c r="N18" s="2">
        <v>0</v>
      </c>
      <c r="O18" s="2">
        <v>0</v>
      </c>
      <c r="P18" s="2">
        <v>1</v>
      </c>
      <c r="Q18" s="2">
        <v>1</v>
      </c>
      <c r="R18" s="2">
        <v>1.5</v>
      </c>
      <c r="S18" s="2">
        <v>1.5</v>
      </c>
      <c r="T18" s="2">
        <v>1.5</v>
      </c>
      <c r="U18" s="2">
        <v>1.5</v>
      </c>
      <c r="V18" s="3">
        <v>5</v>
      </c>
      <c r="W18" s="3">
        <v>5</v>
      </c>
      <c r="X18" s="3">
        <f t="shared" si="0"/>
        <v>0</v>
      </c>
      <c r="Y18" s="3">
        <f t="shared" si="1"/>
        <v>1</v>
      </c>
      <c r="Z18" s="3">
        <f t="shared" si="2"/>
        <v>0</v>
      </c>
      <c r="AA18" s="3">
        <f t="shared" si="3"/>
        <v>0</v>
      </c>
      <c r="AB18" s="3">
        <f t="shared" si="4"/>
        <v>1</v>
      </c>
      <c r="AC18" s="3">
        <f t="shared" si="5"/>
        <v>1</v>
      </c>
      <c r="AD18" s="3">
        <v>0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</row>
    <row r="19" spans="1:35" x14ac:dyDescent="0.2">
      <c r="A19" s="1">
        <v>17</v>
      </c>
      <c r="B19" s="1" t="s">
        <v>46</v>
      </c>
      <c r="C19" s="1" t="s">
        <v>19</v>
      </c>
      <c r="D19" s="1">
        <v>14</v>
      </c>
      <c r="E19" s="1">
        <v>16</v>
      </c>
      <c r="F19" s="1" t="s">
        <v>42</v>
      </c>
      <c r="G19" s="11"/>
      <c r="H19" s="2">
        <v>5</v>
      </c>
      <c r="I19" s="2">
        <v>5</v>
      </c>
      <c r="J19" s="2">
        <v>0</v>
      </c>
      <c r="K19" s="2">
        <v>0</v>
      </c>
      <c r="L19" s="2">
        <v>0</v>
      </c>
      <c r="M19" s="2">
        <v>1</v>
      </c>
      <c r="N19" s="2">
        <v>0</v>
      </c>
      <c r="O19" s="2">
        <v>0</v>
      </c>
      <c r="P19" s="2">
        <v>1</v>
      </c>
      <c r="Q19" s="2">
        <v>1</v>
      </c>
      <c r="R19" s="2">
        <v>1.5</v>
      </c>
      <c r="S19" s="2">
        <v>1.5</v>
      </c>
      <c r="T19" s="2">
        <v>1.5</v>
      </c>
      <c r="U19" s="2">
        <v>1.5</v>
      </c>
      <c r="V19" s="3">
        <v>5</v>
      </c>
      <c r="W19" s="3">
        <v>5</v>
      </c>
      <c r="X19" s="3">
        <f t="shared" si="0"/>
        <v>0</v>
      </c>
      <c r="Y19" s="3">
        <f t="shared" si="1"/>
        <v>1</v>
      </c>
      <c r="Z19" s="3">
        <f t="shared" si="2"/>
        <v>0</v>
      </c>
      <c r="AA19" s="3">
        <f t="shared" si="3"/>
        <v>0</v>
      </c>
      <c r="AB19" s="3">
        <f t="shared" si="4"/>
        <v>1</v>
      </c>
      <c r="AC19" s="3">
        <f t="shared" si="5"/>
        <v>1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</row>
    <row r="20" spans="1:35" x14ac:dyDescent="0.2">
      <c r="A20" s="1">
        <v>18</v>
      </c>
      <c r="B20" s="1" t="s">
        <v>115</v>
      </c>
      <c r="C20" s="1" t="s">
        <v>19</v>
      </c>
      <c r="D20" s="1">
        <v>15</v>
      </c>
      <c r="E20" s="1">
        <v>25</v>
      </c>
      <c r="F20" s="1"/>
      <c r="G20" s="11"/>
      <c r="H20" s="2">
        <v>5</v>
      </c>
      <c r="I20" s="2">
        <v>5</v>
      </c>
      <c r="J20" s="2">
        <v>0</v>
      </c>
      <c r="K20" s="2">
        <v>0</v>
      </c>
      <c r="L20" s="2">
        <v>0</v>
      </c>
      <c r="M20" s="2">
        <v>1</v>
      </c>
      <c r="N20" s="2">
        <v>0</v>
      </c>
      <c r="O20" s="2">
        <v>0</v>
      </c>
      <c r="P20" s="2">
        <v>1</v>
      </c>
      <c r="Q20" s="2">
        <v>1</v>
      </c>
      <c r="R20" s="2">
        <v>1.5</v>
      </c>
      <c r="S20" s="2">
        <v>1.5</v>
      </c>
      <c r="T20" s="2">
        <v>1.5</v>
      </c>
      <c r="U20" s="2">
        <v>1.5</v>
      </c>
      <c r="V20" s="3">
        <v>5</v>
      </c>
      <c r="W20" s="3">
        <v>5</v>
      </c>
      <c r="X20" s="3">
        <f t="shared" si="0"/>
        <v>0</v>
      </c>
      <c r="Y20" s="3">
        <f t="shared" si="1"/>
        <v>1</v>
      </c>
      <c r="Z20" s="3">
        <f t="shared" si="2"/>
        <v>0</v>
      </c>
      <c r="AA20" s="3">
        <f t="shared" si="3"/>
        <v>0</v>
      </c>
      <c r="AB20" s="3">
        <f t="shared" si="4"/>
        <v>1</v>
      </c>
      <c r="AC20" s="3">
        <f t="shared" si="5"/>
        <v>1</v>
      </c>
      <c r="AD20" s="3">
        <v>0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</row>
    <row r="22" spans="1:35" x14ac:dyDescent="0.2">
      <c r="G22" t="s">
        <v>71</v>
      </c>
      <c r="J22">
        <f>SUM(J10+J8+J7+J5+J4)</f>
        <v>275.2</v>
      </c>
    </row>
    <row r="23" spans="1:35" x14ac:dyDescent="0.2">
      <c r="G23" t="s">
        <v>70</v>
      </c>
      <c r="J23">
        <v>350</v>
      </c>
    </row>
  </sheetData>
  <mergeCells count="2">
    <mergeCell ref="H1:U1"/>
    <mergeCell ref="V1:AI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92E87-5CF7-794D-A1AA-7C1926221C7B}">
  <dimension ref="A1:I30"/>
  <sheetViews>
    <sheetView zoomScale="125" zoomScaleNormal="200" workbookViewId="0">
      <selection activeCell="B2" sqref="B2:I2"/>
    </sheetView>
  </sheetViews>
  <sheetFormatPr baseColWidth="10" defaultRowHeight="16" x14ac:dyDescent="0.2"/>
  <cols>
    <col min="1" max="1" width="15.33203125" bestFit="1" customWidth="1"/>
    <col min="2" max="2" width="11.33203125" bestFit="1" customWidth="1"/>
    <col min="3" max="3" width="16" bestFit="1" customWidth="1"/>
  </cols>
  <sheetData>
    <row r="1" spans="1:9" x14ac:dyDescent="0.2">
      <c r="A1" s="4" t="s">
        <v>79</v>
      </c>
      <c r="B1" s="23">
        <f>Parameters!B5+1</f>
        <v>2</v>
      </c>
      <c r="C1" s="23"/>
      <c r="D1" s="23"/>
      <c r="E1" s="23"/>
      <c r="F1" s="23"/>
      <c r="G1" s="23"/>
      <c r="H1" s="23"/>
      <c r="I1" s="23"/>
    </row>
    <row r="2" spans="1:9" x14ac:dyDescent="0.2">
      <c r="A2" s="4" t="s">
        <v>72</v>
      </c>
      <c r="B2" s="23">
        <v>1</v>
      </c>
      <c r="C2" s="23"/>
      <c r="D2" s="23"/>
      <c r="E2" s="23"/>
      <c r="F2" s="23"/>
      <c r="G2" s="23"/>
      <c r="H2" s="23"/>
      <c r="I2" s="23"/>
    </row>
    <row r="3" spans="1:9" x14ac:dyDescent="0.2">
      <c r="A3" s="4"/>
      <c r="B3" s="21" t="s">
        <v>73</v>
      </c>
      <c r="C3" s="21"/>
      <c r="D3" s="21"/>
      <c r="E3" s="21"/>
      <c r="F3" s="22" t="s">
        <v>74</v>
      </c>
      <c r="G3" s="22"/>
      <c r="H3" s="22"/>
      <c r="I3" s="22"/>
    </row>
    <row r="4" spans="1:9" x14ac:dyDescent="0.2">
      <c r="A4" s="4" t="s">
        <v>54</v>
      </c>
      <c r="B4" s="5" t="str">
        <f>Nodes!B11</f>
        <v>NBP</v>
      </c>
      <c r="C4" s="5" t="str">
        <f>Nodes!B12</f>
        <v>Zeebrugge</v>
      </c>
      <c r="D4" s="5" t="str">
        <f>Nodes!B13</f>
        <v>Dunkerque</v>
      </c>
      <c r="E4" s="5" t="str">
        <f>Nodes!B14</f>
        <v>Germany</v>
      </c>
      <c r="F4" s="6" t="str">
        <f>B4</f>
        <v>NBP</v>
      </c>
      <c r="G4" s="6" t="str">
        <f t="shared" ref="G4:I4" si="0">C4</f>
        <v>Zeebrugge</v>
      </c>
      <c r="H4" s="6" t="str">
        <f t="shared" si="0"/>
        <v>Dunkerque</v>
      </c>
      <c r="I4" s="6" t="str">
        <f t="shared" si="0"/>
        <v>Germany</v>
      </c>
    </row>
    <row r="5" spans="1:9" x14ac:dyDescent="0.2">
      <c r="A5" s="1">
        <v>0</v>
      </c>
      <c r="B5" s="2">
        <v>2.2000000000000002</v>
      </c>
      <c r="C5" s="2">
        <v>44.6</v>
      </c>
      <c r="D5" s="2">
        <v>47.5</v>
      </c>
      <c r="E5" s="2">
        <v>83.5</v>
      </c>
      <c r="F5" s="3">
        <v>0</v>
      </c>
      <c r="G5" s="3">
        <v>0</v>
      </c>
      <c r="H5" s="3">
        <v>0</v>
      </c>
      <c r="I5" s="3">
        <v>0</v>
      </c>
    </row>
    <row r="6" spans="1:9" x14ac:dyDescent="0.2">
      <c r="A6" s="1">
        <v>1</v>
      </c>
      <c r="B6" s="2"/>
      <c r="C6" s="2"/>
      <c r="D6" s="2"/>
      <c r="E6" s="2"/>
      <c r="F6" s="3"/>
      <c r="G6" s="3"/>
      <c r="H6" s="3"/>
      <c r="I6" s="3"/>
    </row>
    <row r="7" spans="1:9" x14ac:dyDescent="0.2">
      <c r="A7" s="1">
        <v>2</v>
      </c>
      <c r="B7" s="2"/>
      <c r="C7" s="2"/>
      <c r="D7" s="2"/>
      <c r="E7" s="2"/>
      <c r="F7" s="3"/>
      <c r="G7" s="3"/>
      <c r="H7" s="3"/>
      <c r="I7" s="3"/>
    </row>
    <row r="8" spans="1:9" x14ac:dyDescent="0.2">
      <c r="A8" s="1">
        <v>3</v>
      </c>
      <c r="B8" s="2"/>
      <c r="C8" s="2"/>
      <c r="D8" s="2"/>
      <c r="E8" s="2"/>
      <c r="F8" s="3"/>
      <c r="G8" s="3"/>
      <c r="H8" s="3"/>
      <c r="I8" s="3"/>
    </row>
    <row r="9" spans="1:9" x14ac:dyDescent="0.2">
      <c r="A9" s="1">
        <v>4</v>
      </c>
      <c r="B9" s="2"/>
      <c r="C9" s="2"/>
      <c r="D9" s="2"/>
      <c r="E9" s="2"/>
      <c r="F9" s="3"/>
      <c r="G9" s="3"/>
      <c r="H9" s="3"/>
      <c r="I9" s="3"/>
    </row>
    <row r="10" spans="1:9" x14ac:dyDescent="0.2">
      <c r="A10" s="1">
        <v>5</v>
      </c>
      <c r="B10" s="2"/>
      <c r="C10" s="2"/>
      <c r="D10" s="2"/>
      <c r="E10" s="2"/>
      <c r="F10" s="3"/>
      <c r="G10" s="3"/>
      <c r="H10" s="3"/>
      <c r="I10" s="3"/>
    </row>
    <row r="11" spans="1:9" x14ac:dyDescent="0.2">
      <c r="A11" s="1">
        <v>6</v>
      </c>
      <c r="B11" s="2"/>
      <c r="C11" s="2"/>
      <c r="D11" s="2"/>
      <c r="E11" s="2"/>
      <c r="F11" s="3"/>
      <c r="G11" s="3"/>
      <c r="H11" s="3"/>
      <c r="I11" s="3"/>
    </row>
    <row r="12" spans="1:9" x14ac:dyDescent="0.2">
      <c r="A12" s="1">
        <v>7</v>
      </c>
      <c r="B12" s="2"/>
      <c r="C12" s="2"/>
      <c r="D12" s="2"/>
      <c r="E12" s="2"/>
      <c r="F12" s="3"/>
      <c r="G12" s="3"/>
      <c r="H12" s="3"/>
      <c r="I12" s="3"/>
    </row>
    <row r="13" spans="1:9" x14ac:dyDescent="0.2">
      <c r="A13" s="1">
        <v>8</v>
      </c>
      <c r="B13" s="2"/>
      <c r="C13" s="2"/>
      <c r="D13" s="2"/>
      <c r="E13" s="2"/>
      <c r="F13" s="3"/>
      <c r="G13" s="3"/>
      <c r="H13" s="3"/>
      <c r="I13" s="3"/>
    </row>
    <row r="14" spans="1:9" x14ac:dyDescent="0.2">
      <c r="A14" s="1">
        <v>9</v>
      </c>
      <c r="B14" s="2"/>
      <c r="C14" s="2"/>
      <c r="D14" s="2"/>
      <c r="E14" s="2"/>
      <c r="F14" s="3"/>
      <c r="G14" s="3"/>
      <c r="H14" s="3"/>
      <c r="I14" s="3"/>
    </row>
    <row r="15" spans="1:9" x14ac:dyDescent="0.2">
      <c r="A15" s="1">
        <v>10</v>
      </c>
      <c r="B15" s="2"/>
      <c r="C15" s="2"/>
      <c r="D15" s="2"/>
      <c r="E15" s="2"/>
      <c r="F15" s="3"/>
      <c r="G15" s="3"/>
      <c r="H15" s="3"/>
      <c r="I15" s="3"/>
    </row>
    <row r="16" spans="1:9" x14ac:dyDescent="0.2">
      <c r="A16" s="1">
        <v>11</v>
      </c>
      <c r="B16" s="2"/>
      <c r="C16" s="2"/>
      <c r="D16" s="2"/>
      <c r="E16" s="2"/>
      <c r="F16" s="3"/>
      <c r="G16" s="3"/>
      <c r="H16" s="3"/>
      <c r="I16" s="3"/>
    </row>
    <row r="17" spans="1:9" x14ac:dyDescent="0.2">
      <c r="A17" s="1">
        <v>12</v>
      </c>
      <c r="B17" s="2"/>
      <c r="C17" s="2"/>
      <c r="D17" s="2"/>
      <c r="E17" s="2"/>
      <c r="F17" s="3"/>
      <c r="G17" s="3"/>
      <c r="H17" s="3"/>
      <c r="I17" s="3"/>
    </row>
    <row r="18" spans="1:9" x14ac:dyDescent="0.2">
      <c r="A18" s="1">
        <v>13</v>
      </c>
      <c r="B18" s="2"/>
      <c r="C18" s="2"/>
      <c r="D18" s="2"/>
      <c r="E18" s="2"/>
      <c r="F18" s="3"/>
      <c r="G18" s="3"/>
      <c r="H18" s="3"/>
      <c r="I18" s="3"/>
    </row>
    <row r="19" spans="1:9" x14ac:dyDescent="0.2">
      <c r="A19" s="1">
        <v>14</v>
      </c>
      <c r="B19" s="2"/>
      <c r="C19" s="2"/>
      <c r="D19" s="2"/>
      <c r="E19" s="2"/>
      <c r="F19" s="3"/>
      <c r="G19" s="3"/>
      <c r="H19" s="3"/>
      <c r="I19" s="3"/>
    </row>
    <row r="20" spans="1:9" x14ac:dyDescent="0.2">
      <c r="A20" s="1">
        <v>15</v>
      </c>
      <c r="B20" s="2"/>
      <c r="C20" s="2"/>
      <c r="D20" s="2"/>
      <c r="E20" s="2"/>
      <c r="F20" s="3"/>
      <c r="G20" s="3"/>
      <c r="H20" s="3"/>
      <c r="I20" s="3"/>
    </row>
    <row r="21" spans="1:9" x14ac:dyDescent="0.2">
      <c r="A21" s="1">
        <v>16</v>
      </c>
      <c r="B21" s="2"/>
      <c r="C21" s="2"/>
      <c r="D21" s="2"/>
      <c r="E21" s="2"/>
      <c r="F21" s="3"/>
      <c r="G21" s="3"/>
      <c r="H21" s="3"/>
      <c r="I21" s="3"/>
    </row>
    <row r="22" spans="1:9" x14ac:dyDescent="0.2">
      <c r="A22" s="1">
        <v>17</v>
      </c>
      <c r="B22" s="2"/>
      <c r="C22" s="2"/>
      <c r="D22" s="2"/>
      <c r="E22" s="2"/>
      <c r="F22" s="3"/>
      <c r="G22" s="3"/>
      <c r="H22" s="3"/>
      <c r="I22" s="3"/>
    </row>
    <row r="23" spans="1:9" x14ac:dyDescent="0.2">
      <c r="A23" s="1">
        <v>18</v>
      </c>
      <c r="B23" s="2"/>
      <c r="C23" s="2"/>
      <c r="D23" s="2"/>
      <c r="E23" s="2"/>
      <c r="F23" s="3"/>
      <c r="G23" s="3"/>
      <c r="H23" s="3"/>
      <c r="I23" s="3"/>
    </row>
    <row r="24" spans="1:9" x14ac:dyDescent="0.2">
      <c r="A24" s="1">
        <v>19</v>
      </c>
      <c r="B24" s="2"/>
      <c r="C24" s="2"/>
      <c r="D24" s="2"/>
      <c r="E24" s="2"/>
      <c r="F24" s="3"/>
      <c r="G24" s="3"/>
      <c r="H24" s="3"/>
      <c r="I24" s="3"/>
    </row>
    <row r="25" spans="1:9" x14ac:dyDescent="0.2">
      <c r="A25" s="1">
        <v>20</v>
      </c>
      <c r="B25" s="2"/>
      <c r="C25" s="2"/>
      <c r="D25" s="2"/>
      <c r="E25" s="2"/>
      <c r="F25" s="3"/>
      <c r="G25" s="3"/>
      <c r="H25" s="3"/>
      <c r="I25" s="3"/>
    </row>
    <row r="26" spans="1:9" x14ac:dyDescent="0.2">
      <c r="A26" s="1">
        <v>21</v>
      </c>
      <c r="B26" s="2"/>
      <c r="C26" s="2"/>
      <c r="D26" s="2"/>
      <c r="E26" s="2"/>
      <c r="F26" s="3"/>
      <c r="G26" s="3"/>
      <c r="H26" s="3"/>
      <c r="I26" s="3"/>
    </row>
    <row r="27" spans="1:9" x14ac:dyDescent="0.2">
      <c r="A27" s="1">
        <v>22</v>
      </c>
      <c r="B27" s="2"/>
      <c r="C27" s="2"/>
      <c r="D27" s="2"/>
      <c r="E27" s="2"/>
      <c r="F27" s="3"/>
      <c r="G27" s="3"/>
      <c r="H27" s="3"/>
      <c r="I27" s="3"/>
    </row>
    <row r="28" spans="1:9" x14ac:dyDescent="0.2">
      <c r="A28" s="1">
        <v>23</v>
      </c>
      <c r="B28" s="2"/>
      <c r="C28" s="2"/>
      <c r="D28" s="2"/>
      <c r="E28" s="2"/>
      <c r="F28" s="3"/>
      <c r="G28" s="3"/>
      <c r="H28" s="3"/>
      <c r="I28" s="3"/>
    </row>
    <row r="30" spans="1:9" x14ac:dyDescent="0.2">
      <c r="B30">
        <f>SUM(B5:E5)</f>
        <v>177.8</v>
      </c>
    </row>
  </sheetData>
  <mergeCells count="4">
    <mergeCell ref="B3:E3"/>
    <mergeCell ref="F3:I3"/>
    <mergeCell ref="B1:I1"/>
    <mergeCell ref="B2:I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506CF-850A-ED42-956F-025E5A994524}">
  <dimension ref="A1:Q31"/>
  <sheetViews>
    <sheetView tabSelected="1" zoomScale="113" zoomScaleNormal="150" workbookViewId="0">
      <selection activeCell="R3" sqref="R3"/>
    </sheetView>
  </sheetViews>
  <sheetFormatPr baseColWidth="10" defaultRowHeight="16" x14ac:dyDescent="0.2"/>
  <cols>
    <col min="1" max="1" width="19" bestFit="1" customWidth="1"/>
    <col min="2" max="2" width="11.33203125" bestFit="1" customWidth="1"/>
    <col min="3" max="3" width="16" bestFit="1" customWidth="1"/>
  </cols>
  <sheetData>
    <row r="1" spans="1:17" x14ac:dyDescent="0.2">
      <c r="A1" s="4" t="s">
        <v>79</v>
      </c>
      <c r="B1" s="23">
        <f>Parameters!B5*(1+Parameters!B6)+1</f>
        <v>3</v>
      </c>
      <c r="C1" s="23"/>
      <c r="D1" s="23"/>
      <c r="E1" s="23"/>
      <c r="F1" s="23"/>
      <c r="G1" s="23"/>
      <c r="H1" s="23"/>
      <c r="I1" s="23"/>
      <c r="J1" s="23">
        <f>B1+Parameters!B5+1</f>
        <v>5</v>
      </c>
      <c r="K1" s="23"/>
      <c r="L1" s="23"/>
      <c r="M1" s="23"/>
      <c r="N1" s="23"/>
      <c r="O1" s="23"/>
      <c r="P1" s="23"/>
      <c r="Q1" s="23"/>
    </row>
    <row r="2" spans="1:17" x14ac:dyDescent="0.2">
      <c r="A2" s="4" t="s">
        <v>72</v>
      </c>
      <c r="B2" s="23">
        <v>0.5</v>
      </c>
      <c r="C2" s="23"/>
      <c r="D2" s="23"/>
      <c r="E2" s="23"/>
      <c r="F2" s="23"/>
      <c r="G2" s="23"/>
      <c r="H2" s="23"/>
      <c r="I2" s="23"/>
      <c r="J2" s="23">
        <v>0.5</v>
      </c>
      <c r="K2" s="23"/>
      <c r="L2" s="23"/>
      <c r="M2" s="23"/>
      <c r="N2" s="23"/>
      <c r="O2" s="23"/>
      <c r="P2" s="23"/>
      <c r="Q2" s="23"/>
    </row>
    <row r="3" spans="1:17" x14ac:dyDescent="0.2">
      <c r="A3" s="4" t="s">
        <v>80</v>
      </c>
      <c r="B3" s="24">
        <v>2</v>
      </c>
      <c r="C3" s="25"/>
      <c r="D3" s="25"/>
      <c r="E3" s="25"/>
      <c r="F3" s="25"/>
      <c r="G3" s="25"/>
      <c r="H3" s="25"/>
      <c r="I3" s="26"/>
      <c r="J3" s="24">
        <v>2</v>
      </c>
      <c r="K3" s="25"/>
      <c r="L3" s="25"/>
      <c r="M3" s="25"/>
      <c r="N3" s="25"/>
      <c r="O3" s="25"/>
      <c r="P3" s="25"/>
      <c r="Q3" s="26"/>
    </row>
    <row r="4" spans="1:17" x14ac:dyDescent="0.2">
      <c r="A4" s="4"/>
      <c r="B4" s="21" t="s">
        <v>73</v>
      </c>
      <c r="C4" s="21"/>
      <c r="D4" s="21"/>
      <c r="E4" s="21"/>
      <c r="F4" s="22" t="s">
        <v>74</v>
      </c>
      <c r="G4" s="22"/>
      <c r="H4" s="22"/>
      <c r="I4" s="22"/>
      <c r="J4" s="21" t="str">
        <f>B4</f>
        <v>gas or mix</v>
      </c>
      <c r="K4" s="21"/>
      <c r="L4" s="21"/>
      <c r="M4" s="21"/>
      <c r="N4" s="22" t="str">
        <f>F4</f>
        <v>pure hydrogen</v>
      </c>
      <c r="O4" s="22"/>
      <c r="P4" s="22"/>
      <c r="Q4" s="22"/>
    </row>
    <row r="5" spans="1:17" x14ac:dyDescent="0.2">
      <c r="A5" s="4" t="s">
        <v>54</v>
      </c>
      <c r="B5" s="5" t="str">
        <f>Nodes!B11</f>
        <v>NBP</v>
      </c>
      <c r="C5" s="5" t="str">
        <f>Nodes!B12</f>
        <v>Zeebrugge</v>
      </c>
      <c r="D5" s="5" t="str">
        <f>Nodes!B13</f>
        <v>Dunkerque</v>
      </c>
      <c r="E5" s="5" t="str">
        <f>Nodes!B14</f>
        <v>Germany</v>
      </c>
      <c r="F5" s="6" t="str">
        <f>B5</f>
        <v>NBP</v>
      </c>
      <c r="G5" s="6" t="str">
        <f t="shared" ref="G5:I5" si="0">C5</f>
        <v>Zeebrugge</v>
      </c>
      <c r="H5" s="6" t="str">
        <f t="shared" si="0"/>
        <v>Dunkerque</v>
      </c>
      <c r="I5" s="6" t="str">
        <f t="shared" si="0"/>
        <v>Germany</v>
      </c>
      <c r="J5" s="5" t="str">
        <f>B5</f>
        <v>NBP</v>
      </c>
      <c r="K5" s="5" t="str">
        <f t="shared" ref="K5:M5" si="1">C5</f>
        <v>Zeebrugge</v>
      </c>
      <c r="L5" s="5" t="str">
        <f t="shared" si="1"/>
        <v>Dunkerque</v>
      </c>
      <c r="M5" s="5" t="str">
        <f t="shared" si="1"/>
        <v>Germany</v>
      </c>
      <c r="N5" s="6" t="str">
        <f>J5</f>
        <v>NBP</v>
      </c>
      <c r="O5" s="6" t="str">
        <f t="shared" ref="O5:Q5" si="2">K5</f>
        <v>Zeebrugge</v>
      </c>
      <c r="P5" s="6" t="str">
        <f t="shared" si="2"/>
        <v>Dunkerque</v>
      </c>
      <c r="Q5" s="6" t="str">
        <f t="shared" si="2"/>
        <v>Germany</v>
      </c>
    </row>
    <row r="6" spans="1:17" x14ac:dyDescent="0.2">
      <c r="A6" s="1">
        <v>0</v>
      </c>
      <c r="B6" s="2">
        <v>2.2000000000000002</v>
      </c>
      <c r="C6" s="2">
        <v>44.6</v>
      </c>
      <c r="D6" s="2">
        <v>47.5</v>
      </c>
      <c r="E6" s="2">
        <v>83.5</v>
      </c>
      <c r="F6" s="3">
        <v>0</v>
      </c>
      <c r="G6" s="3">
        <v>0</v>
      </c>
      <c r="H6" s="3">
        <v>0</v>
      </c>
      <c r="I6" s="3">
        <v>0</v>
      </c>
      <c r="J6" s="2">
        <f>B6-1</f>
        <v>1.2000000000000002</v>
      </c>
      <c r="K6" s="2">
        <f t="shared" ref="K6:M6" si="3">C6-1</f>
        <v>43.6</v>
      </c>
      <c r="L6" s="2">
        <f t="shared" si="3"/>
        <v>46.5</v>
      </c>
      <c r="M6" s="2">
        <f t="shared" si="3"/>
        <v>82.5</v>
      </c>
      <c r="N6" s="3">
        <f>F6</f>
        <v>0</v>
      </c>
      <c r="O6" s="3">
        <f t="shared" ref="O6:Q6" si="4">G6</f>
        <v>0</v>
      </c>
      <c r="P6" s="3">
        <f t="shared" si="4"/>
        <v>0</v>
      </c>
      <c r="Q6" s="3">
        <f t="shared" si="4"/>
        <v>0</v>
      </c>
    </row>
    <row r="7" spans="1:17" x14ac:dyDescent="0.2">
      <c r="A7" s="1">
        <v>1</v>
      </c>
      <c r="B7" s="2"/>
      <c r="C7" s="2"/>
      <c r="D7" s="2"/>
      <c r="E7" s="2"/>
      <c r="F7" s="3"/>
      <c r="G7" s="3"/>
      <c r="H7" s="3"/>
      <c r="I7" s="3"/>
      <c r="J7" s="2"/>
      <c r="K7" s="2"/>
      <c r="L7" s="2"/>
      <c r="M7" s="2"/>
      <c r="N7" s="3"/>
      <c r="O7" s="3"/>
      <c r="P7" s="3"/>
      <c r="Q7" s="3"/>
    </row>
    <row r="8" spans="1:17" x14ac:dyDescent="0.2">
      <c r="A8" s="1">
        <v>2</v>
      </c>
      <c r="B8" s="2"/>
      <c r="C8" s="2"/>
      <c r="D8" s="2"/>
      <c r="E8" s="2"/>
      <c r="F8" s="3"/>
      <c r="G8" s="3"/>
      <c r="H8" s="3"/>
      <c r="I8" s="3"/>
      <c r="J8" s="2"/>
      <c r="K8" s="2"/>
      <c r="L8" s="2"/>
      <c r="M8" s="2"/>
      <c r="N8" s="3"/>
      <c r="O8" s="3"/>
      <c r="P8" s="3"/>
      <c r="Q8" s="3"/>
    </row>
    <row r="9" spans="1:17" x14ac:dyDescent="0.2">
      <c r="A9" s="1">
        <v>3</v>
      </c>
      <c r="B9" s="2"/>
      <c r="C9" s="2"/>
      <c r="D9" s="2"/>
      <c r="E9" s="2"/>
      <c r="F9" s="3"/>
      <c r="G9" s="3"/>
      <c r="H9" s="3"/>
      <c r="I9" s="3"/>
      <c r="J9" s="2"/>
      <c r="K9" s="2"/>
      <c r="L9" s="2"/>
      <c r="M9" s="2"/>
      <c r="N9" s="3"/>
      <c r="O9" s="3"/>
      <c r="P9" s="3"/>
      <c r="Q9" s="3"/>
    </row>
    <row r="10" spans="1:17" x14ac:dyDescent="0.2">
      <c r="A10" s="1">
        <v>4</v>
      </c>
      <c r="B10" s="2"/>
      <c r="C10" s="2"/>
      <c r="D10" s="2"/>
      <c r="E10" s="2"/>
      <c r="F10" s="3"/>
      <c r="G10" s="3"/>
      <c r="H10" s="3"/>
      <c r="I10" s="3"/>
      <c r="J10" s="2"/>
      <c r="K10" s="2"/>
      <c r="L10" s="2"/>
      <c r="M10" s="2"/>
      <c r="N10" s="3"/>
      <c r="O10" s="3"/>
      <c r="P10" s="3"/>
      <c r="Q10" s="3"/>
    </row>
    <row r="11" spans="1:17" x14ac:dyDescent="0.2">
      <c r="A11" s="1">
        <v>5</v>
      </c>
      <c r="B11" s="2"/>
      <c r="C11" s="2"/>
      <c r="D11" s="2"/>
      <c r="E11" s="2"/>
      <c r="F11" s="3"/>
      <c r="G11" s="3"/>
      <c r="H11" s="3"/>
      <c r="I11" s="3"/>
      <c r="J11" s="2"/>
      <c r="K11" s="2"/>
      <c r="L11" s="2"/>
      <c r="M11" s="2"/>
      <c r="N11" s="3"/>
      <c r="O11" s="3"/>
      <c r="P11" s="3"/>
      <c r="Q11" s="3"/>
    </row>
    <row r="12" spans="1:17" x14ac:dyDescent="0.2">
      <c r="A12" s="1">
        <v>6</v>
      </c>
      <c r="B12" s="2"/>
      <c r="C12" s="2"/>
      <c r="D12" s="2"/>
      <c r="E12" s="2"/>
      <c r="F12" s="3"/>
      <c r="G12" s="3"/>
      <c r="H12" s="3"/>
      <c r="I12" s="3"/>
      <c r="J12" s="2"/>
      <c r="K12" s="2"/>
      <c r="L12" s="2"/>
      <c r="M12" s="2"/>
      <c r="N12" s="3"/>
      <c r="O12" s="3"/>
      <c r="P12" s="3"/>
      <c r="Q12" s="3"/>
    </row>
    <row r="13" spans="1:17" x14ac:dyDescent="0.2">
      <c r="A13" s="1">
        <v>7</v>
      </c>
      <c r="B13" s="2"/>
      <c r="C13" s="2"/>
      <c r="D13" s="2"/>
      <c r="E13" s="2"/>
      <c r="F13" s="3"/>
      <c r="G13" s="3"/>
      <c r="H13" s="3"/>
      <c r="I13" s="3"/>
      <c r="J13" s="2"/>
      <c r="K13" s="2"/>
      <c r="L13" s="2"/>
      <c r="M13" s="2"/>
      <c r="N13" s="3"/>
      <c r="O13" s="3"/>
      <c r="P13" s="3"/>
      <c r="Q13" s="3"/>
    </row>
    <row r="14" spans="1:17" x14ac:dyDescent="0.2">
      <c r="A14" s="1">
        <v>8</v>
      </c>
      <c r="B14" s="2"/>
      <c r="C14" s="2"/>
      <c r="D14" s="2"/>
      <c r="E14" s="2"/>
      <c r="F14" s="3"/>
      <c r="G14" s="3"/>
      <c r="H14" s="3"/>
      <c r="I14" s="3"/>
      <c r="J14" s="2"/>
      <c r="K14" s="2"/>
      <c r="L14" s="2"/>
      <c r="M14" s="2"/>
      <c r="N14" s="3"/>
      <c r="O14" s="3"/>
      <c r="P14" s="3"/>
      <c r="Q14" s="3"/>
    </row>
    <row r="15" spans="1:17" x14ac:dyDescent="0.2">
      <c r="A15" s="1">
        <v>9</v>
      </c>
      <c r="B15" s="2"/>
      <c r="C15" s="2"/>
      <c r="D15" s="2"/>
      <c r="E15" s="2"/>
      <c r="F15" s="3"/>
      <c r="G15" s="3"/>
      <c r="H15" s="3"/>
      <c r="I15" s="3"/>
      <c r="J15" s="2"/>
      <c r="K15" s="2"/>
      <c r="L15" s="2"/>
      <c r="M15" s="2"/>
      <c r="N15" s="3"/>
      <c r="O15" s="3"/>
      <c r="P15" s="3"/>
      <c r="Q15" s="3"/>
    </row>
    <row r="16" spans="1:17" x14ac:dyDescent="0.2">
      <c r="A16" s="1">
        <v>10</v>
      </c>
      <c r="B16" s="2"/>
      <c r="C16" s="2"/>
      <c r="D16" s="2"/>
      <c r="E16" s="2"/>
      <c r="F16" s="3"/>
      <c r="G16" s="3"/>
      <c r="H16" s="3"/>
      <c r="I16" s="3"/>
      <c r="J16" s="2"/>
      <c r="K16" s="2"/>
      <c r="L16" s="2"/>
      <c r="M16" s="2"/>
      <c r="N16" s="3"/>
      <c r="O16" s="3"/>
      <c r="P16" s="3"/>
      <c r="Q16" s="3"/>
    </row>
    <row r="17" spans="1:17" x14ac:dyDescent="0.2">
      <c r="A17" s="1">
        <v>11</v>
      </c>
      <c r="B17" s="2"/>
      <c r="C17" s="2"/>
      <c r="D17" s="2"/>
      <c r="E17" s="2"/>
      <c r="F17" s="3"/>
      <c r="G17" s="3"/>
      <c r="H17" s="3"/>
      <c r="I17" s="3"/>
      <c r="J17" s="2"/>
      <c r="K17" s="2"/>
      <c r="L17" s="2"/>
      <c r="M17" s="2"/>
      <c r="N17" s="3"/>
      <c r="O17" s="3"/>
      <c r="P17" s="3"/>
      <c r="Q17" s="3"/>
    </row>
    <row r="18" spans="1:17" x14ac:dyDescent="0.2">
      <c r="A18" s="1">
        <v>12</v>
      </c>
      <c r="B18" s="2"/>
      <c r="C18" s="2"/>
      <c r="D18" s="2"/>
      <c r="E18" s="2"/>
      <c r="F18" s="3"/>
      <c r="G18" s="3"/>
      <c r="H18" s="3"/>
      <c r="I18" s="3"/>
      <c r="J18" s="2"/>
      <c r="K18" s="2"/>
      <c r="L18" s="2"/>
      <c r="M18" s="2"/>
      <c r="N18" s="3"/>
      <c r="O18" s="3"/>
      <c r="P18" s="3"/>
      <c r="Q18" s="3"/>
    </row>
    <row r="19" spans="1:17" x14ac:dyDescent="0.2">
      <c r="A19" s="1">
        <v>13</v>
      </c>
      <c r="B19" s="2"/>
      <c r="C19" s="2"/>
      <c r="D19" s="2"/>
      <c r="E19" s="2"/>
      <c r="F19" s="3"/>
      <c r="G19" s="3"/>
      <c r="H19" s="3"/>
      <c r="I19" s="3"/>
      <c r="J19" s="2"/>
      <c r="K19" s="2"/>
      <c r="L19" s="2"/>
      <c r="M19" s="2"/>
      <c r="N19" s="3"/>
      <c r="O19" s="3"/>
      <c r="P19" s="3"/>
      <c r="Q19" s="3"/>
    </row>
    <row r="20" spans="1:17" x14ac:dyDescent="0.2">
      <c r="A20" s="1">
        <v>14</v>
      </c>
      <c r="B20" s="2"/>
      <c r="C20" s="2"/>
      <c r="D20" s="2"/>
      <c r="E20" s="2"/>
      <c r="F20" s="3"/>
      <c r="G20" s="3"/>
      <c r="H20" s="3"/>
      <c r="I20" s="3"/>
      <c r="J20" s="2"/>
      <c r="K20" s="2"/>
      <c r="L20" s="2"/>
      <c r="M20" s="2"/>
      <c r="N20" s="3"/>
      <c r="O20" s="3"/>
      <c r="P20" s="3"/>
      <c r="Q20" s="3"/>
    </row>
    <row r="21" spans="1:17" x14ac:dyDescent="0.2">
      <c r="A21" s="1">
        <v>15</v>
      </c>
      <c r="B21" s="2"/>
      <c r="C21" s="2"/>
      <c r="D21" s="2"/>
      <c r="E21" s="2"/>
      <c r="F21" s="3"/>
      <c r="G21" s="3"/>
      <c r="H21" s="3"/>
      <c r="I21" s="3"/>
      <c r="J21" s="2"/>
      <c r="K21" s="2"/>
      <c r="L21" s="2"/>
      <c r="M21" s="2"/>
      <c r="N21" s="3"/>
      <c r="O21" s="3"/>
      <c r="P21" s="3"/>
      <c r="Q21" s="3"/>
    </row>
    <row r="22" spans="1:17" x14ac:dyDescent="0.2">
      <c r="A22" s="1">
        <v>16</v>
      </c>
      <c r="B22" s="2"/>
      <c r="C22" s="2"/>
      <c r="D22" s="2"/>
      <c r="E22" s="2"/>
      <c r="F22" s="3"/>
      <c r="G22" s="3"/>
      <c r="H22" s="3"/>
      <c r="I22" s="3"/>
      <c r="J22" s="2"/>
      <c r="K22" s="2"/>
      <c r="L22" s="2"/>
      <c r="M22" s="2"/>
      <c r="N22" s="3"/>
      <c r="O22" s="3"/>
      <c r="P22" s="3"/>
      <c r="Q22" s="3"/>
    </row>
    <row r="23" spans="1:17" x14ac:dyDescent="0.2">
      <c r="A23" s="1">
        <v>17</v>
      </c>
      <c r="B23" s="2"/>
      <c r="C23" s="2"/>
      <c r="D23" s="2"/>
      <c r="E23" s="2"/>
      <c r="F23" s="3"/>
      <c r="G23" s="3"/>
      <c r="H23" s="3"/>
      <c r="I23" s="3"/>
      <c r="J23" s="2"/>
      <c r="K23" s="2"/>
      <c r="L23" s="2"/>
      <c r="M23" s="2"/>
      <c r="N23" s="3"/>
      <c r="O23" s="3"/>
      <c r="P23" s="3"/>
      <c r="Q23" s="3"/>
    </row>
    <row r="24" spans="1:17" x14ac:dyDescent="0.2">
      <c r="A24" s="1">
        <v>18</v>
      </c>
      <c r="B24" s="2"/>
      <c r="C24" s="2"/>
      <c r="D24" s="2"/>
      <c r="E24" s="2"/>
      <c r="F24" s="3"/>
      <c r="G24" s="3"/>
      <c r="H24" s="3"/>
      <c r="I24" s="3"/>
      <c r="J24" s="2"/>
      <c r="K24" s="2"/>
      <c r="L24" s="2"/>
      <c r="M24" s="2"/>
      <c r="N24" s="3"/>
      <c r="O24" s="3"/>
      <c r="P24" s="3"/>
      <c r="Q24" s="3"/>
    </row>
    <row r="25" spans="1:17" x14ac:dyDescent="0.2">
      <c r="A25" s="1">
        <v>19</v>
      </c>
      <c r="B25" s="2"/>
      <c r="C25" s="2"/>
      <c r="D25" s="2"/>
      <c r="E25" s="2"/>
      <c r="F25" s="3"/>
      <c r="G25" s="3"/>
      <c r="H25" s="3"/>
      <c r="I25" s="3"/>
      <c r="J25" s="2"/>
      <c r="K25" s="2"/>
      <c r="L25" s="2"/>
      <c r="M25" s="2"/>
      <c r="N25" s="3"/>
      <c r="O25" s="3"/>
      <c r="P25" s="3"/>
      <c r="Q25" s="3"/>
    </row>
    <row r="26" spans="1:17" x14ac:dyDescent="0.2">
      <c r="A26" s="1">
        <v>20</v>
      </c>
      <c r="B26" s="2"/>
      <c r="C26" s="2"/>
      <c r="D26" s="2"/>
      <c r="E26" s="2"/>
      <c r="F26" s="3"/>
      <c r="G26" s="3"/>
      <c r="H26" s="3"/>
      <c r="I26" s="3"/>
      <c r="J26" s="2"/>
      <c r="K26" s="2"/>
      <c r="L26" s="2"/>
      <c r="M26" s="2"/>
      <c r="N26" s="3"/>
      <c r="O26" s="3"/>
      <c r="P26" s="3"/>
      <c r="Q26" s="3"/>
    </row>
    <row r="27" spans="1:17" x14ac:dyDescent="0.2">
      <c r="A27" s="1">
        <v>21</v>
      </c>
      <c r="B27" s="2"/>
      <c r="C27" s="2"/>
      <c r="D27" s="2"/>
      <c r="E27" s="2"/>
      <c r="F27" s="3"/>
      <c r="G27" s="3"/>
      <c r="H27" s="3"/>
      <c r="I27" s="3"/>
      <c r="J27" s="2"/>
      <c r="K27" s="2"/>
      <c r="L27" s="2"/>
      <c r="M27" s="2"/>
      <c r="N27" s="3"/>
      <c r="O27" s="3"/>
      <c r="P27" s="3"/>
      <c r="Q27" s="3"/>
    </row>
    <row r="28" spans="1:17" x14ac:dyDescent="0.2">
      <c r="A28" s="1">
        <v>22</v>
      </c>
      <c r="B28" s="2"/>
      <c r="C28" s="2"/>
      <c r="D28" s="2"/>
      <c r="E28" s="2"/>
      <c r="F28" s="3"/>
      <c r="G28" s="3"/>
      <c r="H28" s="3"/>
      <c r="I28" s="3"/>
      <c r="J28" s="2"/>
      <c r="K28" s="2"/>
      <c r="L28" s="2"/>
      <c r="M28" s="2"/>
      <c r="N28" s="3"/>
      <c r="O28" s="3"/>
      <c r="P28" s="3"/>
      <c r="Q28" s="3"/>
    </row>
    <row r="29" spans="1:17" x14ac:dyDescent="0.2">
      <c r="A29" s="1">
        <v>23</v>
      </c>
      <c r="B29" s="2"/>
      <c r="C29" s="2"/>
      <c r="D29" s="2"/>
      <c r="E29" s="2"/>
      <c r="F29" s="3"/>
      <c r="G29" s="3"/>
      <c r="H29" s="3"/>
      <c r="I29" s="3"/>
      <c r="J29" s="2"/>
      <c r="K29" s="2"/>
      <c r="L29" s="2"/>
      <c r="M29" s="2"/>
      <c r="N29" s="3"/>
      <c r="O29" s="3"/>
      <c r="P29" s="3"/>
      <c r="Q29" s="3"/>
    </row>
    <row r="31" spans="1:17" x14ac:dyDescent="0.2">
      <c r="B31">
        <f>SUM(B6:E6)</f>
        <v>177.8</v>
      </c>
    </row>
  </sheetData>
  <mergeCells count="10">
    <mergeCell ref="B1:I1"/>
    <mergeCell ref="J1:Q1"/>
    <mergeCell ref="B2:I2"/>
    <mergeCell ref="J2:Q2"/>
    <mergeCell ref="B4:E4"/>
    <mergeCell ref="F4:I4"/>
    <mergeCell ref="J4:M4"/>
    <mergeCell ref="N4:Q4"/>
    <mergeCell ref="B3:I3"/>
    <mergeCell ref="J3:Q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89E28-915C-F54C-B37A-2FAB20B0DB56}">
  <dimension ref="A1:B9"/>
  <sheetViews>
    <sheetView workbookViewId="0">
      <selection activeCell="B5" sqref="B5"/>
    </sheetView>
  </sheetViews>
  <sheetFormatPr baseColWidth="10" defaultRowHeight="16" x14ac:dyDescent="0.2"/>
  <cols>
    <col min="1" max="1" width="17.6640625" bestFit="1" customWidth="1"/>
  </cols>
  <sheetData>
    <row r="1" spans="1:2" x14ac:dyDescent="0.2">
      <c r="A1" s="8" t="s">
        <v>1</v>
      </c>
      <c r="B1" s="8" t="s">
        <v>83</v>
      </c>
    </row>
    <row r="2" spans="1:2" x14ac:dyDescent="0.2">
      <c r="A2" s="8" t="s">
        <v>75</v>
      </c>
      <c r="B2">
        <v>0</v>
      </c>
    </row>
    <row r="3" spans="1:2" x14ac:dyDescent="0.2">
      <c r="A3" s="8" t="s">
        <v>76</v>
      </c>
      <c r="B3">
        <v>1</v>
      </c>
    </row>
    <row r="4" spans="1:2" x14ac:dyDescent="0.2">
      <c r="A4" s="8" t="s">
        <v>77</v>
      </c>
      <c r="B4">
        <v>0.25</v>
      </c>
    </row>
    <row r="5" spans="1:2" x14ac:dyDescent="0.2">
      <c r="A5" s="8" t="s">
        <v>108</v>
      </c>
      <c r="B5">
        <v>1</v>
      </c>
    </row>
    <row r="6" spans="1:2" x14ac:dyDescent="0.2">
      <c r="A6" s="8" t="s">
        <v>81</v>
      </c>
      <c r="B6">
        <v>1</v>
      </c>
    </row>
    <row r="7" spans="1:2" x14ac:dyDescent="0.2">
      <c r="A7" s="8" t="s">
        <v>82</v>
      </c>
      <c r="B7">
        <v>2</v>
      </c>
    </row>
    <row r="8" spans="1:2" x14ac:dyDescent="0.2">
      <c r="A8" s="14" t="s">
        <v>109</v>
      </c>
      <c r="B8" s="15">
        <v>4</v>
      </c>
    </row>
    <row r="9" spans="1:2" x14ac:dyDescent="0.2">
      <c r="A9" s="14" t="s">
        <v>110</v>
      </c>
      <c r="B9" s="15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2688A-D2A3-854F-B341-C0BEC53AF991}">
  <dimension ref="A1:N22"/>
  <sheetViews>
    <sheetView zoomScale="190" zoomScaleNormal="190" workbookViewId="0">
      <selection activeCell="N22" sqref="N22"/>
    </sheetView>
  </sheetViews>
  <sheetFormatPr baseColWidth="10" defaultRowHeight="16" x14ac:dyDescent="0.2"/>
  <cols>
    <col min="2" max="2" width="15.1640625" bestFit="1" customWidth="1"/>
    <col min="3" max="4" width="13.33203125" bestFit="1" customWidth="1"/>
    <col min="5" max="5" width="17.1640625" bestFit="1" customWidth="1"/>
    <col min="6" max="6" width="16" bestFit="1" customWidth="1"/>
    <col min="9" max="9" width="13.1640625" bestFit="1" customWidth="1"/>
    <col min="10" max="10" width="18.5" bestFit="1" customWidth="1"/>
    <col min="13" max="13" width="15" bestFit="1" customWidth="1"/>
  </cols>
  <sheetData>
    <row r="1" spans="1:1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78</v>
      </c>
      <c r="F1" s="4" t="s">
        <v>47</v>
      </c>
      <c r="G1" s="4" t="s">
        <v>37</v>
      </c>
      <c r="H1" s="7" t="s">
        <v>38</v>
      </c>
      <c r="I1" s="5" t="s">
        <v>111</v>
      </c>
      <c r="J1" s="6" t="s">
        <v>112</v>
      </c>
      <c r="M1" t="s">
        <v>117</v>
      </c>
    </row>
    <row r="2" spans="1:14" x14ac:dyDescent="0.2">
      <c r="A2" s="1">
        <v>1</v>
      </c>
      <c r="B2" s="1" t="s">
        <v>21</v>
      </c>
      <c r="C2" s="1" t="str">
        <f>Nodes!B3</f>
        <v>AreaA</v>
      </c>
      <c r="D2" s="1" t="str">
        <f>Nodes!B11</f>
        <v>NBP</v>
      </c>
      <c r="E2" s="1">
        <f>M2+3</f>
        <v>28</v>
      </c>
      <c r="F2" s="1" t="s">
        <v>48</v>
      </c>
      <c r="G2" s="1">
        <f>INDEX(Nodes!$A:$A,MATCH(Arcs!C2,Nodes!$B:$B,0))</f>
        <v>1</v>
      </c>
      <c r="H2" s="1">
        <f>INDEX(Nodes!$A:$A,MATCH(Arcs!D2,Nodes!$B:$B,0))</f>
        <v>9</v>
      </c>
      <c r="I2" s="2">
        <v>1</v>
      </c>
      <c r="J2" s="3">
        <v>0</v>
      </c>
      <c r="M2" s="1">
        <v>25</v>
      </c>
    </row>
    <row r="3" spans="1:14" x14ac:dyDescent="0.2">
      <c r="A3" s="1">
        <v>2</v>
      </c>
      <c r="B3" s="1" t="s">
        <v>22</v>
      </c>
      <c r="C3" s="1" t="str">
        <f>Nodes!B15</f>
        <v>Intermediate 1</v>
      </c>
      <c r="D3" s="1" t="str">
        <f>Nodes!B11</f>
        <v>NBP</v>
      </c>
      <c r="E3" s="1">
        <f t="shared" ref="E3:E22" si="0">M3+3</f>
        <v>39.9</v>
      </c>
      <c r="F3" s="1" t="s">
        <v>48</v>
      </c>
      <c r="G3" s="1">
        <f>INDEX(Nodes!$A:$A,MATCH(Arcs!C3,Nodes!$B:$B,0))</f>
        <v>13</v>
      </c>
      <c r="H3" s="1">
        <f>INDEX(Nodes!$A:$A,MATCH(Arcs!D3,Nodes!$B:$B,0))</f>
        <v>9</v>
      </c>
      <c r="I3" s="2">
        <v>1</v>
      </c>
      <c r="J3" s="3">
        <v>0</v>
      </c>
      <c r="M3" s="1">
        <v>36.9</v>
      </c>
    </row>
    <row r="4" spans="1:14" x14ac:dyDescent="0.2">
      <c r="A4" s="1">
        <v>3</v>
      </c>
      <c r="B4" s="1" t="s">
        <v>23</v>
      </c>
      <c r="C4" s="1" t="str">
        <f>Nodes!B8</f>
        <v>Nyhamna</v>
      </c>
      <c r="D4" s="1" t="str">
        <f>Nodes!B17</f>
        <v>Intermediate 3</v>
      </c>
      <c r="E4" s="1">
        <f t="shared" si="0"/>
        <v>77.7</v>
      </c>
      <c r="F4" s="1" t="s">
        <v>48</v>
      </c>
      <c r="G4" s="1">
        <f>INDEX(Nodes!$A:$A,MATCH(Arcs!C4,Nodes!$B:$B,0))</f>
        <v>6</v>
      </c>
      <c r="H4" s="1">
        <f>INDEX(Nodes!$A:$A,MATCH(Arcs!D4,Nodes!$B:$B,0))</f>
        <v>15</v>
      </c>
      <c r="I4" s="2">
        <v>1</v>
      </c>
      <c r="J4" s="3">
        <v>0</v>
      </c>
      <c r="M4" s="1">
        <v>74.7</v>
      </c>
    </row>
    <row r="5" spans="1:14" x14ac:dyDescent="0.2">
      <c r="A5" s="1">
        <v>4</v>
      </c>
      <c r="B5" s="1" t="s">
        <v>23</v>
      </c>
      <c r="C5" s="1" t="str">
        <f>Nodes!B17</f>
        <v>Intermediate 3</v>
      </c>
      <c r="D5" s="1" t="str">
        <f>Nodes!B11</f>
        <v>NBP</v>
      </c>
      <c r="E5" s="1">
        <f t="shared" si="0"/>
        <v>76.8</v>
      </c>
      <c r="F5" s="1" t="s">
        <v>48</v>
      </c>
      <c r="G5" s="1">
        <f>INDEX(Nodes!$A:$A,MATCH(Arcs!C5,Nodes!$B:$B,0))</f>
        <v>15</v>
      </c>
      <c r="H5" s="1">
        <f>INDEX(Nodes!$A:$A,MATCH(Arcs!D5,Nodes!$B:$B,0))</f>
        <v>9</v>
      </c>
      <c r="I5" s="2">
        <v>1</v>
      </c>
      <c r="J5" s="3">
        <v>0</v>
      </c>
      <c r="M5" s="1">
        <v>73.8</v>
      </c>
    </row>
    <row r="6" spans="1:14" x14ac:dyDescent="0.2">
      <c r="A6" s="1">
        <v>5</v>
      </c>
      <c r="B6" s="1" t="s">
        <v>24</v>
      </c>
      <c r="C6" s="1" t="str">
        <f>Nodes!B17</f>
        <v>Intermediate 3</v>
      </c>
      <c r="D6" s="1" t="str">
        <f>Nodes!B12</f>
        <v>Zeebrugge</v>
      </c>
      <c r="E6" s="1">
        <f t="shared" si="0"/>
        <v>45.2</v>
      </c>
      <c r="F6" s="1" t="s">
        <v>48</v>
      </c>
      <c r="G6" s="1">
        <f>INDEX(Nodes!$A:$A,MATCH(Arcs!C6,Nodes!$B:$B,0))</f>
        <v>15</v>
      </c>
      <c r="H6" s="1">
        <f>INDEX(Nodes!$A:$A,MATCH(Arcs!D6,Nodes!$B:$B,0))</f>
        <v>10</v>
      </c>
      <c r="I6" s="2">
        <v>1</v>
      </c>
      <c r="J6" s="3">
        <v>0</v>
      </c>
      <c r="M6" s="1">
        <v>42.2</v>
      </c>
    </row>
    <row r="7" spans="1:14" x14ac:dyDescent="0.2">
      <c r="A7" s="1">
        <v>6</v>
      </c>
      <c r="B7" s="1" t="s">
        <v>25</v>
      </c>
      <c r="C7" s="1" t="str">
        <f>Nodes!B7</f>
        <v>Kollsnes</v>
      </c>
      <c r="D7" s="1" t="str">
        <f>Nodes!B17</f>
        <v>Intermediate 3</v>
      </c>
      <c r="E7" s="1">
        <f t="shared" si="0"/>
        <v>77</v>
      </c>
      <c r="F7" s="1" t="s">
        <v>48</v>
      </c>
      <c r="G7" s="1">
        <f>INDEX(Nodes!$A:$A,MATCH(Arcs!C7,Nodes!$B:$B,0))</f>
        <v>5</v>
      </c>
      <c r="H7" s="1">
        <f>INDEX(Nodes!$A:$A,MATCH(Arcs!D7,Nodes!$B:$B,0))</f>
        <v>15</v>
      </c>
      <c r="I7" s="2">
        <v>1</v>
      </c>
      <c r="J7" s="3">
        <v>0</v>
      </c>
      <c r="M7" s="1">
        <v>74</v>
      </c>
      <c r="N7" t="s">
        <v>118</v>
      </c>
    </row>
    <row r="8" spans="1:14" x14ac:dyDescent="0.2">
      <c r="A8" s="1">
        <v>7</v>
      </c>
      <c r="B8" s="1" t="s">
        <v>26</v>
      </c>
      <c r="C8" s="1" t="str">
        <f>Nodes!B7</f>
        <v>Kollsnes</v>
      </c>
      <c r="D8" s="1" t="str">
        <f>Nodes!B16</f>
        <v>Intermediate 2</v>
      </c>
      <c r="E8" s="1">
        <f t="shared" si="0"/>
        <v>76</v>
      </c>
      <c r="F8" s="1" t="s">
        <v>48</v>
      </c>
      <c r="G8" s="1">
        <f>INDEX(Nodes!$A:$A,MATCH(Arcs!C8,Nodes!$B:$B,0))</f>
        <v>5</v>
      </c>
      <c r="H8" s="1">
        <f>INDEX(Nodes!$A:$A,MATCH(Arcs!D8,Nodes!$B:$B,0))</f>
        <v>14</v>
      </c>
      <c r="I8" s="2">
        <v>1</v>
      </c>
      <c r="J8" s="3">
        <v>0</v>
      </c>
      <c r="M8" s="1">
        <v>73</v>
      </c>
      <c r="N8" t="s">
        <v>118</v>
      </c>
    </row>
    <row r="9" spans="1:14" x14ac:dyDescent="0.2">
      <c r="A9" s="1">
        <v>8</v>
      </c>
      <c r="B9" s="1" t="s">
        <v>27</v>
      </c>
      <c r="C9" s="1" t="str">
        <f>Nodes!B17</f>
        <v>Intermediate 3</v>
      </c>
      <c r="D9" s="1" t="str">
        <f>Nodes!B16</f>
        <v>Intermediate 2</v>
      </c>
      <c r="E9" s="1">
        <f t="shared" si="0"/>
        <v>1003</v>
      </c>
      <c r="F9" s="1" t="s">
        <v>65</v>
      </c>
      <c r="G9" s="1">
        <f>INDEX(Nodes!$A:$A,MATCH(Arcs!C9,Nodes!$B:$B,0))</f>
        <v>15</v>
      </c>
      <c r="H9" s="1">
        <f>INDEX(Nodes!$A:$A,MATCH(Arcs!D9,Nodes!$B:$B,0))</f>
        <v>14</v>
      </c>
      <c r="I9" s="2">
        <v>1</v>
      </c>
      <c r="J9" s="3">
        <v>0</v>
      </c>
      <c r="M9">
        <v>1000</v>
      </c>
    </row>
    <row r="10" spans="1:14" x14ac:dyDescent="0.2">
      <c r="A10" s="1">
        <v>9</v>
      </c>
      <c r="B10" s="1" t="s">
        <v>28</v>
      </c>
      <c r="C10" s="1" t="str">
        <f>Nodes!B5</f>
        <v>Heimdal</v>
      </c>
      <c r="D10" s="1" t="str">
        <f>Nodes!B16</f>
        <v>Intermediate 2</v>
      </c>
      <c r="E10" s="1">
        <f t="shared" si="0"/>
        <v>33.700000000000003</v>
      </c>
      <c r="F10" s="1" t="s">
        <v>48</v>
      </c>
      <c r="G10" s="1">
        <f>INDEX(Nodes!$A:$A,MATCH(Arcs!C10,Nodes!$B:$B,0))</f>
        <v>3</v>
      </c>
      <c r="H10" s="1">
        <f>INDEX(Nodes!$A:$A,MATCH(Arcs!D10,Nodes!$B:$B,0))</f>
        <v>14</v>
      </c>
      <c r="I10" s="2">
        <v>1</v>
      </c>
      <c r="J10" s="3">
        <v>0</v>
      </c>
      <c r="M10" s="1">
        <v>30.7</v>
      </c>
    </row>
    <row r="11" spans="1:14" x14ac:dyDescent="0.2">
      <c r="A11" s="1">
        <v>10</v>
      </c>
      <c r="B11" s="1" t="s">
        <v>29</v>
      </c>
      <c r="C11" s="1" t="str">
        <f>Nodes!B18</f>
        <v>Intermediate 4</v>
      </c>
      <c r="D11" s="1" t="str">
        <f>Nodes!B13</f>
        <v>Dunkerque</v>
      </c>
      <c r="E11" s="1">
        <f t="shared" si="0"/>
        <v>57.2</v>
      </c>
      <c r="F11" s="1" t="s">
        <v>48</v>
      </c>
      <c r="G11" s="1">
        <f>INDEX(Nodes!$A:$A,MATCH(Arcs!C11,Nodes!$B:$B,0))</f>
        <v>16</v>
      </c>
      <c r="H11" s="1">
        <f>INDEX(Nodes!$A:$A,MATCH(Arcs!D11,Nodes!$B:$B,0))</f>
        <v>11</v>
      </c>
      <c r="I11" s="2">
        <v>1</v>
      </c>
      <c r="J11" s="3">
        <v>0</v>
      </c>
      <c r="M11" s="1">
        <v>54.2</v>
      </c>
    </row>
    <row r="12" spans="1:14" x14ac:dyDescent="0.2">
      <c r="A12" s="1">
        <v>11</v>
      </c>
      <c r="B12" s="1" t="s">
        <v>28</v>
      </c>
      <c r="C12" s="1" t="str">
        <f>Nodes!B3</f>
        <v>AreaA</v>
      </c>
      <c r="D12" s="1" t="str">
        <f>Nodes!B20</f>
        <v>Karsto</v>
      </c>
      <c r="E12" s="1">
        <f t="shared" si="0"/>
        <v>24.1</v>
      </c>
      <c r="F12" s="1"/>
      <c r="G12" s="1">
        <f>INDEX(Nodes!$A:$A,MATCH(Arcs!C12,Nodes!$B:$B,0))</f>
        <v>1</v>
      </c>
      <c r="H12" s="1">
        <f>INDEX(Nodes!$A:$A,MATCH(Arcs!D12,Nodes!$B:$B,0))</f>
        <v>18</v>
      </c>
      <c r="I12" s="2">
        <v>1</v>
      </c>
      <c r="J12" s="3">
        <v>0</v>
      </c>
      <c r="M12">
        <v>21.1</v>
      </c>
    </row>
    <row r="13" spans="1:14" x14ac:dyDescent="0.2">
      <c r="A13" s="1">
        <v>12</v>
      </c>
      <c r="B13" s="1" t="s">
        <v>28</v>
      </c>
      <c r="C13" s="1" t="str">
        <f>Nodes!B20</f>
        <v>Karsto</v>
      </c>
      <c r="D13" s="1" t="str">
        <f>Nodes!B18</f>
        <v>Intermediate 4</v>
      </c>
      <c r="E13" s="1">
        <f t="shared" si="0"/>
        <v>24.1</v>
      </c>
      <c r="F13" s="1" t="s">
        <v>48</v>
      </c>
      <c r="G13" s="1">
        <f>INDEX(Nodes!$A:$A,MATCH(Arcs!C13,Nodes!$B:$B,0))</f>
        <v>18</v>
      </c>
      <c r="H13" s="1">
        <f>INDEX(Nodes!$A:$A,MATCH(Arcs!D13,Nodes!$B:$B,0))</f>
        <v>16</v>
      </c>
      <c r="I13" s="2">
        <v>1</v>
      </c>
      <c r="J13" s="3">
        <v>0</v>
      </c>
      <c r="M13" s="1">
        <v>21.1</v>
      </c>
    </row>
    <row r="14" spans="1:14" x14ac:dyDescent="0.2">
      <c r="A14" s="1">
        <v>13</v>
      </c>
      <c r="B14" s="1" t="s">
        <v>31</v>
      </c>
      <c r="C14" s="1" t="str">
        <f>Nodes!B18</f>
        <v>Intermediate 4</v>
      </c>
      <c r="D14" s="1" t="str">
        <f>Nodes!B14</f>
        <v>Germany</v>
      </c>
      <c r="E14" s="1">
        <f t="shared" si="0"/>
        <v>48.7</v>
      </c>
      <c r="F14" s="1" t="s">
        <v>48</v>
      </c>
      <c r="G14" s="1">
        <f>INDEX(Nodes!$A:$A,MATCH(Arcs!C14,Nodes!$B:$B,0))</f>
        <v>16</v>
      </c>
      <c r="H14" s="1">
        <f>INDEX(Nodes!$A:$A,MATCH(Arcs!D14,Nodes!$B:$B,0))</f>
        <v>12</v>
      </c>
      <c r="I14" s="2">
        <v>1</v>
      </c>
      <c r="J14" s="3">
        <v>0</v>
      </c>
      <c r="M14" s="1">
        <v>45.7</v>
      </c>
    </row>
    <row r="15" spans="1:14" x14ac:dyDescent="0.2">
      <c r="A15" s="1">
        <v>14</v>
      </c>
      <c r="B15" s="1" t="s">
        <v>30</v>
      </c>
      <c r="C15" s="1" t="str">
        <f>Nodes!B19</f>
        <v>Intermediate 5</v>
      </c>
      <c r="D15" s="1" t="str">
        <f>Nodes!B14</f>
        <v>Germany</v>
      </c>
      <c r="E15" s="1">
        <f t="shared" si="0"/>
        <v>47.4</v>
      </c>
      <c r="F15" s="1" t="s">
        <v>48</v>
      </c>
      <c r="G15" s="1">
        <f>INDEX(Nodes!$A:$A,MATCH(Arcs!C15,Nodes!$B:$B,0))</f>
        <v>17</v>
      </c>
      <c r="H15" s="1">
        <f>INDEX(Nodes!$A:$A,MATCH(Arcs!D15,Nodes!$B:$B,0))</f>
        <v>12</v>
      </c>
      <c r="I15" s="2">
        <v>1</v>
      </c>
      <c r="J15" s="3">
        <v>0</v>
      </c>
      <c r="M15" s="1">
        <v>44.4</v>
      </c>
    </row>
    <row r="16" spans="1:14" x14ac:dyDescent="0.2">
      <c r="A16" s="1">
        <v>15</v>
      </c>
      <c r="B16" s="1" t="s">
        <v>32</v>
      </c>
      <c r="C16" s="1" t="str">
        <f>Nodes!B20</f>
        <v>Karsto</v>
      </c>
      <c r="D16" s="1" t="str">
        <f>Nodes!B14</f>
        <v>Germany</v>
      </c>
      <c r="E16" s="1">
        <f t="shared" si="0"/>
        <v>76.5</v>
      </c>
      <c r="F16" s="1" t="s">
        <v>48</v>
      </c>
      <c r="G16" s="1">
        <f>INDEX(Nodes!$A:$A,MATCH(Arcs!C16,Nodes!$B:$B,0))</f>
        <v>18</v>
      </c>
      <c r="H16" s="1">
        <f>INDEX(Nodes!$A:$A,MATCH(Arcs!D16,Nodes!$B:$B,0))</f>
        <v>12</v>
      </c>
      <c r="I16" s="2">
        <v>1</v>
      </c>
      <c r="J16" s="3">
        <v>0</v>
      </c>
      <c r="M16" s="1">
        <v>73.5</v>
      </c>
    </row>
    <row r="17" spans="1:13" x14ac:dyDescent="0.2">
      <c r="A17" s="1">
        <v>16</v>
      </c>
      <c r="B17" s="1" t="s">
        <v>116</v>
      </c>
      <c r="C17" s="1" t="str">
        <f>Nodes!B6</f>
        <v>AreaB</v>
      </c>
      <c r="D17" s="1" t="str">
        <f>Nodes!B20</f>
        <v>Karsto</v>
      </c>
      <c r="E17" s="1">
        <f t="shared" si="0"/>
        <v>73</v>
      </c>
      <c r="F17" s="1" t="s">
        <v>64</v>
      </c>
      <c r="G17" s="1">
        <f>INDEX(Nodes!$A:$A,MATCH(Arcs!C17,Nodes!$B:$B,0))</f>
        <v>4</v>
      </c>
      <c r="H17" s="1">
        <f>INDEX(Nodes!$A:$A,MATCH(Arcs!D17,Nodes!$B:$B,0))</f>
        <v>18</v>
      </c>
      <c r="I17" s="2">
        <v>1</v>
      </c>
      <c r="J17" s="3">
        <v>0</v>
      </c>
      <c r="M17">
        <v>70</v>
      </c>
    </row>
    <row r="18" spans="1:13" x14ac:dyDescent="0.2">
      <c r="A18" s="1">
        <v>17</v>
      </c>
      <c r="B18" s="1" t="s">
        <v>28</v>
      </c>
      <c r="C18" s="1" t="str">
        <f>Nodes!B18</f>
        <v>Intermediate 4</v>
      </c>
      <c r="D18" s="1" t="str">
        <f>Nodes!B19</f>
        <v>Intermediate 5</v>
      </c>
      <c r="E18" s="1">
        <f t="shared" si="0"/>
        <v>47.4</v>
      </c>
      <c r="F18" s="1" t="s">
        <v>65</v>
      </c>
      <c r="G18" s="1">
        <f>INDEX(Nodes!$A:$A,MATCH(Arcs!C18,Nodes!$B:$B,0))</f>
        <v>16</v>
      </c>
      <c r="H18" s="1">
        <f>INDEX(Nodes!$A:$A,MATCH(Arcs!D18,Nodes!$B:$B,0))</f>
        <v>17</v>
      </c>
      <c r="I18" s="2">
        <v>1</v>
      </c>
      <c r="J18" s="3">
        <v>0</v>
      </c>
      <c r="M18" s="1">
        <v>44.4</v>
      </c>
    </row>
    <row r="19" spans="1:13" x14ac:dyDescent="0.2">
      <c r="A19" s="1">
        <v>18</v>
      </c>
      <c r="B19" s="1" t="s">
        <v>33</v>
      </c>
      <c r="C19" s="1" t="str">
        <f>Nodes!B4</f>
        <v>Oseberg</v>
      </c>
      <c r="D19" s="1" t="str">
        <f>Nodes!B15</f>
        <v>Intermediate 1</v>
      </c>
      <c r="E19" s="1">
        <f t="shared" si="0"/>
        <v>1003</v>
      </c>
      <c r="F19" s="1" t="s">
        <v>65</v>
      </c>
      <c r="G19" s="1">
        <f>INDEX(Nodes!$A:$A,MATCH(Arcs!C19,Nodes!$B:$B,0))</f>
        <v>2</v>
      </c>
      <c r="H19" s="1">
        <f>INDEX(Nodes!$A:$A,MATCH(Arcs!D19,Nodes!$B:$B,0))</f>
        <v>13</v>
      </c>
      <c r="I19" s="2">
        <v>1</v>
      </c>
      <c r="J19" s="3">
        <v>0</v>
      </c>
      <c r="M19" s="1">
        <v>1000</v>
      </c>
    </row>
    <row r="20" spans="1:13" x14ac:dyDescent="0.2">
      <c r="A20" s="1">
        <v>19</v>
      </c>
      <c r="B20" s="1" t="s">
        <v>34</v>
      </c>
      <c r="C20" s="1" t="str">
        <f>Nodes!B5</f>
        <v>Heimdal</v>
      </c>
      <c r="D20" s="1" t="str">
        <f>Nodes!B15</f>
        <v>Intermediate 1</v>
      </c>
      <c r="E20" s="1">
        <f t="shared" si="0"/>
        <v>1003</v>
      </c>
      <c r="F20" s="1" t="s">
        <v>65</v>
      </c>
      <c r="G20" s="1">
        <f>INDEX(Nodes!$A:$A,MATCH(Arcs!C20,Nodes!$B:$B,0))</f>
        <v>3</v>
      </c>
      <c r="H20" s="1">
        <f>INDEX(Nodes!$A:$A,MATCH(Arcs!D20,Nodes!$B:$B,0))</f>
        <v>13</v>
      </c>
      <c r="I20" s="2">
        <v>1</v>
      </c>
      <c r="J20" s="3">
        <v>0</v>
      </c>
      <c r="M20" s="1">
        <v>1000</v>
      </c>
    </row>
    <row r="21" spans="1:13" x14ac:dyDescent="0.2">
      <c r="A21" s="1">
        <v>20</v>
      </c>
      <c r="B21" s="1" t="s">
        <v>35</v>
      </c>
      <c r="C21" s="1" t="str">
        <f>Nodes!B16</f>
        <v>Intermediate 2</v>
      </c>
      <c r="D21" s="1" t="str">
        <f>Nodes!B20</f>
        <v>Karsto</v>
      </c>
      <c r="E21" s="1">
        <f t="shared" si="0"/>
        <v>1003</v>
      </c>
      <c r="F21" s="1" t="s">
        <v>65</v>
      </c>
      <c r="G21" s="1">
        <f>INDEX(Nodes!$A:$A,MATCH(Arcs!C21,Nodes!$B:$B,0))</f>
        <v>14</v>
      </c>
      <c r="H21" s="1">
        <f>INDEX(Nodes!$A:$A,MATCH(Arcs!D21,Nodes!$B:$B,0))</f>
        <v>18</v>
      </c>
      <c r="I21" s="2">
        <v>1</v>
      </c>
      <c r="J21" s="3">
        <v>0</v>
      </c>
      <c r="M21" s="1">
        <v>1000</v>
      </c>
    </row>
    <row r="22" spans="1:13" x14ac:dyDescent="0.2">
      <c r="A22" s="1">
        <v>21</v>
      </c>
      <c r="B22" s="1" t="s">
        <v>36</v>
      </c>
      <c r="C22" s="1" t="str">
        <f>Nodes!B16</f>
        <v>Intermediate 2</v>
      </c>
      <c r="D22" s="1" t="str">
        <f>Nodes!B18</f>
        <v>Intermediate 4</v>
      </c>
      <c r="E22" s="1">
        <f t="shared" si="0"/>
        <v>1003</v>
      </c>
      <c r="F22" s="1" t="s">
        <v>65</v>
      </c>
      <c r="G22" s="1">
        <f>INDEX(Nodes!$A:$A,MATCH(Arcs!C22,Nodes!$B:$B,0))</f>
        <v>14</v>
      </c>
      <c r="H22" s="1">
        <f>INDEX(Nodes!$A:$A,MATCH(Arcs!D22,Nodes!$B:$B,0))</f>
        <v>16</v>
      </c>
      <c r="I22" s="2">
        <v>1</v>
      </c>
      <c r="J22" s="3">
        <v>0</v>
      </c>
      <c r="M22" s="1">
        <v>1000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9A445-15C0-AB40-A0A7-7DAECA950535}">
  <dimension ref="A1:B3"/>
  <sheetViews>
    <sheetView zoomScale="200" zoomScaleNormal="200" workbookViewId="0">
      <selection activeCell="D8" sqref="D8"/>
    </sheetView>
  </sheetViews>
  <sheetFormatPr baseColWidth="10" defaultRowHeight="16" x14ac:dyDescent="0.2"/>
  <sheetData>
    <row r="1" spans="1:2" x14ac:dyDescent="0.2">
      <c r="A1" s="4" t="s">
        <v>0</v>
      </c>
      <c r="B1" s="4" t="s">
        <v>1</v>
      </c>
    </row>
    <row r="2" spans="1:2" x14ac:dyDescent="0.2">
      <c r="A2" s="1">
        <v>1</v>
      </c>
      <c r="B2" s="1" t="s">
        <v>50</v>
      </c>
    </row>
    <row r="3" spans="1:2" x14ac:dyDescent="0.2">
      <c r="A3" s="1">
        <v>2</v>
      </c>
      <c r="B3" s="1" t="s">
        <v>51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F2103-BB5B-1146-8172-40BAC814D614}">
  <dimension ref="A1:B3"/>
  <sheetViews>
    <sheetView zoomScale="200" zoomScaleNormal="200" workbookViewId="0">
      <selection activeCell="B3" sqref="B3"/>
    </sheetView>
  </sheetViews>
  <sheetFormatPr baseColWidth="10" defaultRowHeight="16" x14ac:dyDescent="0.2"/>
  <sheetData>
    <row r="1" spans="1:2" x14ac:dyDescent="0.2">
      <c r="A1" s="4" t="s">
        <v>0</v>
      </c>
      <c r="B1" s="4" t="s">
        <v>1</v>
      </c>
    </row>
    <row r="2" spans="1:2" x14ac:dyDescent="0.2">
      <c r="A2" s="1">
        <v>1</v>
      </c>
      <c r="B2" s="1" t="s">
        <v>52</v>
      </c>
    </row>
    <row r="3" spans="1:2" x14ac:dyDescent="0.2">
      <c r="A3" s="1">
        <v>2</v>
      </c>
      <c r="B3" s="1" t="s">
        <v>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9</vt:i4>
      </vt:variant>
    </vt:vector>
  </HeadingPairs>
  <TitlesOfParts>
    <vt:vector size="9" baseType="lpstr">
      <vt:lpstr>Visualisation</vt:lpstr>
      <vt:lpstr>Units</vt:lpstr>
      <vt:lpstr>Nodes</vt:lpstr>
      <vt:lpstr>Demand Stage 2</vt:lpstr>
      <vt:lpstr>Demand Stage 3</vt:lpstr>
      <vt:lpstr>Parameters</vt:lpstr>
      <vt:lpstr>Arcs</vt:lpstr>
      <vt:lpstr>Traders</vt:lpstr>
      <vt:lpstr>Commodities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Markhorst, B.T. (Berend)</dc:creator>
  <cp:lastModifiedBy>Markhorst, B.T. (Berend)</cp:lastModifiedBy>
  <dcterms:created xsi:type="dcterms:W3CDTF">2024-08-20T19:36:56Z</dcterms:created>
  <dcterms:modified xsi:type="dcterms:W3CDTF">2024-09-19T08:41:26Z</dcterms:modified>
</cp:coreProperties>
</file>