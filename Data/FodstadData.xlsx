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46A34F39-A3A6-C94A-BB59-13DD4D2B3B1D}" xr6:coauthVersionLast="47" xr6:coauthVersionMax="47" xr10:uidLastSave="{00000000-0000-0000-0000-000000000000}"/>
  <bookViews>
    <workbookView xWindow="0" yWindow="500" windowWidth="28800" windowHeight="16060" activeTab="4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Parameters" sheetId="8" r:id="rId6"/>
    <sheet name="Arcs" sheetId="1" r:id="rId7"/>
    <sheet name="Traders" sheetId="3" r:id="rId8"/>
    <sheet name="Commoditie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9" l="1"/>
  <c r="C6" i="9"/>
  <c r="K6" i="9" s="1"/>
  <c r="B5" i="5"/>
  <c r="C5" i="5"/>
  <c r="B30" i="5"/>
  <c r="B4" i="5"/>
  <c r="F4" i="5" s="1"/>
  <c r="J6" i="9"/>
  <c r="L6" i="9"/>
  <c r="M6" i="9"/>
  <c r="Q6" i="9"/>
  <c r="P6" i="9"/>
  <c r="O6" i="9"/>
  <c r="N6" i="9"/>
  <c r="E5" i="9"/>
  <c r="I5" i="9" s="1"/>
  <c r="D5" i="9"/>
  <c r="H5" i="9" s="1"/>
  <c r="C5" i="9"/>
  <c r="K5" i="9" s="1"/>
  <c r="O5" i="9" s="1"/>
  <c r="B5" i="9"/>
  <c r="J5" i="9" s="1"/>
  <c r="N5" i="9" s="1"/>
  <c r="N4" i="9"/>
  <c r="J4" i="9"/>
  <c r="S12" i="2"/>
  <c r="T12" i="2"/>
  <c r="U12" i="2"/>
  <c r="V12" i="2"/>
  <c r="W12" i="2"/>
  <c r="S13" i="2"/>
  <c r="T13" i="2"/>
  <c r="U13" i="2"/>
  <c r="V13" i="2"/>
  <c r="W13" i="2"/>
  <c r="S14" i="2"/>
  <c r="T14" i="2"/>
  <c r="U14" i="2"/>
  <c r="V14" i="2"/>
  <c r="W14" i="2"/>
  <c r="S15" i="2"/>
  <c r="T15" i="2"/>
  <c r="U15" i="2"/>
  <c r="V15" i="2"/>
  <c r="W15" i="2"/>
  <c r="S16" i="2"/>
  <c r="T16" i="2"/>
  <c r="U16" i="2"/>
  <c r="V16" i="2"/>
  <c r="W16" i="2"/>
  <c r="S17" i="2"/>
  <c r="T17" i="2"/>
  <c r="U17" i="2"/>
  <c r="V17" i="2"/>
  <c r="W17" i="2"/>
  <c r="S18" i="2"/>
  <c r="T18" i="2"/>
  <c r="U18" i="2"/>
  <c r="V18" i="2"/>
  <c r="W18" i="2"/>
  <c r="S19" i="2"/>
  <c r="T19" i="2"/>
  <c r="U19" i="2"/>
  <c r="V19" i="2"/>
  <c r="W19" i="2"/>
  <c r="S20" i="2"/>
  <c r="T20" i="2"/>
  <c r="U20" i="2"/>
  <c r="V20" i="2"/>
  <c r="W20" i="2"/>
  <c r="S21" i="2"/>
  <c r="T21" i="2"/>
  <c r="U21" i="2"/>
  <c r="V21" i="2"/>
  <c r="W21" i="2"/>
  <c r="F23" i="2"/>
  <c r="F10" i="2" s="1"/>
  <c r="X7" i="2"/>
  <c r="AD7" i="2" s="1"/>
  <c r="X4" i="2"/>
  <c r="AD4" i="2" s="1"/>
  <c r="X5" i="2"/>
  <c r="AD5" i="2" s="1"/>
  <c r="X6" i="2"/>
  <c r="AD6" i="2" s="1"/>
  <c r="X8" i="2"/>
  <c r="AD8" i="2" s="1"/>
  <c r="X9" i="2"/>
  <c r="AD9" i="2" s="1"/>
  <c r="X10" i="2"/>
  <c r="AD10" i="2" s="1"/>
  <c r="X11" i="2"/>
  <c r="AD11" i="2" s="1"/>
  <c r="R12" i="2"/>
  <c r="X12" i="2" s="1"/>
  <c r="AD12" i="2" s="1"/>
  <c r="R13" i="2"/>
  <c r="X13" i="2" s="1"/>
  <c r="AD13" i="2" s="1"/>
  <c r="R14" i="2"/>
  <c r="X14" i="2" s="1"/>
  <c r="AD14" i="2" s="1"/>
  <c r="R15" i="2"/>
  <c r="X15" i="2" s="1"/>
  <c r="AD15" i="2" s="1"/>
  <c r="R16" i="2"/>
  <c r="X16" i="2" s="1"/>
  <c r="AD16" i="2" s="1"/>
  <c r="R17" i="2"/>
  <c r="X17" i="2" s="1"/>
  <c r="AD17" i="2" s="1"/>
  <c r="R18" i="2"/>
  <c r="X18" i="2" s="1"/>
  <c r="AD18" i="2" s="1"/>
  <c r="R19" i="2"/>
  <c r="X19" i="2" s="1"/>
  <c r="AD19" i="2" s="1"/>
  <c r="R20" i="2"/>
  <c r="X20" i="2" s="1"/>
  <c r="AD20" i="2" s="1"/>
  <c r="R21" i="2"/>
  <c r="X21" i="2" s="1"/>
  <c r="AD21" i="2" s="1"/>
  <c r="A9" i="6"/>
  <c r="A8" i="6"/>
  <c r="W3" i="2"/>
  <c r="AC3" i="2" s="1"/>
  <c r="AI3" i="2" s="1"/>
  <c r="V3" i="2"/>
  <c r="AB3" i="2" s="1"/>
  <c r="AH3" i="2" s="1"/>
  <c r="U3" i="2"/>
  <c r="AA3" i="2" s="1"/>
  <c r="AG3" i="2" s="1"/>
  <c r="T3" i="2"/>
  <c r="Z3" i="2" s="1"/>
  <c r="AF3" i="2" s="1"/>
  <c r="S3" i="2"/>
  <c r="Y3" i="2" s="1"/>
  <c r="AE3" i="2" s="1"/>
  <c r="R3" i="2"/>
  <c r="X3" i="2" s="1"/>
  <c r="AD3" i="2" s="1"/>
  <c r="A7" i="6"/>
  <c r="A6" i="6"/>
  <c r="A5" i="6"/>
  <c r="A4" i="6"/>
  <c r="A3" i="6"/>
  <c r="A2" i="6"/>
  <c r="K1" i="1"/>
  <c r="I1" i="1"/>
  <c r="AD2" i="2"/>
  <c r="X2" i="2"/>
  <c r="X1" i="2"/>
  <c r="F1" i="2"/>
  <c r="R2" i="2"/>
  <c r="F2" i="2"/>
  <c r="E4" i="5"/>
  <c r="I4" i="5" s="1"/>
  <c r="D4" i="5"/>
  <c r="H4" i="5" s="1"/>
  <c r="C4" i="5"/>
  <c r="G4" i="5" s="1"/>
  <c r="D6" i="1"/>
  <c r="H6" i="1" s="1"/>
  <c r="D24" i="1"/>
  <c r="H24" i="1" s="1"/>
  <c r="C24" i="1"/>
  <c r="G24" i="1" s="1"/>
  <c r="D23" i="1"/>
  <c r="H23" i="1" s="1"/>
  <c r="C23" i="1"/>
  <c r="G23" i="1" s="1"/>
  <c r="D22" i="1"/>
  <c r="H22" i="1" s="1"/>
  <c r="C22" i="1"/>
  <c r="G22" i="1" s="1"/>
  <c r="D21" i="1"/>
  <c r="H21" i="1" s="1"/>
  <c r="C21" i="1"/>
  <c r="G21" i="1" s="1"/>
  <c r="D20" i="1"/>
  <c r="H20" i="1" s="1"/>
  <c r="C20" i="1"/>
  <c r="G20" i="1" s="1"/>
  <c r="D19" i="1"/>
  <c r="H19" i="1" s="1"/>
  <c r="C19" i="1"/>
  <c r="G19" i="1" s="1"/>
  <c r="D18" i="1"/>
  <c r="H18" i="1" s="1"/>
  <c r="C18" i="1"/>
  <c r="G18" i="1" s="1"/>
  <c r="D17" i="1"/>
  <c r="H17" i="1" s="1"/>
  <c r="C17" i="1"/>
  <c r="G17" i="1" s="1"/>
  <c r="D16" i="1"/>
  <c r="H16" i="1" s="1"/>
  <c r="C16" i="1"/>
  <c r="G16" i="1" s="1"/>
  <c r="D15" i="1"/>
  <c r="H15" i="1" s="1"/>
  <c r="C15" i="1"/>
  <c r="G15" i="1" s="1"/>
  <c r="D14" i="1"/>
  <c r="H14" i="1" s="1"/>
  <c r="C14" i="1"/>
  <c r="G14" i="1" s="1"/>
  <c r="D13" i="1"/>
  <c r="H13" i="1" s="1"/>
  <c r="C13" i="1"/>
  <c r="G13" i="1" s="1"/>
  <c r="D12" i="1"/>
  <c r="H12" i="1" s="1"/>
  <c r="C12" i="1"/>
  <c r="G12" i="1" s="1"/>
  <c r="D11" i="1"/>
  <c r="H11" i="1" s="1"/>
  <c r="C11" i="1"/>
  <c r="G11" i="1" s="1"/>
  <c r="D10" i="1"/>
  <c r="H10" i="1" s="1"/>
  <c r="C10" i="1"/>
  <c r="G10" i="1" s="1"/>
  <c r="D9" i="1"/>
  <c r="H9" i="1" s="1"/>
  <c r="C9" i="1"/>
  <c r="G9" i="1" s="1"/>
  <c r="D8" i="1"/>
  <c r="H8" i="1" s="1"/>
  <c r="C8" i="1"/>
  <c r="G8" i="1" s="1"/>
  <c r="D7" i="1"/>
  <c r="H7" i="1" s="1"/>
  <c r="C7" i="1"/>
  <c r="G7" i="1" s="1"/>
  <c r="C6" i="1"/>
  <c r="G6" i="1" s="1"/>
  <c r="D5" i="1"/>
  <c r="H5" i="1" s="1"/>
  <c r="C5" i="1"/>
  <c r="G5" i="1" s="1"/>
  <c r="D4" i="1"/>
  <c r="H4" i="1" s="1"/>
  <c r="C4" i="1"/>
  <c r="G4" i="1" s="1"/>
  <c r="B31" i="9" l="1"/>
  <c r="F5" i="9"/>
  <c r="G5" i="9"/>
  <c r="M5" i="9"/>
  <c r="Q5" i="9" s="1"/>
  <c r="L5" i="9"/>
  <c r="P5" i="9" s="1"/>
  <c r="F4" i="2"/>
  <c r="F7" i="2"/>
</calcChain>
</file>

<file path=xl/sharedStrings.xml><?xml version="1.0" encoding="utf-8"?>
<sst xmlns="http://schemas.openxmlformats.org/spreadsheetml/2006/main" count="162" uniqueCount="102">
  <si>
    <t>ID</t>
  </si>
  <si>
    <t>Name</t>
  </si>
  <si>
    <t>Source</t>
  </si>
  <si>
    <t>Sink</t>
  </si>
  <si>
    <t>Type</t>
  </si>
  <si>
    <t>AreaA</t>
  </si>
  <si>
    <t>Oseberg</t>
  </si>
  <si>
    <t>Heimdal</t>
  </si>
  <si>
    <t>Kollsnes</t>
  </si>
  <si>
    <t>AreaB</t>
  </si>
  <si>
    <t>Nyhamna</t>
  </si>
  <si>
    <t>AreaD</t>
  </si>
  <si>
    <t>Ekofisk</t>
  </si>
  <si>
    <t>NBP</t>
  </si>
  <si>
    <t>Zeebrugge</t>
  </si>
  <si>
    <t>Dunkerque</t>
  </si>
  <si>
    <t>Germany</t>
  </si>
  <si>
    <t>Intermediate 1</t>
  </si>
  <si>
    <t>Field</t>
  </si>
  <si>
    <t>Intermediate node</t>
  </si>
  <si>
    <t>Market</t>
  </si>
  <si>
    <t>Tampen Link</t>
  </si>
  <si>
    <t>Vesterled</t>
  </si>
  <si>
    <t>Langeled</t>
  </si>
  <si>
    <t>Zeepipe</t>
  </si>
  <si>
    <t>Zeepipe II A</t>
  </si>
  <si>
    <t>Zeepipe II B</t>
  </si>
  <si>
    <t>Crossover</t>
  </si>
  <si>
    <t>Statpipe</t>
  </si>
  <si>
    <t>Franpipe</t>
  </si>
  <si>
    <t>Norpipe</t>
  </si>
  <si>
    <t>Europipe I</t>
  </si>
  <si>
    <t>Europipe II</t>
  </si>
  <si>
    <t>Åsgard Transport</t>
  </si>
  <si>
    <t>Arc 1</t>
  </si>
  <si>
    <t>Arc 2</t>
  </si>
  <si>
    <t>Arc 3</t>
  </si>
  <si>
    <t>Arc 4</t>
  </si>
  <si>
    <t>Karstø</t>
  </si>
  <si>
    <t>Source_ID</t>
  </si>
  <si>
    <t>Sink_ID</t>
  </si>
  <si>
    <t>Sleipner</t>
  </si>
  <si>
    <t>Draupner E</t>
  </si>
  <si>
    <t>Draupner S</t>
  </si>
  <si>
    <t>Ekofisk Y</t>
  </si>
  <si>
    <t>Intermediate 2</t>
  </si>
  <si>
    <t>Intermediate 3</t>
  </si>
  <si>
    <t>Intermediate 4</t>
  </si>
  <si>
    <t>Intermediate 5</t>
  </si>
  <si>
    <t>Opmerking</t>
  </si>
  <si>
    <t>Zeker</t>
  </si>
  <si>
    <t>St Fergus</t>
  </si>
  <si>
    <t>Production Capacity</t>
  </si>
  <si>
    <t>Storage Capacity</t>
  </si>
  <si>
    <t>Shipper 1</t>
  </si>
  <si>
    <t>Shipper 2</t>
  </si>
  <si>
    <t>gas</t>
  </si>
  <si>
    <t>hydrogen</t>
  </si>
  <si>
    <t>Hour</t>
  </si>
  <si>
    <t>Demand</t>
  </si>
  <si>
    <t>Gas</t>
  </si>
  <si>
    <t>Hydrogen</t>
  </si>
  <si>
    <t>Vermoeden</t>
  </si>
  <si>
    <t>Flow costs</t>
  </si>
  <si>
    <t>Unit</t>
  </si>
  <si>
    <t>Production Costs</t>
  </si>
  <si>
    <t>Explanation</t>
  </si>
  <si>
    <t>Quantity</t>
  </si>
  <si>
    <t>NOK / MSm3</t>
  </si>
  <si>
    <t>Entry Storage Costs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</si>
  <si>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</si>
  <si>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</si>
  <si>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</si>
  <si>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Andere data</t>
  </si>
  <si>
    <t>Overleg met Ruud</t>
  </si>
  <si>
    <t>Google</t>
  </si>
  <si>
    <t>Ruud &amp; Google</t>
  </si>
  <si>
    <t>Ruud (Google; 21,2?)</t>
  </si>
  <si>
    <t>Ruud (Google; 27?)</t>
  </si>
  <si>
    <t>Total Production Cap</t>
  </si>
  <si>
    <t>Known Prod Cap</t>
  </si>
  <si>
    <t>Probability</t>
  </si>
  <si>
    <t>Entry Costs Stage 1</t>
  </si>
  <si>
    <t>Exit Costs Stage 1</t>
  </si>
  <si>
    <t>Entry Costs Stage 2</t>
  </si>
  <si>
    <t>Exit Costs Stage 2</t>
  </si>
  <si>
    <t>Entry Costs Stage 3</t>
  </si>
  <si>
    <t>Exit Costs Stage 3</t>
  </si>
  <si>
    <t>gas or mix</t>
  </si>
  <si>
    <t>pure hydrogen</t>
  </si>
  <si>
    <t>Loss rate</t>
  </si>
  <si>
    <t>Allowed percentage</t>
  </si>
  <si>
    <t>Gamma</t>
  </si>
  <si>
    <t>Hours</t>
  </si>
  <si>
    <t>Capacity</t>
  </si>
  <si>
    <t>Entry Capacity</t>
  </si>
  <si>
    <t>Exit Capacity</t>
  </si>
  <si>
    <t>Node Number</t>
  </si>
  <si>
    <t>Parent Node Number</t>
  </si>
  <si>
    <t>Stage 2 nodes</t>
  </si>
  <si>
    <t>Stage 3 nodes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</si>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</sst>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2"/>
      <color rgb="FF9C5700"/>
      <name val="Calibri"/>
      <family val="2"/>
      <scheme val="minor"/>
    </font>
    <font>
      <sz val="12"/>
      <color rgb="FF20212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5" fillId="0" borderId="1" xfId="0" applyFont="1" applyBorder="1"/>
    <xf numFmtId="0" fontId="6" fillId="3" borderId="1" xfId="2" applyFont="1" applyBorder="1"/>
    <xf numFmtId="0" fontId="7" fillId="2" borderId="1" xfId="1" applyFont="1" applyBorder="1"/>
    <xf numFmtId="0" fontId="5" fillId="0" borderId="2" xfId="0" applyFont="1" applyBorder="1"/>
    <xf numFmtId="0" fontId="5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7" fillId="2" borderId="1" xfId="1" applyFont="1" applyBorder="1" applyAlignment="1">
      <alignment horizontal="center"/>
    </xf>
    <xf numFmtId="0" fontId="8" fillId="4" borderId="1" xfId="3" applyFont="1" applyBorder="1" applyAlignment="1">
      <alignment horizontal="center"/>
    </xf>
    <xf numFmtId="0" fontId="6" fillId="3" borderId="1" xfId="2" applyFont="1" applyBorder="1" applyAlignment="1">
      <alignment horizontal="center"/>
    </xf>
    <xf numFmtId="0" fontId="6" fillId="3" borderId="2" xfId="2" applyFont="1" applyBorder="1" applyAlignment="1">
      <alignment horizontal="center"/>
    </xf>
    <xf numFmtId="0" fontId="6" fillId="3" borderId="3" xfId="2" applyFont="1" applyBorder="1" applyAlignment="1">
      <alignment horizontal="center"/>
    </xf>
    <xf numFmtId="0" fontId="6" fillId="3" borderId="4" xfId="2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4">
    <cellStyle name="Goed" xfId="1" builtinId="26"/>
    <cellStyle name="Neutraal" xfId="3" builtinId="28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topLeftCell="A12"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67</v>
      </c>
      <c r="B1" s="4" t="s">
        <v>64</v>
      </c>
      <c r="C1" s="4" t="s">
        <v>66</v>
      </c>
    </row>
    <row r="2" spans="1:3" ht="68" x14ac:dyDescent="0.2">
      <c r="A2" s="1" t="str">
        <f>Nodes!F3</f>
        <v>Production Capacity</v>
      </c>
      <c r="B2" s="9" t="s">
        <v>71</v>
      </c>
      <c r="C2" s="10" t="s">
        <v>72</v>
      </c>
    </row>
    <row r="3" spans="1:3" x14ac:dyDescent="0.2">
      <c r="A3" s="1" t="str">
        <f>Nodes!I3</f>
        <v>Production Costs</v>
      </c>
      <c r="B3" s="1" t="s">
        <v>68</v>
      </c>
      <c r="C3" s="1"/>
    </row>
    <row r="4" spans="1:3" ht="19" x14ac:dyDescent="0.2">
      <c r="A4" s="1" t="str">
        <f>Nodes!J3</f>
        <v>Storage Capacity</v>
      </c>
      <c r="B4" s="9" t="s">
        <v>70</v>
      </c>
      <c r="C4" s="9"/>
    </row>
    <row r="5" spans="1:3" x14ac:dyDescent="0.2">
      <c r="A5" s="1" t="str">
        <f>Nodes!K3</f>
        <v>Entry Storage Costs</v>
      </c>
      <c r="B5" s="1" t="s">
        <v>68</v>
      </c>
      <c r="C5" s="1"/>
    </row>
    <row r="6" spans="1:3" x14ac:dyDescent="0.2">
      <c r="A6" s="1" t="str">
        <f>Nodes!L3</f>
        <v>Entry Costs Stage 1</v>
      </c>
      <c r="B6" s="1" t="s">
        <v>68</v>
      </c>
      <c r="C6" s="1"/>
    </row>
    <row r="7" spans="1:3" x14ac:dyDescent="0.2">
      <c r="A7" s="1" t="str">
        <f>Nodes!M3</f>
        <v>Exit Costs Stage 1</v>
      </c>
      <c r="B7" s="1" t="s">
        <v>68</v>
      </c>
      <c r="C7" s="1"/>
    </row>
    <row r="8" spans="1:3" x14ac:dyDescent="0.2">
      <c r="A8" s="1" t="str">
        <f>Arcs!I3</f>
        <v>Flow costs</v>
      </c>
      <c r="B8" s="1" t="s">
        <v>68</v>
      </c>
      <c r="C8" s="1"/>
    </row>
    <row r="9" spans="1:3" ht="19" x14ac:dyDescent="0.2">
      <c r="A9" s="1" t="str">
        <f>Arcs!E3</f>
        <v>Capacity</v>
      </c>
      <c r="B9" s="9" t="s">
        <v>71</v>
      </c>
      <c r="C9" s="9"/>
    </row>
    <row r="10" spans="1:3" ht="19" x14ac:dyDescent="0.2">
      <c r="A10" s="1" t="s">
        <v>59</v>
      </c>
      <c r="B10" s="9" t="s">
        <v>71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I24"/>
  <sheetViews>
    <sheetView zoomScale="150" zoomScaleNormal="150" workbookViewId="0">
      <selection activeCell="H11" sqref="H11"/>
    </sheetView>
  </sheetViews>
  <sheetFormatPr baseColWidth="10" defaultRowHeight="16" x14ac:dyDescent="0.2"/>
  <cols>
    <col min="1" max="1" width="3.1640625" bestFit="1" customWidth="1"/>
    <col min="2" max="2" width="13.33203125" bestFit="1" customWidth="1"/>
    <col min="3" max="3" width="16.5" bestFit="1" customWidth="1"/>
    <col min="4" max="4" width="10.6640625" bestFit="1" customWidth="1"/>
    <col min="5" max="5" width="18.1640625" bestFit="1" customWidth="1"/>
    <col min="6" max="6" width="17.5" bestFit="1" customWidth="1"/>
    <col min="7" max="8" width="17.5" customWidth="1"/>
    <col min="9" max="9" width="14.6640625" bestFit="1" customWidth="1"/>
    <col min="10" max="10" width="15" bestFit="1" customWidth="1"/>
    <col min="11" max="11" width="17.33203125" bestFit="1" customWidth="1"/>
    <col min="12" max="12" width="17.1640625" bestFit="1" customWidth="1"/>
    <col min="13" max="13" width="15.83203125" bestFit="1" customWidth="1"/>
    <col min="14" max="14" width="17.1640625" bestFit="1" customWidth="1"/>
    <col min="15" max="15" width="15.83203125" customWidth="1"/>
    <col min="16" max="16" width="17.1640625" bestFit="1" customWidth="1"/>
    <col min="17" max="17" width="15.83203125" customWidth="1"/>
    <col min="18" max="18" width="17.5" bestFit="1" customWidth="1"/>
    <col min="19" max="19" width="14.6640625" bestFit="1" customWidth="1"/>
    <col min="20" max="20" width="15" bestFit="1" customWidth="1"/>
    <col min="21" max="21" width="17.33203125" bestFit="1" customWidth="1"/>
    <col min="22" max="22" width="10.33203125" bestFit="1" customWidth="1"/>
    <col min="23" max="23" width="15.83203125" bestFit="1" customWidth="1"/>
    <col min="24" max="24" width="17.5" bestFit="1" customWidth="1"/>
    <col min="25" max="25" width="14.6640625" bestFit="1" customWidth="1"/>
    <col min="26" max="26" width="15" bestFit="1" customWidth="1"/>
    <col min="27" max="27" width="17.33203125" bestFit="1" customWidth="1"/>
    <col min="28" max="28" width="10.33203125" bestFit="1" customWidth="1"/>
    <col min="29" max="29" width="9.1640625" bestFit="1" customWidth="1"/>
    <col min="30" max="30" width="17.5" bestFit="1" customWidth="1"/>
    <col min="31" max="31" width="14.6640625" bestFit="1" customWidth="1"/>
    <col min="32" max="32" width="15" bestFit="1" customWidth="1"/>
    <col min="33" max="33" width="17.33203125" bestFit="1" customWidth="1"/>
    <col min="34" max="34" width="10.33203125" bestFit="1" customWidth="1"/>
    <col min="35" max="35" width="15.83203125" bestFit="1" customWidth="1"/>
  </cols>
  <sheetData>
    <row r="1" spans="1:35" x14ac:dyDescent="0.2">
      <c r="F1" s="15" t="str">
        <f>Traders!B2</f>
        <v>Shipper 1</v>
      </c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 t="str">
        <f>Traders!B3</f>
        <v>Shipper 2</v>
      </c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</row>
    <row r="2" spans="1:35" x14ac:dyDescent="0.2">
      <c r="A2" s="8"/>
      <c r="B2" s="8"/>
      <c r="C2" s="8"/>
      <c r="D2" s="8"/>
      <c r="E2" s="8"/>
      <c r="F2" s="17" t="str">
        <f>Commodities!B2</f>
        <v>gas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9"/>
      <c r="R2" s="14" t="str">
        <f>Commodities!B3</f>
        <v>hydrogen</v>
      </c>
      <c r="S2" s="14"/>
      <c r="T2" s="14"/>
      <c r="U2" s="14"/>
      <c r="V2" s="14"/>
      <c r="W2" s="14"/>
      <c r="X2" s="16" t="str">
        <f>Commodities!B2</f>
        <v>gas</v>
      </c>
      <c r="Y2" s="16"/>
      <c r="Z2" s="16"/>
      <c r="AA2" s="16"/>
      <c r="AB2" s="16"/>
      <c r="AC2" s="16"/>
      <c r="AD2" s="14" t="str">
        <f>Commodities!B3</f>
        <v>hydrogen</v>
      </c>
      <c r="AE2" s="14"/>
      <c r="AF2" s="14"/>
      <c r="AG2" s="14"/>
      <c r="AH2" s="14"/>
      <c r="AI2" s="14"/>
    </row>
    <row r="3" spans="1:35" x14ac:dyDescent="0.2">
      <c r="A3" s="4" t="s">
        <v>0</v>
      </c>
      <c r="B3" s="4" t="s">
        <v>1</v>
      </c>
      <c r="C3" s="4" t="s">
        <v>4</v>
      </c>
      <c r="D3" s="4" t="s">
        <v>62</v>
      </c>
      <c r="E3" s="4" t="s">
        <v>2</v>
      </c>
      <c r="F3" s="5" t="s">
        <v>52</v>
      </c>
      <c r="G3" s="5" t="s">
        <v>95</v>
      </c>
      <c r="H3" s="5" t="s">
        <v>96</v>
      </c>
      <c r="I3" s="5" t="s">
        <v>65</v>
      </c>
      <c r="J3" s="5" t="s">
        <v>53</v>
      </c>
      <c r="K3" s="5" t="s">
        <v>69</v>
      </c>
      <c r="L3" s="5" t="s">
        <v>82</v>
      </c>
      <c r="M3" s="5" t="s">
        <v>83</v>
      </c>
      <c r="N3" s="5" t="s">
        <v>84</v>
      </c>
      <c r="O3" s="5" t="s">
        <v>85</v>
      </c>
      <c r="P3" s="5" t="s">
        <v>86</v>
      </c>
      <c r="Q3" s="5" t="s">
        <v>87</v>
      </c>
      <c r="R3" s="6" t="str">
        <f>F3</f>
        <v>Production Capacity</v>
      </c>
      <c r="S3" s="6" t="str">
        <f t="shared" ref="S3:W3" si="0">I3</f>
        <v>Production Costs</v>
      </c>
      <c r="T3" s="6" t="str">
        <f t="shared" si="0"/>
        <v>Storage Capacity</v>
      </c>
      <c r="U3" s="6" t="str">
        <f t="shared" si="0"/>
        <v>Entry Storage Costs</v>
      </c>
      <c r="V3" s="6" t="str">
        <f t="shared" si="0"/>
        <v>Entry Costs Stage 1</v>
      </c>
      <c r="W3" s="6" t="str">
        <f t="shared" si="0"/>
        <v>Exit Costs Stage 1</v>
      </c>
      <c r="X3" s="5" t="str">
        <f t="shared" ref="X3:AI3" si="1">R3</f>
        <v>Production Capacity</v>
      </c>
      <c r="Y3" s="5" t="str">
        <f t="shared" si="1"/>
        <v>Production Costs</v>
      </c>
      <c r="Z3" s="5" t="str">
        <f t="shared" si="1"/>
        <v>Storage Capacity</v>
      </c>
      <c r="AA3" s="5" t="str">
        <f t="shared" si="1"/>
        <v>Entry Storage Costs</v>
      </c>
      <c r="AB3" s="5" t="str">
        <f t="shared" si="1"/>
        <v>Entry Costs Stage 1</v>
      </c>
      <c r="AC3" s="5" t="str">
        <f t="shared" si="1"/>
        <v>Exit Costs Stage 1</v>
      </c>
      <c r="AD3" s="6" t="str">
        <f t="shared" si="1"/>
        <v>Production Capacity</v>
      </c>
      <c r="AE3" s="6" t="str">
        <f t="shared" si="1"/>
        <v>Production Costs</v>
      </c>
      <c r="AF3" s="6" t="str">
        <f t="shared" si="1"/>
        <v>Storage Capacity</v>
      </c>
      <c r="AG3" s="6" t="str">
        <f t="shared" si="1"/>
        <v>Entry Storage Costs</v>
      </c>
      <c r="AH3" s="6" t="str">
        <f t="shared" si="1"/>
        <v>Entry Costs Stage 1</v>
      </c>
      <c r="AI3" s="6" t="str">
        <f t="shared" si="1"/>
        <v>Exit Costs Stage 1</v>
      </c>
    </row>
    <row r="4" spans="1:35" x14ac:dyDescent="0.2">
      <c r="A4" s="1">
        <v>1</v>
      </c>
      <c r="B4" s="1" t="s">
        <v>5</v>
      </c>
      <c r="C4" s="1" t="s">
        <v>18</v>
      </c>
      <c r="D4" s="1"/>
      <c r="E4" s="11"/>
      <c r="F4" s="13">
        <f>($F$24-$F$23)/3</f>
        <v>24.933333333333337</v>
      </c>
      <c r="G4" s="13">
        <v>500</v>
      </c>
      <c r="H4" s="13">
        <v>0</v>
      </c>
      <c r="I4" s="2">
        <v>1</v>
      </c>
      <c r="J4" s="2">
        <v>0</v>
      </c>
      <c r="K4" s="2">
        <v>0</v>
      </c>
      <c r="L4" s="2">
        <v>1</v>
      </c>
      <c r="M4" s="2">
        <v>1</v>
      </c>
      <c r="N4" s="2">
        <v>3</v>
      </c>
      <c r="O4" s="2">
        <v>3</v>
      </c>
      <c r="P4" s="2">
        <v>5</v>
      </c>
      <c r="Q4" s="2">
        <v>5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2">
        <f>R4</f>
        <v>0</v>
      </c>
      <c r="Y4" s="2"/>
      <c r="Z4" s="2"/>
      <c r="AA4" s="2"/>
      <c r="AB4" s="2"/>
      <c r="AC4" s="2"/>
      <c r="AD4" s="3">
        <f>X4</f>
        <v>0</v>
      </c>
      <c r="AE4" s="3"/>
      <c r="AF4" s="3"/>
      <c r="AG4" s="3"/>
      <c r="AH4" s="3"/>
      <c r="AI4" s="3"/>
    </row>
    <row r="5" spans="1:35" x14ac:dyDescent="0.2">
      <c r="A5" s="1">
        <v>2</v>
      </c>
      <c r="B5" s="1" t="s">
        <v>6</v>
      </c>
      <c r="C5" s="1" t="s">
        <v>18</v>
      </c>
      <c r="D5" s="1"/>
      <c r="E5" t="s">
        <v>78</v>
      </c>
      <c r="F5" s="13">
        <v>27</v>
      </c>
      <c r="G5" s="13">
        <v>500</v>
      </c>
      <c r="H5" s="13">
        <v>0</v>
      </c>
      <c r="I5" s="2">
        <v>1</v>
      </c>
      <c r="J5" s="2">
        <v>0</v>
      </c>
      <c r="K5" s="2">
        <v>0</v>
      </c>
      <c r="L5" s="2">
        <v>1</v>
      </c>
      <c r="M5" s="2">
        <v>1</v>
      </c>
      <c r="N5" s="2">
        <v>3</v>
      </c>
      <c r="O5" s="2">
        <v>3</v>
      </c>
      <c r="P5" s="2">
        <v>5</v>
      </c>
      <c r="Q5" s="2">
        <v>5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2">
        <f t="shared" ref="X5:X21" si="2">R5</f>
        <v>0</v>
      </c>
      <c r="Y5" s="2"/>
      <c r="Z5" s="2"/>
      <c r="AA5" s="2"/>
      <c r="AB5" s="2"/>
      <c r="AC5" s="2"/>
      <c r="AD5" s="3">
        <f t="shared" ref="AD5:AD21" si="3">X5</f>
        <v>0</v>
      </c>
      <c r="AE5" s="3"/>
      <c r="AF5" s="3"/>
      <c r="AG5" s="3"/>
      <c r="AH5" s="3"/>
      <c r="AI5" s="3"/>
    </row>
    <row r="6" spans="1:35" x14ac:dyDescent="0.2">
      <c r="A6" s="1">
        <v>3</v>
      </c>
      <c r="B6" s="1" t="s">
        <v>7</v>
      </c>
      <c r="C6" s="1" t="s">
        <v>18</v>
      </c>
      <c r="D6" s="1"/>
      <c r="E6" s="12" t="s">
        <v>76</v>
      </c>
      <c r="F6" s="13">
        <v>0</v>
      </c>
      <c r="G6" s="13">
        <v>500</v>
      </c>
      <c r="H6" s="13">
        <v>0</v>
      </c>
      <c r="I6" s="2">
        <v>1</v>
      </c>
      <c r="J6" s="2">
        <v>0</v>
      </c>
      <c r="K6" s="2">
        <v>0</v>
      </c>
      <c r="L6" s="2">
        <v>1</v>
      </c>
      <c r="M6" s="2">
        <v>1</v>
      </c>
      <c r="N6" s="2">
        <v>3</v>
      </c>
      <c r="O6" s="2">
        <v>3</v>
      </c>
      <c r="P6" s="2">
        <v>5</v>
      </c>
      <c r="Q6" s="2">
        <v>5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2">
        <f t="shared" si="2"/>
        <v>0</v>
      </c>
      <c r="Y6" s="2"/>
      <c r="Z6" s="2"/>
      <c r="AA6" s="2"/>
      <c r="AB6" s="2"/>
      <c r="AC6" s="2"/>
      <c r="AD6" s="3">
        <f t="shared" si="3"/>
        <v>0</v>
      </c>
      <c r="AE6" s="3"/>
      <c r="AF6" s="3"/>
      <c r="AG6" s="3"/>
      <c r="AH6" s="3"/>
      <c r="AI6" s="3"/>
    </row>
    <row r="7" spans="1:35" x14ac:dyDescent="0.2">
      <c r="A7" s="1">
        <v>4</v>
      </c>
      <c r="B7" s="1" t="s">
        <v>9</v>
      </c>
      <c r="C7" s="1" t="s">
        <v>18</v>
      </c>
      <c r="D7" s="1"/>
      <c r="E7" s="11"/>
      <c r="F7" s="13">
        <f>($F$24-$F$23)/3</f>
        <v>24.933333333333337</v>
      </c>
      <c r="G7" s="13">
        <v>500</v>
      </c>
      <c r="H7" s="13">
        <v>0</v>
      </c>
      <c r="I7" s="2">
        <v>1</v>
      </c>
      <c r="J7" s="2">
        <v>0</v>
      </c>
      <c r="K7" s="2">
        <v>0</v>
      </c>
      <c r="L7" s="2">
        <v>1</v>
      </c>
      <c r="M7" s="2">
        <v>1</v>
      </c>
      <c r="N7" s="2">
        <v>3</v>
      </c>
      <c r="O7" s="2">
        <v>3</v>
      </c>
      <c r="P7" s="2">
        <v>5</v>
      </c>
      <c r="Q7" s="2">
        <v>5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2">
        <f t="shared" si="2"/>
        <v>0</v>
      </c>
      <c r="Y7" s="2"/>
      <c r="Z7" s="2"/>
      <c r="AA7" s="2"/>
      <c r="AB7" s="2"/>
      <c r="AC7" s="2"/>
      <c r="AD7" s="3">
        <f t="shared" si="3"/>
        <v>0</v>
      </c>
      <c r="AE7" s="3"/>
      <c r="AF7" s="3"/>
      <c r="AG7" s="3"/>
      <c r="AH7" s="3"/>
      <c r="AI7" s="3"/>
    </row>
    <row r="8" spans="1:35" x14ac:dyDescent="0.2">
      <c r="A8" s="1">
        <v>5</v>
      </c>
      <c r="B8" s="1" t="s">
        <v>8</v>
      </c>
      <c r="C8" s="1" t="s">
        <v>18</v>
      </c>
      <c r="D8" s="1"/>
      <c r="E8" s="11" t="s">
        <v>75</v>
      </c>
      <c r="F8" s="13">
        <v>143</v>
      </c>
      <c r="G8" s="13">
        <v>500</v>
      </c>
      <c r="H8" s="13">
        <v>0</v>
      </c>
      <c r="I8" s="2">
        <v>1</v>
      </c>
      <c r="J8" s="2">
        <v>0</v>
      </c>
      <c r="K8" s="2">
        <v>0</v>
      </c>
      <c r="L8" s="2">
        <v>1</v>
      </c>
      <c r="M8" s="2">
        <v>1</v>
      </c>
      <c r="N8" s="2">
        <v>3</v>
      </c>
      <c r="O8" s="2">
        <v>3</v>
      </c>
      <c r="P8" s="2">
        <v>5</v>
      </c>
      <c r="Q8" s="2">
        <v>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2">
        <f t="shared" si="2"/>
        <v>0</v>
      </c>
      <c r="Y8" s="2"/>
      <c r="Z8" s="2"/>
      <c r="AA8" s="2"/>
      <c r="AB8" s="2"/>
      <c r="AC8" s="2"/>
      <c r="AD8" s="3">
        <f t="shared" si="3"/>
        <v>0</v>
      </c>
      <c r="AE8" s="3"/>
      <c r="AF8" s="3"/>
      <c r="AG8" s="3"/>
      <c r="AH8" s="3"/>
      <c r="AI8" s="3"/>
    </row>
    <row r="9" spans="1:35" x14ac:dyDescent="0.2">
      <c r="A9" s="1">
        <v>6</v>
      </c>
      <c r="B9" s="1" t="s">
        <v>10</v>
      </c>
      <c r="C9" s="1" t="s">
        <v>18</v>
      </c>
      <c r="D9" s="1"/>
      <c r="E9" s="11"/>
      <c r="F9" s="13">
        <v>84</v>
      </c>
      <c r="G9" s="13">
        <v>500</v>
      </c>
      <c r="H9" s="13">
        <v>0</v>
      </c>
      <c r="I9" s="2">
        <v>1</v>
      </c>
      <c r="J9" s="2">
        <v>0</v>
      </c>
      <c r="K9" s="2">
        <v>0</v>
      </c>
      <c r="L9" s="2">
        <v>1</v>
      </c>
      <c r="M9" s="2">
        <v>1</v>
      </c>
      <c r="N9" s="2">
        <v>3</v>
      </c>
      <c r="O9" s="2">
        <v>3</v>
      </c>
      <c r="P9" s="2">
        <v>5</v>
      </c>
      <c r="Q9" s="2">
        <v>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2">
        <f t="shared" si="2"/>
        <v>0</v>
      </c>
      <c r="Y9" s="2"/>
      <c r="Z9" s="2"/>
      <c r="AA9" s="2"/>
      <c r="AB9" s="2"/>
      <c r="AC9" s="2"/>
      <c r="AD9" s="3">
        <f t="shared" si="3"/>
        <v>0</v>
      </c>
      <c r="AE9" s="3"/>
      <c r="AF9" s="3"/>
      <c r="AG9" s="3"/>
      <c r="AH9" s="3"/>
      <c r="AI9" s="3"/>
    </row>
    <row r="10" spans="1:35" x14ac:dyDescent="0.2">
      <c r="A10" s="1">
        <v>7</v>
      </c>
      <c r="B10" s="1" t="s">
        <v>11</v>
      </c>
      <c r="C10" s="1" t="s">
        <v>18</v>
      </c>
      <c r="D10" s="1"/>
      <c r="E10" s="11"/>
      <c r="F10" s="13">
        <f>($F$24-$F$23)/3</f>
        <v>24.933333333333337</v>
      </c>
      <c r="G10" s="13">
        <v>500</v>
      </c>
      <c r="H10" s="13">
        <v>0</v>
      </c>
      <c r="I10" s="2">
        <v>1</v>
      </c>
      <c r="J10" s="2">
        <v>0</v>
      </c>
      <c r="K10" s="2">
        <v>0</v>
      </c>
      <c r="L10" s="2">
        <v>1</v>
      </c>
      <c r="M10" s="2">
        <v>1</v>
      </c>
      <c r="N10" s="2">
        <v>3</v>
      </c>
      <c r="O10" s="2">
        <v>3</v>
      </c>
      <c r="P10" s="2">
        <v>5</v>
      </c>
      <c r="Q10" s="2">
        <v>5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2">
        <f t="shared" si="2"/>
        <v>0</v>
      </c>
      <c r="Y10" s="2"/>
      <c r="Z10" s="2"/>
      <c r="AA10" s="2"/>
      <c r="AB10" s="2"/>
      <c r="AC10" s="2"/>
      <c r="AD10" s="3">
        <f t="shared" si="3"/>
        <v>0</v>
      </c>
      <c r="AE10" s="3"/>
      <c r="AF10" s="3"/>
      <c r="AG10" s="3"/>
      <c r="AH10" s="3"/>
      <c r="AI10" s="3"/>
    </row>
    <row r="11" spans="1:35" x14ac:dyDescent="0.2">
      <c r="A11" s="1">
        <v>8</v>
      </c>
      <c r="B11" s="1" t="s">
        <v>12</v>
      </c>
      <c r="C11" s="1" t="s">
        <v>18</v>
      </c>
      <c r="D11" s="1"/>
      <c r="E11" t="s">
        <v>77</v>
      </c>
      <c r="F11" s="13">
        <v>21.2</v>
      </c>
      <c r="G11" s="13">
        <v>500</v>
      </c>
      <c r="H11" s="13">
        <v>0</v>
      </c>
      <c r="I11" s="2">
        <v>1</v>
      </c>
      <c r="J11" s="2">
        <v>0</v>
      </c>
      <c r="K11" s="2">
        <v>0</v>
      </c>
      <c r="L11" s="2">
        <v>1</v>
      </c>
      <c r="M11" s="2">
        <v>1</v>
      </c>
      <c r="N11" s="2">
        <v>3</v>
      </c>
      <c r="O11" s="2">
        <v>3</v>
      </c>
      <c r="P11" s="2">
        <v>5</v>
      </c>
      <c r="Q11" s="2">
        <v>5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2">
        <f t="shared" si="2"/>
        <v>0</v>
      </c>
      <c r="Y11" s="2"/>
      <c r="Z11" s="2"/>
      <c r="AA11" s="2"/>
      <c r="AB11" s="2"/>
      <c r="AC11" s="2"/>
      <c r="AD11" s="3">
        <f t="shared" si="3"/>
        <v>0</v>
      </c>
      <c r="AE11" s="3"/>
      <c r="AF11" s="3"/>
      <c r="AG11" s="3"/>
      <c r="AH11" s="3"/>
      <c r="AI11" s="3"/>
    </row>
    <row r="12" spans="1:35" x14ac:dyDescent="0.2">
      <c r="A12" s="1">
        <v>9</v>
      </c>
      <c r="B12" s="1" t="s">
        <v>13</v>
      </c>
      <c r="C12" s="1" t="s">
        <v>20</v>
      </c>
      <c r="D12" s="1"/>
      <c r="E12" s="11"/>
      <c r="F12" s="2">
        <v>0</v>
      </c>
      <c r="G12" s="2">
        <v>0</v>
      </c>
      <c r="H12" s="2">
        <v>500</v>
      </c>
      <c r="I12" s="2">
        <v>1</v>
      </c>
      <c r="J12" s="2">
        <v>0</v>
      </c>
      <c r="K12" s="2">
        <v>0</v>
      </c>
      <c r="L12" s="2">
        <v>1</v>
      </c>
      <c r="M12" s="2">
        <v>1</v>
      </c>
      <c r="N12" s="2">
        <v>3</v>
      </c>
      <c r="O12" s="2">
        <v>3</v>
      </c>
      <c r="P12" s="2">
        <v>5</v>
      </c>
      <c r="Q12" s="2">
        <v>5</v>
      </c>
      <c r="R12" s="3">
        <f t="shared" ref="R12:R21" si="4">F12</f>
        <v>0</v>
      </c>
      <c r="S12" s="3">
        <f t="shared" ref="S12:S21" si="5">I12</f>
        <v>1</v>
      </c>
      <c r="T12" s="3">
        <f t="shared" ref="T12:T21" si="6">J12</f>
        <v>0</v>
      </c>
      <c r="U12" s="3">
        <f t="shared" ref="U12:U21" si="7">K12</f>
        <v>0</v>
      </c>
      <c r="V12" s="3">
        <f t="shared" ref="V12:V21" si="8">L12</f>
        <v>1</v>
      </c>
      <c r="W12" s="3">
        <f t="shared" ref="W12:W21" si="9">M12</f>
        <v>1</v>
      </c>
      <c r="X12" s="2">
        <f t="shared" si="2"/>
        <v>0</v>
      </c>
      <c r="Y12" s="2"/>
      <c r="Z12" s="2"/>
      <c r="AA12" s="2"/>
      <c r="AB12" s="2"/>
      <c r="AC12" s="2"/>
      <c r="AD12" s="3">
        <f t="shared" si="3"/>
        <v>0</v>
      </c>
      <c r="AE12" s="3"/>
      <c r="AF12" s="3"/>
      <c r="AG12" s="3"/>
      <c r="AH12" s="3"/>
      <c r="AI12" s="3"/>
    </row>
    <row r="13" spans="1:35" x14ac:dyDescent="0.2">
      <c r="A13" s="1">
        <v>10</v>
      </c>
      <c r="B13" s="1" t="s">
        <v>14</v>
      </c>
      <c r="C13" s="1" t="s">
        <v>20</v>
      </c>
      <c r="D13" s="1"/>
      <c r="E13" s="1"/>
      <c r="F13" s="2">
        <v>0</v>
      </c>
      <c r="G13" s="2">
        <v>0</v>
      </c>
      <c r="H13" s="2">
        <v>500</v>
      </c>
      <c r="I13" s="2">
        <v>1</v>
      </c>
      <c r="J13" s="2">
        <v>0</v>
      </c>
      <c r="K13" s="2">
        <v>0</v>
      </c>
      <c r="L13" s="2">
        <v>1</v>
      </c>
      <c r="M13" s="2">
        <v>1</v>
      </c>
      <c r="N13" s="2">
        <v>3</v>
      </c>
      <c r="O13" s="2">
        <v>3</v>
      </c>
      <c r="P13" s="2">
        <v>5</v>
      </c>
      <c r="Q13" s="2">
        <v>5</v>
      </c>
      <c r="R13" s="3">
        <f t="shared" si="4"/>
        <v>0</v>
      </c>
      <c r="S13" s="3">
        <f t="shared" si="5"/>
        <v>1</v>
      </c>
      <c r="T13" s="3">
        <f t="shared" si="6"/>
        <v>0</v>
      </c>
      <c r="U13" s="3">
        <f t="shared" si="7"/>
        <v>0</v>
      </c>
      <c r="V13" s="3">
        <f t="shared" si="8"/>
        <v>1</v>
      </c>
      <c r="W13" s="3">
        <f t="shared" si="9"/>
        <v>1</v>
      </c>
      <c r="X13" s="2">
        <f t="shared" si="2"/>
        <v>0</v>
      </c>
      <c r="Y13" s="2"/>
      <c r="Z13" s="2"/>
      <c r="AA13" s="2"/>
      <c r="AB13" s="2"/>
      <c r="AC13" s="2"/>
      <c r="AD13" s="3">
        <f t="shared" si="3"/>
        <v>0</v>
      </c>
      <c r="AE13" s="3"/>
      <c r="AF13" s="3"/>
      <c r="AG13" s="3"/>
      <c r="AH13" s="3"/>
      <c r="AI13" s="3"/>
    </row>
    <row r="14" spans="1:35" x14ac:dyDescent="0.2">
      <c r="A14" s="1">
        <v>11</v>
      </c>
      <c r="B14" s="1" t="s">
        <v>15</v>
      </c>
      <c r="C14" s="1" t="s">
        <v>20</v>
      </c>
      <c r="D14" s="1"/>
      <c r="E14" s="1"/>
      <c r="F14" s="2">
        <v>0</v>
      </c>
      <c r="G14" s="2">
        <v>0</v>
      </c>
      <c r="H14" s="2">
        <v>500</v>
      </c>
      <c r="I14" s="2">
        <v>1</v>
      </c>
      <c r="J14" s="2">
        <v>0</v>
      </c>
      <c r="K14" s="2">
        <v>0</v>
      </c>
      <c r="L14" s="2">
        <v>1</v>
      </c>
      <c r="M14" s="2">
        <v>1</v>
      </c>
      <c r="N14" s="2">
        <v>3</v>
      </c>
      <c r="O14" s="2">
        <v>3</v>
      </c>
      <c r="P14" s="2">
        <v>5</v>
      </c>
      <c r="Q14" s="2">
        <v>5</v>
      </c>
      <c r="R14" s="3">
        <f t="shared" si="4"/>
        <v>0</v>
      </c>
      <c r="S14" s="3">
        <f t="shared" si="5"/>
        <v>1</v>
      </c>
      <c r="T14" s="3">
        <f t="shared" si="6"/>
        <v>0</v>
      </c>
      <c r="U14" s="3">
        <f t="shared" si="7"/>
        <v>0</v>
      </c>
      <c r="V14" s="3">
        <f t="shared" si="8"/>
        <v>1</v>
      </c>
      <c r="W14" s="3">
        <f t="shared" si="9"/>
        <v>1</v>
      </c>
      <c r="X14" s="2">
        <f t="shared" si="2"/>
        <v>0</v>
      </c>
      <c r="Y14" s="2"/>
      <c r="Z14" s="2"/>
      <c r="AA14" s="2"/>
      <c r="AB14" s="2"/>
      <c r="AC14" s="2"/>
      <c r="AD14" s="3">
        <f t="shared" si="3"/>
        <v>0</v>
      </c>
      <c r="AE14" s="3"/>
      <c r="AF14" s="3"/>
      <c r="AG14" s="3"/>
      <c r="AH14" s="3"/>
      <c r="AI14" s="3"/>
    </row>
    <row r="15" spans="1:35" x14ac:dyDescent="0.2">
      <c r="A15" s="1">
        <v>12</v>
      </c>
      <c r="B15" s="1" t="s">
        <v>16</v>
      </c>
      <c r="C15" s="1" t="s">
        <v>20</v>
      </c>
      <c r="D15" s="1"/>
      <c r="E15" s="1"/>
      <c r="F15" s="2">
        <v>0</v>
      </c>
      <c r="G15" s="2">
        <v>0</v>
      </c>
      <c r="H15" s="2">
        <v>500</v>
      </c>
      <c r="I15" s="2">
        <v>1</v>
      </c>
      <c r="J15" s="2">
        <v>0</v>
      </c>
      <c r="K15" s="2">
        <v>0</v>
      </c>
      <c r="L15" s="2">
        <v>1</v>
      </c>
      <c r="M15" s="2">
        <v>1</v>
      </c>
      <c r="N15" s="2">
        <v>3</v>
      </c>
      <c r="O15" s="2">
        <v>3</v>
      </c>
      <c r="P15" s="2">
        <v>5</v>
      </c>
      <c r="Q15" s="2">
        <v>5</v>
      </c>
      <c r="R15" s="3">
        <f t="shared" si="4"/>
        <v>0</v>
      </c>
      <c r="S15" s="3">
        <f t="shared" si="5"/>
        <v>1</v>
      </c>
      <c r="T15" s="3">
        <f t="shared" si="6"/>
        <v>0</v>
      </c>
      <c r="U15" s="3">
        <f t="shared" si="7"/>
        <v>0</v>
      </c>
      <c r="V15" s="3">
        <f t="shared" si="8"/>
        <v>1</v>
      </c>
      <c r="W15" s="3">
        <f t="shared" si="9"/>
        <v>1</v>
      </c>
      <c r="X15" s="2">
        <f t="shared" si="2"/>
        <v>0</v>
      </c>
      <c r="Y15" s="2"/>
      <c r="Z15" s="2"/>
      <c r="AA15" s="2"/>
      <c r="AB15" s="2"/>
      <c r="AC15" s="2"/>
      <c r="AD15" s="3">
        <f t="shared" si="3"/>
        <v>0</v>
      </c>
      <c r="AE15" s="3"/>
      <c r="AF15" s="3"/>
      <c r="AG15" s="3"/>
      <c r="AH15" s="3"/>
      <c r="AI15" s="3"/>
    </row>
    <row r="16" spans="1:35" x14ac:dyDescent="0.2">
      <c r="A16" s="1">
        <v>13</v>
      </c>
      <c r="B16" s="1" t="s">
        <v>17</v>
      </c>
      <c r="C16" s="1" t="s">
        <v>19</v>
      </c>
      <c r="D16" s="1" t="s">
        <v>51</v>
      </c>
      <c r="E16" s="1"/>
      <c r="F16" s="2">
        <v>0</v>
      </c>
      <c r="G16" s="2">
        <v>0</v>
      </c>
      <c r="H16" s="2">
        <v>0</v>
      </c>
      <c r="I16" s="2">
        <v>1</v>
      </c>
      <c r="J16" s="2">
        <v>0</v>
      </c>
      <c r="K16" s="2">
        <v>0</v>
      </c>
      <c r="L16" s="2">
        <v>1</v>
      </c>
      <c r="M16" s="2">
        <v>1</v>
      </c>
      <c r="N16" s="2">
        <v>3</v>
      </c>
      <c r="O16" s="2">
        <v>3</v>
      </c>
      <c r="P16" s="2">
        <v>5</v>
      </c>
      <c r="Q16" s="2">
        <v>5</v>
      </c>
      <c r="R16" s="3">
        <f t="shared" si="4"/>
        <v>0</v>
      </c>
      <c r="S16" s="3">
        <f t="shared" si="5"/>
        <v>1</v>
      </c>
      <c r="T16" s="3">
        <f t="shared" si="6"/>
        <v>0</v>
      </c>
      <c r="U16" s="3">
        <f t="shared" si="7"/>
        <v>0</v>
      </c>
      <c r="V16" s="3">
        <f t="shared" si="8"/>
        <v>1</v>
      </c>
      <c r="W16" s="3">
        <f t="shared" si="9"/>
        <v>1</v>
      </c>
      <c r="X16" s="2">
        <f t="shared" si="2"/>
        <v>0</v>
      </c>
      <c r="Y16" s="2"/>
      <c r="Z16" s="2"/>
      <c r="AA16" s="2"/>
      <c r="AB16" s="2"/>
      <c r="AC16" s="2"/>
      <c r="AD16" s="3">
        <f t="shared" si="3"/>
        <v>0</v>
      </c>
      <c r="AE16" s="3"/>
      <c r="AF16" s="3"/>
      <c r="AG16" s="3"/>
      <c r="AH16" s="3"/>
      <c r="AI16" s="3"/>
    </row>
    <row r="17" spans="1:35" x14ac:dyDescent="0.2">
      <c r="A17" s="1">
        <v>14</v>
      </c>
      <c r="B17" s="1" t="s">
        <v>45</v>
      </c>
      <c r="C17" s="1" t="s">
        <v>19</v>
      </c>
      <c r="D17" s="1" t="s">
        <v>42</v>
      </c>
      <c r="E17" s="1"/>
      <c r="F17" s="2">
        <v>0</v>
      </c>
      <c r="G17" s="2">
        <v>0</v>
      </c>
      <c r="H17" s="2">
        <v>0</v>
      </c>
      <c r="I17" s="2">
        <v>1</v>
      </c>
      <c r="J17" s="2">
        <v>0</v>
      </c>
      <c r="K17" s="2">
        <v>0</v>
      </c>
      <c r="L17" s="2">
        <v>1</v>
      </c>
      <c r="M17" s="2">
        <v>1</v>
      </c>
      <c r="N17" s="2">
        <v>3</v>
      </c>
      <c r="O17" s="2">
        <v>3</v>
      </c>
      <c r="P17" s="2">
        <v>5</v>
      </c>
      <c r="Q17" s="2">
        <v>5</v>
      </c>
      <c r="R17" s="3">
        <f t="shared" si="4"/>
        <v>0</v>
      </c>
      <c r="S17" s="3">
        <f t="shared" si="5"/>
        <v>1</v>
      </c>
      <c r="T17" s="3">
        <f t="shared" si="6"/>
        <v>0</v>
      </c>
      <c r="U17" s="3">
        <f t="shared" si="7"/>
        <v>0</v>
      </c>
      <c r="V17" s="3">
        <f t="shared" si="8"/>
        <v>1</v>
      </c>
      <c r="W17" s="3">
        <f t="shared" si="9"/>
        <v>1</v>
      </c>
      <c r="X17" s="2">
        <f t="shared" si="2"/>
        <v>0</v>
      </c>
      <c r="Y17" s="2"/>
      <c r="Z17" s="2"/>
      <c r="AA17" s="2"/>
      <c r="AB17" s="2"/>
      <c r="AC17" s="2"/>
      <c r="AD17" s="3">
        <f t="shared" si="3"/>
        <v>0</v>
      </c>
      <c r="AE17" s="3"/>
      <c r="AF17" s="3"/>
      <c r="AG17" s="3"/>
      <c r="AH17" s="3"/>
      <c r="AI17" s="3"/>
    </row>
    <row r="18" spans="1:35" x14ac:dyDescent="0.2">
      <c r="A18" s="1">
        <v>15</v>
      </c>
      <c r="B18" s="1" t="s">
        <v>46</v>
      </c>
      <c r="C18" s="1" t="s">
        <v>19</v>
      </c>
      <c r="D18" s="1" t="s">
        <v>41</v>
      </c>
      <c r="E18" s="1"/>
      <c r="F18" s="2">
        <v>0</v>
      </c>
      <c r="G18" s="2">
        <v>0</v>
      </c>
      <c r="H18" s="2">
        <v>0</v>
      </c>
      <c r="I18" s="2">
        <v>1</v>
      </c>
      <c r="J18" s="2">
        <v>0</v>
      </c>
      <c r="K18" s="2">
        <v>0</v>
      </c>
      <c r="L18" s="2">
        <v>1</v>
      </c>
      <c r="M18" s="2">
        <v>1</v>
      </c>
      <c r="N18" s="2">
        <v>3</v>
      </c>
      <c r="O18" s="2">
        <v>3</v>
      </c>
      <c r="P18" s="2">
        <v>5</v>
      </c>
      <c r="Q18" s="2">
        <v>5</v>
      </c>
      <c r="R18" s="3">
        <f t="shared" si="4"/>
        <v>0</v>
      </c>
      <c r="S18" s="3">
        <f t="shared" si="5"/>
        <v>1</v>
      </c>
      <c r="T18" s="3">
        <f t="shared" si="6"/>
        <v>0</v>
      </c>
      <c r="U18" s="3">
        <f t="shared" si="7"/>
        <v>0</v>
      </c>
      <c r="V18" s="3">
        <f t="shared" si="8"/>
        <v>1</v>
      </c>
      <c r="W18" s="3">
        <f t="shared" si="9"/>
        <v>1</v>
      </c>
      <c r="X18" s="2">
        <f t="shared" si="2"/>
        <v>0</v>
      </c>
      <c r="Y18" s="2"/>
      <c r="Z18" s="2"/>
      <c r="AA18" s="2"/>
      <c r="AB18" s="2"/>
      <c r="AC18" s="2"/>
      <c r="AD18" s="3">
        <f t="shared" si="3"/>
        <v>0</v>
      </c>
      <c r="AE18" s="3"/>
      <c r="AF18" s="3"/>
      <c r="AG18" s="3"/>
      <c r="AH18" s="3"/>
      <c r="AI18" s="3"/>
    </row>
    <row r="19" spans="1:35" x14ac:dyDescent="0.2">
      <c r="A19" s="1">
        <v>16</v>
      </c>
      <c r="B19" s="1" t="s">
        <v>47</v>
      </c>
      <c r="C19" s="1" t="s">
        <v>19</v>
      </c>
      <c r="D19" s="1" t="s">
        <v>43</v>
      </c>
      <c r="E19" s="1"/>
      <c r="F19" s="2">
        <v>0</v>
      </c>
      <c r="G19" s="2">
        <v>0</v>
      </c>
      <c r="H19" s="2">
        <v>0</v>
      </c>
      <c r="I19" s="2">
        <v>1</v>
      </c>
      <c r="J19" s="2">
        <v>0</v>
      </c>
      <c r="K19" s="2">
        <v>0</v>
      </c>
      <c r="L19" s="2">
        <v>1</v>
      </c>
      <c r="M19" s="2">
        <v>1</v>
      </c>
      <c r="N19" s="2">
        <v>3</v>
      </c>
      <c r="O19" s="2">
        <v>3</v>
      </c>
      <c r="P19" s="2">
        <v>5</v>
      </c>
      <c r="Q19" s="2">
        <v>5</v>
      </c>
      <c r="R19" s="3">
        <f t="shared" si="4"/>
        <v>0</v>
      </c>
      <c r="S19" s="3">
        <f t="shared" si="5"/>
        <v>1</v>
      </c>
      <c r="T19" s="3">
        <f t="shared" si="6"/>
        <v>0</v>
      </c>
      <c r="U19" s="3">
        <f t="shared" si="7"/>
        <v>0</v>
      </c>
      <c r="V19" s="3">
        <f t="shared" si="8"/>
        <v>1</v>
      </c>
      <c r="W19" s="3">
        <f t="shared" si="9"/>
        <v>1</v>
      </c>
      <c r="X19" s="2">
        <f t="shared" si="2"/>
        <v>0</v>
      </c>
      <c r="Y19" s="2"/>
      <c r="Z19" s="2"/>
      <c r="AA19" s="2"/>
      <c r="AB19" s="2"/>
      <c r="AC19" s="2"/>
      <c r="AD19" s="3">
        <f t="shared" si="3"/>
        <v>0</v>
      </c>
      <c r="AE19" s="3"/>
      <c r="AF19" s="3"/>
      <c r="AG19" s="3"/>
      <c r="AH19" s="3"/>
      <c r="AI19" s="3"/>
    </row>
    <row r="20" spans="1:35" x14ac:dyDescent="0.2">
      <c r="A20" s="1">
        <v>17</v>
      </c>
      <c r="B20" s="1" t="s">
        <v>48</v>
      </c>
      <c r="C20" s="1" t="s">
        <v>19</v>
      </c>
      <c r="D20" s="1" t="s">
        <v>44</v>
      </c>
      <c r="E20" s="1"/>
      <c r="F20" s="2">
        <v>0</v>
      </c>
      <c r="G20" s="2">
        <v>0</v>
      </c>
      <c r="H20" s="2">
        <v>0</v>
      </c>
      <c r="I20" s="2">
        <v>1</v>
      </c>
      <c r="J20" s="2">
        <v>0</v>
      </c>
      <c r="K20" s="2">
        <v>0</v>
      </c>
      <c r="L20" s="2">
        <v>1</v>
      </c>
      <c r="M20" s="2">
        <v>1</v>
      </c>
      <c r="N20" s="2">
        <v>3</v>
      </c>
      <c r="O20" s="2">
        <v>3</v>
      </c>
      <c r="P20" s="2">
        <v>5</v>
      </c>
      <c r="Q20" s="2">
        <v>5</v>
      </c>
      <c r="R20" s="3">
        <f t="shared" si="4"/>
        <v>0</v>
      </c>
      <c r="S20" s="3">
        <f t="shared" si="5"/>
        <v>1</v>
      </c>
      <c r="T20" s="3">
        <f t="shared" si="6"/>
        <v>0</v>
      </c>
      <c r="U20" s="3">
        <f t="shared" si="7"/>
        <v>0</v>
      </c>
      <c r="V20" s="3">
        <f t="shared" si="8"/>
        <v>1</v>
      </c>
      <c r="W20" s="3">
        <f t="shared" si="9"/>
        <v>1</v>
      </c>
      <c r="X20" s="2">
        <f t="shared" si="2"/>
        <v>0</v>
      </c>
      <c r="Y20" s="2"/>
      <c r="Z20" s="2"/>
      <c r="AA20" s="2"/>
      <c r="AB20" s="2"/>
      <c r="AC20" s="2"/>
      <c r="AD20" s="3">
        <f t="shared" si="3"/>
        <v>0</v>
      </c>
      <c r="AE20" s="3"/>
      <c r="AF20" s="3"/>
      <c r="AG20" s="3"/>
      <c r="AH20" s="3"/>
      <c r="AI20" s="3"/>
    </row>
    <row r="21" spans="1:35" x14ac:dyDescent="0.2">
      <c r="A21" s="1">
        <v>18</v>
      </c>
      <c r="B21" s="1" t="s">
        <v>38</v>
      </c>
      <c r="C21" s="1" t="s">
        <v>19</v>
      </c>
      <c r="D21" s="1"/>
      <c r="E21" s="1"/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2">
        <v>0</v>
      </c>
      <c r="L21" s="2">
        <v>1</v>
      </c>
      <c r="M21" s="2">
        <v>1</v>
      </c>
      <c r="N21" s="2">
        <v>3</v>
      </c>
      <c r="O21" s="2">
        <v>3</v>
      </c>
      <c r="P21" s="2">
        <v>5</v>
      </c>
      <c r="Q21" s="2">
        <v>5</v>
      </c>
      <c r="R21" s="3">
        <f t="shared" si="4"/>
        <v>0</v>
      </c>
      <c r="S21" s="3">
        <f t="shared" si="5"/>
        <v>1</v>
      </c>
      <c r="T21" s="3">
        <f t="shared" si="6"/>
        <v>0</v>
      </c>
      <c r="U21" s="3">
        <f t="shared" si="7"/>
        <v>0</v>
      </c>
      <c r="V21" s="3">
        <f t="shared" si="8"/>
        <v>1</v>
      </c>
      <c r="W21" s="3">
        <f t="shared" si="9"/>
        <v>1</v>
      </c>
      <c r="X21" s="2">
        <f t="shared" si="2"/>
        <v>0</v>
      </c>
      <c r="Y21" s="2"/>
      <c r="Z21" s="2"/>
      <c r="AA21" s="2"/>
      <c r="AB21" s="2"/>
      <c r="AC21" s="2"/>
      <c r="AD21" s="3">
        <f t="shared" si="3"/>
        <v>0</v>
      </c>
      <c r="AE21" s="3"/>
      <c r="AF21" s="3"/>
      <c r="AG21" s="3"/>
      <c r="AH21" s="3"/>
      <c r="AI21" s="3"/>
    </row>
    <row r="23" spans="1:35" x14ac:dyDescent="0.2">
      <c r="E23" t="s">
        <v>80</v>
      </c>
      <c r="F23">
        <f>SUM(F11+F9+F8+F6+F5)</f>
        <v>275.2</v>
      </c>
    </row>
    <row r="24" spans="1:35" x14ac:dyDescent="0.2">
      <c r="E24" t="s">
        <v>79</v>
      </c>
      <c r="F24">
        <v>350</v>
      </c>
    </row>
  </sheetData>
  <mergeCells count="6">
    <mergeCell ref="R2:W2"/>
    <mergeCell ref="F1:W1"/>
    <mergeCell ref="X1:AI1"/>
    <mergeCell ref="X2:AC2"/>
    <mergeCell ref="AD2:AI2"/>
    <mergeCell ref="F2:Q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I30"/>
  <sheetViews>
    <sheetView zoomScale="125" zoomScaleNormal="200" workbookViewId="0">
      <selection activeCell="B5" sqref="B5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9" x14ac:dyDescent="0.2">
      <c r="A1" s="4" t="s">
        <v>97</v>
      </c>
      <c r="B1" s="20">
        <v>1</v>
      </c>
      <c r="C1" s="20"/>
      <c r="D1" s="20"/>
      <c r="E1" s="20"/>
      <c r="F1" s="20"/>
      <c r="G1" s="20"/>
      <c r="H1" s="20"/>
      <c r="I1" s="20"/>
    </row>
    <row r="2" spans="1:9" x14ac:dyDescent="0.2">
      <c r="A2" s="4" t="s">
        <v>81</v>
      </c>
      <c r="B2" s="20">
        <v>1</v>
      </c>
      <c r="C2" s="20"/>
      <c r="D2" s="20"/>
      <c r="E2" s="20"/>
      <c r="F2" s="20"/>
      <c r="G2" s="20"/>
      <c r="H2" s="20"/>
      <c r="I2" s="20"/>
    </row>
    <row r="3" spans="1:9" x14ac:dyDescent="0.2">
      <c r="A3" s="4"/>
      <c r="B3" s="16" t="s">
        <v>88</v>
      </c>
      <c r="C3" s="16"/>
      <c r="D3" s="16"/>
      <c r="E3" s="16"/>
      <c r="F3" s="14" t="s">
        <v>89</v>
      </c>
      <c r="G3" s="14"/>
      <c r="H3" s="14"/>
      <c r="I3" s="14"/>
    </row>
    <row r="4" spans="1:9" x14ac:dyDescent="0.2">
      <c r="A4" s="4" t="s">
        <v>58</v>
      </c>
      <c r="B4" s="5" t="str">
        <f>Nodes!B12</f>
        <v>NBP</v>
      </c>
      <c r="C4" s="5" t="str">
        <f>Nodes!B13</f>
        <v>Zeebrugge</v>
      </c>
      <c r="D4" s="5" t="str">
        <f>Nodes!B14</f>
        <v>Dunkerque</v>
      </c>
      <c r="E4" s="5" t="str">
        <f>Nodes!B15</f>
        <v>Germany</v>
      </c>
      <c r="F4" s="6" t="str">
        <f>B4</f>
        <v>NBP</v>
      </c>
      <c r="G4" s="6" t="str">
        <f t="shared" ref="G4:I4" si="0">C4</f>
        <v>Zeebrugge</v>
      </c>
      <c r="H4" s="6" t="str">
        <f t="shared" si="0"/>
        <v>Dunkerque</v>
      </c>
      <c r="I4" s="6" t="str">
        <f t="shared" si="0"/>
        <v>Germany</v>
      </c>
    </row>
    <row r="5" spans="1:9" x14ac:dyDescent="0.2">
      <c r="A5" s="1">
        <v>0</v>
      </c>
      <c r="B5" s="2">
        <f>25.33+4.95</f>
        <v>30.279999999999998</v>
      </c>
      <c r="C5" s="2">
        <f>48.25+28.47</f>
        <v>76.72</v>
      </c>
      <c r="D5" s="2">
        <v>38.79</v>
      </c>
      <c r="E5" s="2">
        <v>58.48</v>
      </c>
      <c r="F5" s="3">
        <v>0</v>
      </c>
      <c r="G5" s="3">
        <v>0</v>
      </c>
      <c r="H5" s="3">
        <v>0</v>
      </c>
      <c r="I5" s="3">
        <v>0</v>
      </c>
    </row>
    <row r="6" spans="1:9" x14ac:dyDescent="0.2">
      <c r="A6" s="1">
        <v>1</v>
      </c>
      <c r="B6" s="2"/>
      <c r="C6" s="2"/>
      <c r="D6" s="2"/>
      <c r="E6" s="2"/>
      <c r="F6" s="3"/>
      <c r="G6" s="3"/>
      <c r="H6" s="3"/>
      <c r="I6" s="3"/>
    </row>
    <row r="7" spans="1:9" x14ac:dyDescent="0.2">
      <c r="A7" s="1">
        <v>2</v>
      </c>
      <c r="B7" s="2"/>
      <c r="C7" s="2"/>
      <c r="D7" s="2"/>
      <c r="E7" s="2"/>
      <c r="F7" s="3"/>
      <c r="G7" s="3"/>
      <c r="H7" s="3"/>
      <c r="I7" s="3"/>
    </row>
    <row r="8" spans="1:9" x14ac:dyDescent="0.2">
      <c r="A8" s="1">
        <v>3</v>
      </c>
      <c r="B8" s="2"/>
      <c r="C8" s="2"/>
      <c r="D8" s="2"/>
      <c r="E8" s="2"/>
      <c r="F8" s="3"/>
      <c r="G8" s="3"/>
      <c r="H8" s="3"/>
      <c r="I8" s="3"/>
    </row>
    <row r="9" spans="1:9" x14ac:dyDescent="0.2">
      <c r="A9" s="1">
        <v>4</v>
      </c>
      <c r="B9" s="2"/>
      <c r="C9" s="2"/>
      <c r="D9" s="2"/>
      <c r="E9" s="2"/>
      <c r="F9" s="3"/>
      <c r="G9" s="3"/>
      <c r="H9" s="3"/>
      <c r="I9" s="3"/>
    </row>
    <row r="10" spans="1:9" x14ac:dyDescent="0.2">
      <c r="A10" s="1">
        <v>5</v>
      </c>
      <c r="B10" s="2"/>
      <c r="C10" s="2"/>
      <c r="D10" s="2"/>
      <c r="E10" s="2"/>
      <c r="F10" s="3"/>
      <c r="G10" s="3"/>
      <c r="H10" s="3"/>
      <c r="I10" s="3"/>
    </row>
    <row r="11" spans="1:9" x14ac:dyDescent="0.2">
      <c r="A11" s="1">
        <v>6</v>
      </c>
      <c r="B11" s="2"/>
      <c r="C11" s="2"/>
      <c r="D11" s="2"/>
      <c r="E11" s="2"/>
      <c r="F11" s="3"/>
      <c r="G11" s="3"/>
      <c r="H11" s="3"/>
      <c r="I11" s="3"/>
    </row>
    <row r="12" spans="1:9" x14ac:dyDescent="0.2">
      <c r="A12" s="1">
        <v>7</v>
      </c>
      <c r="B12" s="2"/>
      <c r="C12" s="2"/>
      <c r="D12" s="2"/>
      <c r="E12" s="2"/>
      <c r="F12" s="3"/>
      <c r="G12" s="3"/>
      <c r="H12" s="3"/>
      <c r="I12" s="3"/>
    </row>
    <row r="13" spans="1:9" x14ac:dyDescent="0.2">
      <c r="A13" s="1">
        <v>8</v>
      </c>
      <c r="B13" s="2"/>
      <c r="C13" s="2"/>
      <c r="D13" s="2"/>
      <c r="E13" s="2"/>
      <c r="F13" s="3"/>
      <c r="G13" s="3"/>
      <c r="H13" s="3"/>
      <c r="I13" s="3"/>
    </row>
    <row r="14" spans="1:9" x14ac:dyDescent="0.2">
      <c r="A14" s="1">
        <v>9</v>
      </c>
      <c r="B14" s="2"/>
      <c r="C14" s="2"/>
      <c r="D14" s="2"/>
      <c r="E14" s="2"/>
      <c r="F14" s="3"/>
      <c r="G14" s="3"/>
      <c r="H14" s="3"/>
      <c r="I14" s="3"/>
    </row>
    <row r="15" spans="1:9" x14ac:dyDescent="0.2">
      <c r="A15" s="1">
        <v>10</v>
      </c>
      <c r="B15" s="2"/>
      <c r="C15" s="2"/>
      <c r="D15" s="2"/>
      <c r="E15" s="2"/>
      <c r="F15" s="3"/>
      <c r="G15" s="3"/>
      <c r="H15" s="3"/>
      <c r="I15" s="3"/>
    </row>
    <row r="16" spans="1:9" x14ac:dyDescent="0.2">
      <c r="A16" s="1">
        <v>11</v>
      </c>
      <c r="B16" s="2"/>
      <c r="C16" s="2"/>
      <c r="D16" s="2"/>
      <c r="E16" s="2"/>
      <c r="F16" s="3"/>
      <c r="G16" s="3"/>
      <c r="H16" s="3"/>
      <c r="I16" s="3"/>
    </row>
    <row r="17" spans="1:9" x14ac:dyDescent="0.2">
      <c r="A17" s="1">
        <v>12</v>
      </c>
      <c r="B17" s="2"/>
      <c r="C17" s="2"/>
      <c r="D17" s="2"/>
      <c r="E17" s="2"/>
      <c r="F17" s="3"/>
      <c r="G17" s="3"/>
      <c r="H17" s="3"/>
      <c r="I17" s="3"/>
    </row>
    <row r="18" spans="1:9" x14ac:dyDescent="0.2">
      <c r="A18" s="1">
        <v>13</v>
      </c>
      <c r="B18" s="2"/>
      <c r="C18" s="2"/>
      <c r="D18" s="2"/>
      <c r="E18" s="2"/>
      <c r="F18" s="3"/>
      <c r="G18" s="3"/>
      <c r="H18" s="3"/>
      <c r="I18" s="3"/>
    </row>
    <row r="19" spans="1:9" x14ac:dyDescent="0.2">
      <c r="A19" s="1">
        <v>14</v>
      </c>
      <c r="B19" s="2"/>
      <c r="C19" s="2"/>
      <c r="D19" s="2"/>
      <c r="E19" s="2"/>
      <c r="F19" s="3"/>
      <c r="G19" s="3"/>
      <c r="H19" s="3"/>
      <c r="I19" s="3"/>
    </row>
    <row r="20" spans="1:9" x14ac:dyDescent="0.2">
      <c r="A20" s="1">
        <v>15</v>
      </c>
      <c r="B20" s="2"/>
      <c r="C20" s="2"/>
      <c r="D20" s="2"/>
      <c r="E20" s="2"/>
      <c r="F20" s="3"/>
      <c r="G20" s="3"/>
      <c r="H20" s="3"/>
      <c r="I20" s="3"/>
    </row>
    <row r="21" spans="1:9" x14ac:dyDescent="0.2">
      <c r="A21" s="1">
        <v>16</v>
      </c>
      <c r="B21" s="2"/>
      <c r="C21" s="2"/>
      <c r="D21" s="2"/>
      <c r="E21" s="2"/>
      <c r="F21" s="3"/>
      <c r="G21" s="3"/>
      <c r="H21" s="3"/>
      <c r="I21" s="3"/>
    </row>
    <row r="22" spans="1:9" x14ac:dyDescent="0.2">
      <c r="A22" s="1">
        <v>17</v>
      </c>
      <c r="B22" s="2"/>
      <c r="C22" s="2"/>
      <c r="D22" s="2"/>
      <c r="E22" s="2"/>
      <c r="F22" s="3"/>
      <c r="G22" s="3"/>
      <c r="H22" s="3"/>
      <c r="I22" s="3"/>
    </row>
    <row r="23" spans="1:9" x14ac:dyDescent="0.2">
      <c r="A23" s="1">
        <v>18</v>
      </c>
      <c r="B23" s="2"/>
      <c r="C23" s="2"/>
      <c r="D23" s="2"/>
      <c r="E23" s="2"/>
      <c r="F23" s="3"/>
      <c r="G23" s="3"/>
      <c r="H23" s="3"/>
      <c r="I23" s="3"/>
    </row>
    <row r="24" spans="1:9" x14ac:dyDescent="0.2">
      <c r="A24" s="1">
        <v>19</v>
      </c>
      <c r="B24" s="2"/>
      <c r="C24" s="2"/>
      <c r="D24" s="2"/>
      <c r="E24" s="2"/>
      <c r="F24" s="3"/>
      <c r="G24" s="3"/>
      <c r="H24" s="3"/>
      <c r="I24" s="3"/>
    </row>
    <row r="25" spans="1:9" x14ac:dyDescent="0.2">
      <c r="A25" s="1">
        <v>20</v>
      </c>
      <c r="B25" s="2"/>
      <c r="C25" s="2"/>
      <c r="D25" s="2"/>
      <c r="E25" s="2"/>
      <c r="F25" s="3"/>
      <c r="G25" s="3"/>
      <c r="H25" s="3"/>
      <c r="I25" s="3"/>
    </row>
    <row r="26" spans="1:9" x14ac:dyDescent="0.2">
      <c r="A26" s="1">
        <v>21</v>
      </c>
      <c r="B26" s="2"/>
      <c r="C26" s="2"/>
      <c r="D26" s="2"/>
      <c r="E26" s="2"/>
      <c r="F26" s="3"/>
      <c r="G26" s="3"/>
      <c r="H26" s="3"/>
      <c r="I26" s="3"/>
    </row>
    <row r="27" spans="1:9" x14ac:dyDescent="0.2">
      <c r="A27" s="1">
        <v>22</v>
      </c>
      <c r="B27" s="2"/>
      <c r="C27" s="2"/>
      <c r="D27" s="2"/>
      <c r="E27" s="2"/>
      <c r="F27" s="3"/>
      <c r="G27" s="3"/>
      <c r="H27" s="3"/>
      <c r="I27" s="3"/>
    </row>
    <row r="28" spans="1:9" x14ac:dyDescent="0.2">
      <c r="A28" s="1">
        <v>23</v>
      </c>
      <c r="B28" s="2"/>
      <c r="C28" s="2"/>
      <c r="D28" s="2"/>
      <c r="E28" s="2"/>
      <c r="F28" s="3"/>
      <c r="G28" s="3"/>
      <c r="H28" s="3"/>
      <c r="I28" s="3"/>
    </row>
    <row r="30" spans="1:9" x14ac:dyDescent="0.2">
      <c r="B30">
        <f>SUM(B5:E5)</f>
        <v>204.26999999999998</v>
      </c>
    </row>
  </sheetData>
  <mergeCells count="4">
    <mergeCell ref="B3:E3"/>
    <mergeCell ref="F3:I3"/>
    <mergeCell ref="B1:I1"/>
    <mergeCell ref="B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Q31"/>
  <sheetViews>
    <sheetView tabSelected="1" zoomScale="113" zoomScaleNormal="150" workbookViewId="0">
      <selection activeCell="B6" sqref="B6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7" x14ac:dyDescent="0.2">
      <c r="A1" s="4" t="s">
        <v>97</v>
      </c>
      <c r="B1" s="20">
        <v>2</v>
      </c>
      <c r="C1" s="20"/>
      <c r="D1" s="20"/>
      <c r="E1" s="20"/>
      <c r="F1" s="20"/>
      <c r="G1" s="20"/>
      <c r="H1" s="20"/>
      <c r="I1" s="20"/>
      <c r="J1" s="20">
        <v>3</v>
      </c>
      <c r="K1" s="20"/>
      <c r="L1" s="20"/>
      <c r="M1" s="20"/>
      <c r="N1" s="20"/>
      <c r="O1" s="20"/>
      <c r="P1" s="20"/>
      <c r="Q1" s="20"/>
    </row>
    <row r="2" spans="1:17" x14ac:dyDescent="0.2">
      <c r="A2" s="4" t="s">
        <v>81</v>
      </c>
      <c r="B2" s="20">
        <v>0.5</v>
      </c>
      <c r="C2" s="20"/>
      <c r="D2" s="20"/>
      <c r="E2" s="20"/>
      <c r="F2" s="20"/>
      <c r="G2" s="20"/>
      <c r="H2" s="20"/>
      <c r="I2" s="20"/>
      <c r="J2" s="20">
        <v>0.5</v>
      </c>
      <c r="K2" s="20"/>
      <c r="L2" s="20"/>
      <c r="M2" s="20"/>
      <c r="N2" s="20"/>
      <c r="O2" s="20"/>
      <c r="P2" s="20"/>
      <c r="Q2" s="20"/>
    </row>
    <row r="3" spans="1:17" x14ac:dyDescent="0.2">
      <c r="A3" s="4" t="s">
        <v>98</v>
      </c>
      <c r="B3" s="21">
        <v>1</v>
      </c>
      <c r="C3" s="22"/>
      <c r="D3" s="22"/>
      <c r="E3" s="22"/>
      <c r="F3" s="22"/>
      <c r="G3" s="22"/>
      <c r="H3" s="22"/>
      <c r="I3" s="23"/>
      <c r="J3" s="21">
        <v>1</v>
      </c>
      <c r="K3" s="22"/>
      <c r="L3" s="22"/>
      <c r="M3" s="22"/>
      <c r="N3" s="22"/>
      <c r="O3" s="22"/>
      <c r="P3" s="22"/>
      <c r="Q3" s="23"/>
    </row>
    <row r="4" spans="1:17" x14ac:dyDescent="0.2">
      <c r="A4" s="4"/>
      <c r="B4" s="16" t="s">
        <v>88</v>
      </c>
      <c r="C4" s="16"/>
      <c r="D4" s="16"/>
      <c r="E4" s="16"/>
      <c r="F4" s="14" t="s">
        <v>89</v>
      </c>
      <c r="G4" s="14"/>
      <c r="H4" s="14"/>
      <c r="I4" s="14"/>
      <c r="J4" s="16" t="str">
        <f>B4</f>
        <v>gas or mix</v>
      </c>
      <c r="K4" s="16"/>
      <c r="L4" s="16"/>
      <c r="M4" s="16"/>
      <c r="N4" s="14" t="str">
        <f>F4</f>
        <v>pure hydrogen</v>
      </c>
      <c r="O4" s="14"/>
      <c r="P4" s="14"/>
      <c r="Q4" s="14"/>
    </row>
    <row r="5" spans="1:17" x14ac:dyDescent="0.2">
      <c r="A5" s="4" t="s">
        <v>58</v>
      </c>
      <c r="B5" s="5" t="str">
        <f>Nodes!B12</f>
        <v>NBP</v>
      </c>
      <c r="C5" s="5" t="str">
        <f>Nodes!B13</f>
        <v>Zeebrugge</v>
      </c>
      <c r="D5" s="5" t="str">
        <f>Nodes!B14</f>
        <v>Dunkerque</v>
      </c>
      <c r="E5" s="5" t="str">
        <f>Nodes!B15</f>
        <v>Germany</v>
      </c>
      <c r="F5" s="6" t="str">
        <f>B5</f>
        <v>NBP</v>
      </c>
      <c r="G5" s="6" t="str">
        <f t="shared" ref="G5:I5" si="0">C5</f>
        <v>Zeebrugge</v>
      </c>
      <c r="H5" s="6" t="str">
        <f t="shared" si="0"/>
        <v>Dunkerque</v>
      </c>
      <c r="I5" s="6" t="str">
        <f t="shared" si="0"/>
        <v>Germany</v>
      </c>
      <c r="J5" s="5" t="str">
        <f>B5</f>
        <v>NBP</v>
      </c>
      <c r="K5" s="5" t="str">
        <f t="shared" ref="K5:M5" si="1">C5</f>
        <v>Zeebrugge</v>
      </c>
      <c r="L5" s="5" t="str">
        <f t="shared" si="1"/>
        <v>Dunkerque</v>
      </c>
      <c r="M5" s="5" t="str">
        <f t="shared" si="1"/>
        <v>Germany</v>
      </c>
      <c r="N5" s="6" t="str">
        <f>J5</f>
        <v>NBP</v>
      </c>
      <c r="O5" s="6" t="str">
        <f t="shared" ref="O5:Q5" si="2">K5</f>
        <v>Zeebrugge</v>
      </c>
      <c r="P5" s="6" t="str">
        <f t="shared" si="2"/>
        <v>Dunkerque</v>
      </c>
      <c r="Q5" s="6" t="str">
        <f t="shared" si="2"/>
        <v>Germany</v>
      </c>
    </row>
    <row r="6" spans="1:17" x14ac:dyDescent="0.2">
      <c r="A6" s="1">
        <v>0</v>
      </c>
      <c r="B6" s="2">
        <f>25.33+4.95</f>
        <v>30.279999999999998</v>
      </c>
      <c r="C6" s="2">
        <f>48.25+28.47</f>
        <v>76.72</v>
      </c>
      <c r="D6" s="2">
        <v>38.79</v>
      </c>
      <c r="E6" s="2">
        <v>58.48</v>
      </c>
      <c r="F6" s="3">
        <v>0</v>
      </c>
      <c r="G6" s="3">
        <v>0</v>
      </c>
      <c r="H6" s="3">
        <v>0</v>
      </c>
      <c r="I6" s="3">
        <v>0</v>
      </c>
      <c r="J6" s="2">
        <f>B6+5</f>
        <v>35.28</v>
      </c>
      <c r="K6" s="2">
        <f t="shared" ref="K6:M6" si="3">C6+5</f>
        <v>81.72</v>
      </c>
      <c r="L6" s="2">
        <f t="shared" si="3"/>
        <v>43.79</v>
      </c>
      <c r="M6" s="2">
        <f t="shared" si="3"/>
        <v>63.48</v>
      </c>
      <c r="N6" s="3">
        <f>F6</f>
        <v>0</v>
      </c>
      <c r="O6" s="3">
        <f t="shared" ref="O6:Q6" si="4">G6</f>
        <v>0</v>
      </c>
      <c r="P6" s="3">
        <f t="shared" si="4"/>
        <v>0</v>
      </c>
      <c r="Q6" s="3">
        <f t="shared" si="4"/>
        <v>0</v>
      </c>
    </row>
    <row r="7" spans="1:17" x14ac:dyDescent="0.2">
      <c r="A7" s="1">
        <v>1</v>
      </c>
      <c r="B7" s="2"/>
      <c r="C7" s="2"/>
      <c r="D7" s="2"/>
      <c r="E7" s="2"/>
      <c r="F7" s="3"/>
      <c r="G7" s="3"/>
      <c r="H7" s="3"/>
      <c r="I7" s="3"/>
      <c r="J7" s="2"/>
      <c r="K7" s="2"/>
      <c r="L7" s="2"/>
      <c r="M7" s="2"/>
      <c r="N7" s="3"/>
      <c r="O7" s="3"/>
      <c r="P7" s="3"/>
      <c r="Q7" s="3"/>
    </row>
    <row r="8" spans="1:17" x14ac:dyDescent="0.2">
      <c r="A8" s="1">
        <v>2</v>
      </c>
      <c r="B8" s="2"/>
      <c r="C8" s="2"/>
      <c r="D8" s="2"/>
      <c r="E8" s="2"/>
      <c r="F8" s="3"/>
      <c r="G8" s="3"/>
      <c r="H8" s="3"/>
      <c r="I8" s="3"/>
      <c r="J8" s="2"/>
      <c r="K8" s="2"/>
      <c r="L8" s="2"/>
      <c r="M8" s="2"/>
      <c r="N8" s="3"/>
      <c r="O8" s="3"/>
      <c r="P8" s="3"/>
      <c r="Q8" s="3"/>
    </row>
    <row r="9" spans="1:17" x14ac:dyDescent="0.2">
      <c r="A9" s="1">
        <v>3</v>
      </c>
      <c r="B9" s="2"/>
      <c r="C9" s="2"/>
      <c r="D9" s="2"/>
      <c r="E9" s="2"/>
      <c r="F9" s="3"/>
      <c r="G9" s="3"/>
      <c r="H9" s="3"/>
      <c r="I9" s="3"/>
      <c r="J9" s="2"/>
      <c r="K9" s="2"/>
      <c r="L9" s="2"/>
      <c r="M9" s="2"/>
      <c r="N9" s="3"/>
      <c r="O9" s="3"/>
      <c r="P9" s="3"/>
      <c r="Q9" s="3"/>
    </row>
    <row r="10" spans="1:17" x14ac:dyDescent="0.2">
      <c r="A10" s="1">
        <v>4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</row>
    <row r="11" spans="1:17" x14ac:dyDescent="0.2">
      <c r="A11" s="1">
        <v>5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</row>
    <row r="12" spans="1:17" x14ac:dyDescent="0.2">
      <c r="A12" s="1">
        <v>6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</row>
    <row r="13" spans="1:17" x14ac:dyDescent="0.2">
      <c r="A13" s="1">
        <v>7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</row>
    <row r="14" spans="1:17" x14ac:dyDescent="0.2">
      <c r="A14" s="1">
        <v>8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</row>
    <row r="15" spans="1:17" x14ac:dyDescent="0.2">
      <c r="A15" s="1">
        <v>9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</row>
    <row r="16" spans="1:17" x14ac:dyDescent="0.2">
      <c r="A16" s="1">
        <v>10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</row>
    <row r="17" spans="1:17" x14ac:dyDescent="0.2">
      <c r="A17" s="1">
        <v>11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</row>
    <row r="18" spans="1:17" x14ac:dyDescent="0.2">
      <c r="A18" s="1">
        <v>12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</row>
    <row r="19" spans="1:17" x14ac:dyDescent="0.2">
      <c r="A19" s="1">
        <v>13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</row>
    <row r="20" spans="1:17" x14ac:dyDescent="0.2">
      <c r="A20" s="1">
        <v>14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</row>
    <row r="21" spans="1:17" x14ac:dyDescent="0.2">
      <c r="A21" s="1">
        <v>15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</row>
    <row r="22" spans="1:17" x14ac:dyDescent="0.2">
      <c r="A22" s="1">
        <v>16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</row>
    <row r="23" spans="1:17" x14ac:dyDescent="0.2">
      <c r="A23" s="1">
        <v>17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</row>
    <row r="24" spans="1:17" x14ac:dyDescent="0.2">
      <c r="A24" s="1">
        <v>18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</row>
    <row r="25" spans="1:17" x14ac:dyDescent="0.2">
      <c r="A25" s="1">
        <v>19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</row>
    <row r="26" spans="1:17" x14ac:dyDescent="0.2">
      <c r="A26" s="1">
        <v>20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</row>
    <row r="27" spans="1:17" x14ac:dyDescent="0.2">
      <c r="A27" s="1">
        <v>21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</row>
    <row r="28" spans="1:17" x14ac:dyDescent="0.2">
      <c r="A28" s="1">
        <v>22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</row>
    <row r="29" spans="1:17" x14ac:dyDescent="0.2">
      <c r="A29" s="1">
        <v>23</v>
      </c>
      <c r="B29" s="2"/>
      <c r="C29" s="2"/>
      <c r="D29" s="2"/>
      <c r="E29" s="2"/>
      <c r="F29" s="3"/>
      <c r="G29" s="3"/>
      <c r="H29" s="3"/>
      <c r="I29" s="3"/>
      <c r="J29" s="2"/>
      <c r="K29" s="2"/>
      <c r="L29" s="2"/>
      <c r="M29" s="2"/>
      <c r="N29" s="3"/>
      <c r="O29" s="3"/>
      <c r="P29" s="3"/>
      <c r="Q29" s="3"/>
    </row>
    <row r="31" spans="1:17" x14ac:dyDescent="0.2">
      <c r="B31">
        <f>SUM(B6:E6)</f>
        <v>204.26999999999998</v>
      </c>
    </row>
  </sheetData>
  <mergeCells count="10">
    <mergeCell ref="B1:I1"/>
    <mergeCell ref="J1:Q1"/>
    <mergeCell ref="B2:I2"/>
    <mergeCell ref="J2:Q2"/>
    <mergeCell ref="B4:E4"/>
    <mergeCell ref="F4:I4"/>
    <mergeCell ref="J4:M4"/>
    <mergeCell ref="N4:Q4"/>
    <mergeCell ref="B3:I3"/>
    <mergeCell ref="J3:Q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7"/>
  <sheetViews>
    <sheetView workbookViewId="0">
      <selection activeCell="B4" sqref="B4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8" t="s">
        <v>1</v>
      </c>
      <c r="B1" s="8" t="s">
        <v>101</v>
      </c>
    </row>
    <row r="2" spans="1:2" x14ac:dyDescent="0.2">
      <c r="A2" s="8" t="s">
        <v>90</v>
      </c>
      <c r="B2">
        <v>0</v>
      </c>
    </row>
    <row r="3" spans="1:2" x14ac:dyDescent="0.2">
      <c r="A3" s="8" t="s">
        <v>91</v>
      </c>
      <c r="B3">
        <v>1</v>
      </c>
    </row>
    <row r="4" spans="1:2" x14ac:dyDescent="0.2">
      <c r="A4" s="8" t="s">
        <v>92</v>
      </c>
      <c r="B4">
        <v>0.25</v>
      </c>
    </row>
    <row r="5" spans="1:2" x14ac:dyDescent="0.2">
      <c r="A5" s="8" t="s">
        <v>93</v>
      </c>
      <c r="B5">
        <v>1</v>
      </c>
    </row>
    <row r="6" spans="1:2" x14ac:dyDescent="0.2">
      <c r="A6" s="8" t="s">
        <v>99</v>
      </c>
      <c r="B6">
        <v>1</v>
      </c>
    </row>
    <row r="7" spans="1:2" x14ac:dyDescent="0.2">
      <c r="A7" s="8" t="s">
        <v>100</v>
      </c>
      <c r="B7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L24"/>
  <sheetViews>
    <sheetView topLeftCell="B1" zoomScale="150" zoomScaleNormal="200" workbookViewId="0">
      <selection activeCell="D4" sqref="D4"/>
    </sheetView>
  </sheetViews>
  <sheetFormatPr baseColWidth="10" defaultRowHeight="16" x14ac:dyDescent="0.2"/>
  <cols>
    <col min="2" max="2" width="15.1640625" bestFit="1" customWidth="1"/>
    <col min="3" max="4" width="13.33203125" bestFit="1" customWidth="1"/>
    <col min="5" max="5" width="17.1640625" bestFit="1" customWidth="1"/>
    <col min="6" max="6" width="16" bestFit="1" customWidth="1"/>
    <col min="9" max="9" width="13.1640625" bestFit="1" customWidth="1"/>
    <col min="10" max="10" width="13.5" bestFit="1" customWidth="1"/>
  </cols>
  <sheetData>
    <row r="1" spans="1:12" x14ac:dyDescent="0.2">
      <c r="I1" s="15" t="str">
        <f>Traders!B2</f>
        <v>Shipper 1</v>
      </c>
      <c r="J1" s="15"/>
      <c r="K1" s="15" t="str">
        <f>Traders!B3</f>
        <v>Shipper 2</v>
      </c>
      <c r="L1" s="15"/>
    </row>
    <row r="2" spans="1:12" x14ac:dyDescent="0.2">
      <c r="I2" s="5" t="s">
        <v>60</v>
      </c>
      <c r="J2" s="6" t="s">
        <v>61</v>
      </c>
      <c r="K2" s="5" t="s">
        <v>60</v>
      </c>
      <c r="L2" s="6" t="s">
        <v>61</v>
      </c>
    </row>
    <row r="3" spans="1:12" x14ac:dyDescent="0.2">
      <c r="A3" s="4" t="s">
        <v>0</v>
      </c>
      <c r="B3" s="4" t="s">
        <v>1</v>
      </c>
      <c r="C3" s="4" t="s">
        <v>2</v>
      </c>
      <c r="D3" s="4" t="s">
        <v>3</v>
      </c>
      <c r="E3" s="4" t="s">
        <v>94</v>
      </c>
      <c r="F3" s="4" t="s">
        <v>49</v>
      </c>
      <c r="G3" s="4" t="s">
        <v>39</v>
      </c>
      <c r="H3" s="7" t="s">
        <v>40</v>
      </c>
      <c r="I3" s="5" t="s">
        <v>63</v>
      </c>
      <c r="J3" s="6" t="s">
        <v>63</v>
      </c>
      <c r="K3" s="5" t="s">
        <v>63</v>
      </c>
      <c r="L3" s="6" t="s">
        <v>63</v>
      </c>
    </row>
    <row r="4" spans="1:12" x14ac:dyDescent="0.2">
      <c r="A4" s="1">
        <v>1</v>
      </c>
      <c r="B4" s="1" t="s">
        <v>21</v>
      </c>
      <c r="C4" s="1" t="str">
        <f>Nodes!B4</f>
        <v>AreaA</v>
      </c>
      <c r="D4" s="1" t="str">
        <f>Nodes!B12</f>
        <v>NBP</v>
      </c>
      <c r="E4" s="1">
        <v>25</v>
      </c>
      <c r="F4" s="1" t="s">
        <v>50</v>
      </c>
      <c r="G4" s="1">
        <f>INDEX(Nodes!$A:$A,MATCH(Arcs!C4,Nodes!$B:$B,0))</f>
        <v>1</v>
      </c>
      <c r="H4" s="1">
        <f>INDEX(Nodes!$A:$A,MATCH(Arcs!D4,Nodes!$B:$B,0))</f>
        <v>9</v>
      </c>
      <c r="I4" s="2">
        <v>1</v>
      </c>
      <c r="J4" s="3">
        <v>0</v>
      </c>
      <c r="K4" s="2"/>
      <c r="L4" s="3"/>
    </row>
    <row r="5" spans="1:12" x14ac:dyDescent="0.2">
      <c r="A5" s="1">
        <v>2</v>
      </c>
      <c r="B5" s="1" t="s">
        <v>22</v>
      </c>
      <c r="C5" s="1" t="str">
        <f>Nodes!B16</f>
        <v>Intermediate 1</v>
      </c>
      <c r="D5" s="1" t="str">
        <f>Nodes!B12</f>
        <v>NBP</v>
      </c>
      <c r="E5" s="1">
        <v>36.9</v>
      </c>
      <c r="F5" s="1" t="s">
        <v>50</v>
      </c>
      <c r="G5" s="1">
        <f>INDEX(Nodes!$A:$A,MATCH(Arcs!C5,Nodes!$B:$B,0))</f>
        <v>13</v>
      </c>
      <c r="H5" s="1">
        <f>INDEX(Nodes!$A:$A,MATCH(Arcs!D5,Nodes!$B:$B,0))</f>
        <v>9</v>
      </c>
      <c r="I5" s="2">
        <v>1</v>
      </c>
      <c r="J5" s="3">
        <v>0</v>
      </c>
      <c r="K5" s="2"/>
      <c r="L5" s="3"/>
    </row>
    <row r="6" spans="1:12" x14ac:dyDescent="0.2">
      <c r="A6" s="1">
        <v>3</v>
      </c>
      <c r="B6" s="1" t="s">
        <v>23</v>
      </c>
      <c r="C6" s="1" t="str">
        <f>Nodes!B9</f>
        <v>Nyhamna</v>
      </c>
      <c r="D6" s="1" t="str">
        <f>Nodes!B18</f>
        <v>Intermediate 3</v>
      </c>
      <c r="E6" s="1">
        <v>74.7</v>
      </c>
      <c r="F6" s="1" t="s">
        <v>50</v>
      </c>
      <c r="G6" s="1">
        <f>INDEX(Nodes!$A:$A,MATCH(Arcs!C6,Nodes!$B:$B,0))</f>
        <v>6</v>
      </c>
      <c r="H6" s="1">
        <f>INDEX(Nodes!$A:$A,MATCH(Arcs!D6,Nodes!$B:$B,0))</f>
        <v>15</v>
      </c>
      <c r="I6" s="2">
        <v>1</v>
      </c>
      <c r="J6" s="3">
        <v>0</v>
      </c>
      <c r="K6" s="2"/>
      <c r="L6" s="3"/>
    </row>
    <row r="7" spans="1:12" x14ac:dyDescent="0.2">
      <c r="A7" s="1">
        <v>4</v>
      </c>
      <c r="B7" s="1" t="s">
        <v>23</v>
      </c>
      <c r="C7" s="1" t="str">
        <f>Nodes!B18</f>
        <v>Intermediate 3</v>
      </c>
      <c r="D7" s="1" t="str">
        <f>Nodes!B12</f>
        <v>NBP</v>
      </c>
      <c r="E7" s="1">
        <v>72.099999999999994</v>
      </c>
      <c r="F7" s="1" t="s">
        <v>50</v>
      </c>
      <c r="G7" s="1">
        <f>INDEX(Nodes!$A:$A,MATCH(Arcs!C7,Nodes!$B:$B,0))</f>
        <v>15</v>
      </c>
      <c r="H7" s="1">
        <f>INDEX(Nodes!$A:$A,MATCH(Arcs!D7,Nodes!$B:$B,0))</f>
        <v>9</v>
      </c>
      <c r="I7" s="2">
        <v>1</v>
      </c>
      <c r="J7" s="3">
        <v>0</v>
      </c>
      <c r="K7" s="2"/>
      <c r="L7" s="3"/>
    </row>
    <row r="8" spans="1:12" x14ac:dyDescent="0.2">
      <c r="A8" s="1">
        <v>5</v>
      </c>
      <c r="B8" s="1" t="s">
        <v>24</v>
      </c>
      <c r="C8" s="1" t="str">
        <f>Nodes!B18</f>
        <v>Intermediate 3</v>
      </c>
      <c r="D8" s="1" t="str">
        <f>Nodes!B13</f>
        <v>Zeebrugge</v>
      </c>
      <c r="E8" s="1">
        <v>42.2</v>
      </c>
      <c r="F8" s="1" t="s">
        <v>50</v>
      </c>
      <c r="G8" s="1">
        <f>INDEX(Nodes!$A:$A,MATCH(Arcs!C8,Nodes!$B:$B,0))</f>
        <v>15</v>
      </c>
      <c r="H8" s="1">
        <f>INDEX(Nodes!$A:$A,MATCH(Arcs!D8,Nodes!$B:$B,0))</f>
        <v>10</v>
      </c>
      <c r="I8" s="2">
        <v>1</v>
      </c>
      <c r="J8" s="3">
        <v>0</v>
      </c>
      <c r="K8" s="2"/>
      <c r="L8" s="3"/>
    </row>
    <row r="9" spans="1:12" x14ac:dyDescent="0.2">
      <c r="A9" s="1">
        <v>6</v>
      </c>
      <c r="B9" s="1" t="s">
        <v>25</v>
      </c>
      <c r="C9" s="1" t="str">
        <f>Nodes!B8</f>
        <v>Kollsnes</v>
      </c>
      <c r="D9" s="1" t="str">
        <f>Nodes!B18</f>
        <v>Intermediate 3</v>
      </c>
      <c r="E9" s="1">
        <v>74</v>
      </c>
      <c r="F9" s="1" t="s">
        <v>50</v>
      </c>
      <c r="G9" s="1">
        <f>INDEX(Nodes!$A:$A,MATCH(Arcs!C9,Nodes!$B:$B,0))</f>
        <v>5</v>
      </c>
      <c r="H9" s="1">
        <f>INDEX(Nodes!$A:$A,MATCH(Arcs!D9,Nodes!$B:$B,0))</f>
        <v>15</v>
      </c>
      <c r="I9" s="2">
        <v>1</v>
      </c>
      <c r="J9" s="3">
        <v>0</v>
      </c>
      <c r="K9" s="2"/>
      <c r="L9" s="3"/>
    </row>
    <row r="10" spans="1:12" x14ac:dyDescent="0.2">
      <c r="A10" s="1">
        <v>7</v>
      </c>
      <c r="B10" s="1" t="s">
        <v>26</v>
      </c>
      <c r="C10" s="1" t="str">
        <f>Nodes!B8</f>
        <v>Kollsnes</v>
      </c>
      <c r="D10" s="1" t="str">
        <f>Nodes!B17</f>
        <v>Intermediate 2</v>
      </c>
      <c r="E10" s="1">
        <v>73</v>
      </c>
      <c r="F10" s="1" t="s">
        <v>50</v>
      </c>
      <c r="G10" s="1">
        <f>INDEX(Nodes!$A:$A,MATCH(Arcs!C10,Nodes!$B:$B,0))</f>
        <v>5</v>
      </c>
      <c r="H10" s="1">
        <f>INDEX(Nodes!$A:$A,MATCH(Arcs!D10,Nodes!$B:$B,0))</f>
        <v>14</v>
      </c>
      <c r="I10" s="2">
        <v>1</v>
      </c>
      <c r="J10" s="3">
        <v>0</v>
      </c>
      <c r="K10" s="2"/>
      <c r="L10" s="3"/>
    </row>
    <row r="11" spans="1:12" x14ac:dyDescent="0.2">
      <c r="A11" s="1">
        <v>8</v>
      </c>
      <c r="B11" s="1" t="s">
        <v>27</v>
      </c>
      <c r="C11" s="1" t="str">
        <f>Nodes!B18</f>
        <v>Intermediate 3</v>
      </c>
      <c r="D11" s="1" t="str">
        <f>Nodes!B17</f>
        <v>Intermediate 2</v>
      </c>
      <c r="E11">
        <v>1000</v>
      </c>
      <c r="F11" s="1" t="s">
        <v>74</v>
      </c>
      <c r="G11" s="1">
        <f>INDEX(Nodes!$A:$A,MATCH(Arcs!C11,Nodes!$B:$B,0))</f>
        <v>15</v>
      </c>
      <c r="H11" s="1">
        <f>INDEX(Nodes!$A:$A,MATCH(Arcs!D11,Nodes!$B:$B,0))</f>
        <v>14</v>
      </c>
      <c r="I11" s="2">
        <v>1</v>
      </c>
      <c r="J11" s="3">
        <v>0</v>
      </c>
      <c r="K11" s="2"/>
      <c r="L11" s="3"/>
    </row>
    <row r="12" spans="1:12" x14ac:dyDescent="0.2">
      <c r="A12" s="1">
        <v>9</v>
      </c>
      <c r="B12" s="1" t="s">
        <v>28</v>
      </c>
      <c r="C12" s="1" t="str">
        <f>Nodes!B6</f>
        <v>Heimdal</v>
      </c>
      <c r="D12" s="1" t="str">
        <f>Nodes!B17</f>
        <v>Intermediate 2</v>
      </c>
      <c r="E12" s="1">
        <v>30.7</v>
      </c>
      <c r="F12" s="1" t="s">
        <v>50</v>
      </c>
      <c r="G12" s="1">
        <f>INDEX(Nodes!$A:$A,MATCH(Arcs!C12,Nodes!$B:$B,0))</f>
        <v>3</v>
      </c>
      <c r="H12" s="1">
        <f>INDEX(Nodes!$A:$A,MATCH(Arcs!D12,Nodes!$B:$B,0))</f>
        <v>14</v>
      </c>
      <c r="I12" s="2">
        <v>1</v>
      </c>
      <c r="J12" s="3">
        <v>0</v>
      </c>
      <c r="K12" s="2"/>
      <c r="L12" s="3"/>
    </row>
    <row r="13" spans="1:12" x14ac:dyDescent="0.2">
      <c r="A13" s="1">
        <v>10</v>
      </c>
      <c r="B13" s="1" t="s">
        <v>29</v>
      </c>
      <c r="C13" s="1" t="str">
        <f>Nodes!B19</f>
        <v>Intermediate 4</v>
      </c>
      <c r="D13" s="1" t="str">
        <f>Nodes!B14</f>
        <v>Dunkerque</v>
      </c>
      <c r="E13" s="1">
        <v>54.8</v>
      </c>
      <c r="F13" s="1" t="s">
        <v>50</v>
      </c>
      <c r="G13" s="1">
        <f>INDEX(Nodes!$A:$A,MATCH(Arcs!C13,Nodes!$B:$B,0))</f>
        <v>16</v>
      </c>
      <c r="H13" s="1">
        <f>INDEX(Nodes!$A:$A,MATCH(Arcs!D13,Nodes!$B:$B,0))</f>
        <v>11</v>
      </c>
      <c r="I13" s="2">
        <v>1</v>
      </c>
      <c r="J13" s="3">
        <v>0</v>
      </c>
      <c r="K13" s="2"/>
      <c r="L13" s="3"/>
    </row>
    <row r="14" spans="1:12" x14ac:dyDescent="0.2">
      <c r="A14" s="1">
        <v>11</v>
      </c>
      <c r="B14" s="1" t="s">
        <v>28</v>
      </c>
      <c r="C14" s="1" t="str">
        <f>Nodes!B4</f>
        <v>AreaA</v>
      </c>
      <c r="D14" s="1" t="str">
        <f>Nodes!B21</f>
        <v>Karstø</v>
      </c>
      <c r="E14">
        <v>21.1</v>
      </c>
      <c r="F14" s="1"/>
      <c r="G14" s="1">
        <f>INDEX(Nodes!$A:$A,MATCH(Arcs!C14,Nodes!$B:$B,0))</f>
        <v>1</v>
      </c>
      <c r="H14" s="1">
        <f>INDEX(Nodes!$A:$A,MATCH(Arcs!D14,Nodes!$B:$B,0))</f>
        <v>18</v>
      </c>
      <c r="I14" s="2">
        <v>1</v>
      </c>
      <c r="J14" s="3">
        <v>0</v>
      </c>
      <c r="K14" s="2"/>
      <c r="L14" s="3"/>
    </row>
    <row r="15" spans="1:12" x14ac:dyDescent="0.2">
      <c r="A15" s="1">
        <v>12</v>
      </c>
      <c r="B15" s="1" t="s">
        <v>28</v>
      </c>
      <c r="C15" s="1" t="str">
        <f>Nodes!B21</f>
        <v>Karstø</v>
      </c>
      <c r="D15" s="1" t="str">
        <f>Nodes!B19</f>
        <v>Intermediate 4</v>
      </c>
      <c r="E15" s="1">
        <v>21.1</v>
      </c>
      <c r="F15" s="1" t="s">
        <v>50</v>
      </c>
      <c r="G15" s="1">
        <f>INDEX(Nodes!$A:$A,MATCH(Arcs!C15,Nodes!$B:$B,0))</f>
        <v>18</v>
      </c>
      <c r="H15" s="1">
        <f>INDEX(Nodes!$A:$A,MATCH(Arcs!D15,Nodes!$B:$B,0))</f>
        <v>16</v>
      </c>
      <c r="I15" s="2">
        <v>1</v>
      </c>
      <c r="J15" s="3">
        <v>0</v>
      </c>
      <c r="K15" s="2"/>
      <c r="L15" s="3"/>
    </row>
    <row r="16" spans="1:12" x14ac:dyDescent="0.2">
      <c r="A16" s="1">
        <v>13</v>
      </c>
      <c r="B16" s="1" t="s">
        <v>31</v>
      </c>
      <c r="C16" s="1" t="str">
        <f>Nodes!B19</f>
        <v>Intermediate 4</v>
      </c>
      <c r="D16" s="1" t="str">
        <f>Nodes!B15</f>
        <v>Germany</v>
      </c>
      <c r="E16" s="1">
        <v>45.7</v>
      </c>
      <c r="F16" s="1" t="s">
        <v>50</v>
      </c>
      <c r="G16" s="1">
        <f>INDEX(Nodes!$A:$A,MATCH(Arcs!C16,Nodes!$B:$B,0))</f>
        <v>16</v>
      </c>
      <c r="H16" s="1">
        <f>INDEX(Nodes!$A:$A,MATCH(Arcs!D16,Nodes!$B:$B,0))</f>
        <v>12</v>
      </c>
      <c r="I16" s="2">
        <v>1</v>
      </c>
      <c r="J16" s="3">
        <v>0</v>
      </c>
      <c r="K16" s="2"/>
      <c r="L16" s="3"/>
    </row>
    <row r="17" spans="1:12" x14ac:dyDescent="0.2">
      <c r="A17" s="1">
        <v>14</v>
      </c>
      <c r="B17" s="1" t="s">
        <v>30</v>
      </c>
      <c r="C17" s="1" t="str">
        <f>Nodes!B20</f>
        <v>Intermediate 5</v>
      </c>
      <c r="D17" s="1" t="str">
        <f>Nodes!B15</f>
        <v>Germany</v>
      </c>
      <c r="E17" s="1">
        <v>44.4</v>
      </c>
      <c r="F17" s="1" t="s">
        <v>50</v>
      </c>
      <c r="G17" s="1">
        <f>INDEX(Nodes!$A:$A,MATCH(Arcs!C17,Nodes!$B:$B,0))</f>
        <v>17</v>
      </c>
      <c r="H17" s="1">
        <f>INDEX(Nodes!$A:$A,MATCH(Arcs!D17,Nodes!$B:$B,0))</f>
        <v>12</v>
      </c>
      <c r="I17" s="2">
        <v>1</v>
      </c>
      <c r="J17" s="3">
        <v>0</v>
      </c>
      <c r="K17" s="2"/>
      <c r="L17" s="3"/>
    </row>
    <row r="18" spans="1:12" x14ac:dyDescent="0.2">
      <c r="A18" s="1">
        <v>15</v>
      </c>
      <c r="B18" s="1" t="s">
        <v>32</v>
      </c>
      <c r="C18" s="1" t="str">
        <f>Nodes!B21</f>
        <v>Karstø</v>
      </c>
      <c r="D18" s="1" t="str">
        <f>Nodes!B15</f>
        <v>Germany</v>
      </c>
      <c r="E18" s="1">
        <v>71.2</v>
      </c>
      <c r="F18" s="1" t="s">
        <v>50</v>
      </c>
      <c r="G18" s="1">
        <f>INDEX(Nodes!$A:$A,MATCH(Arcs!C18,Nodes!$B:$B,0))</f>
        <v>18</v>
      </c>
      <c r="H18" s="1">
        <f>INDEX(Nodes!$A:$A,MATCH(Arcs!D18,Nodes!$B:$B,0))</f>
        <v>12</v>
      </c>
      <c r="I18" s="2">
        <v>1</v>
      </c>
      <c r="J18" s="3">
        <v>0</v>
      </c>
      <c r="K18" s="2"/>
      <c r="L18" s="3"/>
    </row>
    <row r="19" spans="1:12" x14ac:dyDescent="0.2">
      <c r="A19" s="1">
        <v>16</v>
      </c>
      <c r="B19" s="1" t="s">
        <v>33</v>
      </c>
      <c r="C19" s="1" t="str">
        <f>Nodes!B7</f>
        <v>AreaB</v>
      </c>
      <c r="D19" s="1" t="str">
        <f>Nodes!B21</f>
        <v>Karstø</v>
      </c>
      <c r="E19">
        <v>70</v>
      </c>
      <c r="F19" s="1" t="s">
        <v>73</v>
      </c>
      <c r="G19" s="1">
        <f>INDEX(Nodes!$A:$A,MATCH(Arcs!C19,Nodes!$B:$B,0))</f>
        <v>4</v>
      </c>
      <c r="H19" s="1">
        <f>INDEX(Nodes!$A:$A,MATCH(Arcs!D19,Nodes!$B:$B,0))</f>
        <v>18</v>
      </c>
      <c r="I19" s="2">
        <v>1</v>
      </c>
      <c r="J19" s="3">
        <v>0</v>
      </c>
      <c r="K19" s="2"/>
      <c r="L19" s="3"/>
    </row>
    <row r="20" spans="1:12" x14ac:dyDescent="0.2">
      <c r="A20" s="1">
        <v>17</v>
      </c>
      <c r="B20" s="1" t="s">
        <v>28</v>
      </c>
      <c r="C20" s="1" t="str">
        <f>Nodes!B19</f>
        <v>Intermediate 4</v>
      </c>
      <c r="D20" s="1" t="str">
        <f>Nodes!B20</f>
        <v>Intermediate 5</v>
      </c>
      <c r="E20" s="1">
        <v>44.4</v>
      </c>
      <c r="F20" s="1" t="s">
        <v>74</v>
      </c>
      <c r="G20" s="1">
        <f>INDEX(Nodes!$A:$A,MATCH(Arcs!C20,Nodes!$B:$B,0))</f>
        <v>16</v>
      </c>
      <c r="H20" s="1">
        <f>INDEX(Nodes!$A:$A,MATCH(Arcs!D20,Nodes!$B:$B,0))</f>
        <v>17</v>
      </c>
      <c r="I20" s="2">
        <v>1</v>
      </c>
      <c r="J20" s="3">
        <v>0</v>
      </c>
      <c r="K20" s="2"/>
      <c r="L20" s="3"/>
    </row>
    <row r="21" spans="1:12" x14ac:dyDescent="0.2">
      <c r="A21" s="1">
        <v>18</v>
      </c>
      <c r="B21" s="1" t="s">
        <v>34</v>
      </c>
      <c r="C21" s="1" t="str">
        <f>Nodes!B5</f>
        <v>Oseberg</v>
      </c>
      <c r="D21" s="1" t="str">
        <f>Nodes!B16</f>
        <v>Intermediate 1</v>
      </c>
      <c r="E21" s="1">
        <v>1000</v>
      </c>
      <c r="F21" s="1" t="s">
        <v>74</v>
      </c>
      <c r="G21" s="1">
        <f>INDEX(Nodes!$A:$A,MATCH(Arcs!C21,Nodes!$B:$B,0))</f>
        <v>2</v>
      </c>
      <c r="H21" s="1">
        <f>INDEX(Nodes!$A:$A,MATCH(Arcs!D21,Nodes!$B:$B,0))</f>
        <v>13</v>
      </c>
      <c r="I21" s="2">
        <v>1</v>
      </c>
      <c r="J21" s="3">
        <v>0</v>
      </c>
      <c r="K21" s="2"/>
      <c r="L21" s="3"/>
    </row>
    <row r="22" spans="1:12" x14ac:dyDescent="0.2">
      <c r="A22" s="1">
        <v>19</v>
      </c>
      <c r="B22" s="1" t="s">
        <v>35</v>
      </c>
      <c r="C22" s="1" t="str">
        <f>Nodes!B6</f>
        <v>Heimdal</v>
      </c>
      <c r="D22" s="1" t="str">
        <f>Nodes!B16</f>
        <v>Intermediate 1</v>
      </c>
      <c r="E22" s="1">
        <v>1000</v>
      </c>
      <c r="F22" s="1" t="s">
        <v>74</v>
      </c>
      <c r="G22" s="1">
        <f>INDEX(Nodes!$A:$A,MATCH(Arcs!C22,Nodes!$B:$B,0))</f>
        <v>3</v>
      </c>
      <c r="H22" s="1">
        <f>INDEX(Nodes!$A:$A,MATCH(Arcs!D22,Nodes!$B:$B,0))</f>
        <v>13</v>
      </c>
      <c r="I22" s="2">
        <v>1</v>
      </c>
      <c r="J22" s="3">
        <v>0</v>
      </c>
      <c r="K22" s="2"/>
      <c r="L22" s="3"/>
    </row>
    <row r="23" spans="1:12" x14ac:dyDescent="0.2">
      <c r="A23" s="1">
        <v>20</v>
      </c>
      <c r="B23" s="1" t="s">
        <v>36</v>
      </c>
      <c r="C23" s="1" t="str">
        <f>Nodes!B17</f>
        <v>Intermediate 2</v>
      </c>
      <c r="D23" s="1" t="str">
        <f>Nodes!B21</f>
        <v>Karstø</v>
      </c>
      <c r="E23" s="1">
        <v>1000</v>
      </c>
      <c r="F23" s="1" t="s">
        <v>74</v>
      </c>
      <c r="G23" s="1">
        <f>INDEX(Nodes!$A:$A,MATCH(Arcs!C23,Nodes!$B:$B,0))</f>
        <v>14</v>
      </c>
      <c r="H23" s="1">
        <f>INDEX(Nodes!$A:$A,MATCH(Arcs!D23,Nodes!$B:$B,0))</f>
        <v>18</v>
      </c>
      <c r="I23" s="2">
        <v>1</v>
      </c>
      <c r="J23" s="3">
        <v>0</v>
      </c>
      <c r="K23" s="2"/>
      <c r="L23" s="3"/>
    </row>
    <row r="24" spans="1:12" x14ac:dyDescent="0.2">
      <c r="A24" s="1">
        <v>21</v>
      </c>
      <c r="B24" s="1" t="s">
        <v>37</v>
      </c>
      <c r="C24" s="1" t="str">
        <f>Nodes!B17</f>
        <v>Intermediate 2</v>
      </c>
      <c r="D24" s="1" t="str">
        <f>Nodes!B19</f>
        <v>Intermediate 4</v>
      </c>
      <c r="E24" s="1">
        <v>1000</v>
      </c>
      <c r="F24" s="1" t="s">
        <v>74</v>
      </c>
      <c r="G24" s="1">
        <f>INDEX(Nodes!$A:$A,MATCH(Arcs!C24,Nodes!$B:$B,0))</f>
        <v>14</v>
      </c>
      <c r="H24" s="1">
        <f>INDEX(Nodes!$A:$A,MATCH(Arcs!D24,Nodes!$B:$B,0))</f>
        <v>16</v>
      </c>
      <c r="I24" s="2">
        <v>1</v>
      </c>
      <c r="J24" s="3">
        <v>0</v>
      </c>
      <c r="K24" s="2"/>
      <c r="L24" s="3"/>
    </row>
  </sheetData>
  <mergeCells count="2">
    <mergeCell ref="I1:J1"/>
    <mergeCell ref="K1:L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3"/>
  <sheetViews>
    <sheetView zoomScale="200" zoomScaleNormal="200" workbookViewId="0">
      <selection activeCell="D8" sqref="D8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54</v>
      </c>
    </row>
    <row r="3" spans="1:2" x14ac:dyDescent="0.2">
      <c r="A3" s="1">
        <v>2</v>
      </c>
      <c r="B3" s="1" t="s">
        <v>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56</v>
      </c>
    </row>
    <row r="3" spans="1:2" x14ac:dyDescent="0.2">
      <c r="A3" s="1">
        <v>2</v>
      </c>
      <c r="B3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Visualisation</vt:lpstr>
      <vt:lpstr>Units</vt:lpstr>
      <vt:lpstr>Nodes</vt:lpstr>
      <vt:lpstr>Demand Stage 2</vt:lpstr>
      <vt:lpstr>Demand Stage 3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2024-09-11T13:15:53Z</dcterms:modified>
</cp:coreProperties>
</file>