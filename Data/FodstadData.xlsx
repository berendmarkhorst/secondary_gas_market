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erendmarkhorst/Library/Mobile Documents/com~apple~CloudDocs/PhD/READINESS/08 - Trondheim/"/>
    </mc:Choice>
  </mc:AlternateContent>
  <xr:revisionPtr revIDLastSave="0" documentId="13_ncr:1_{99385D7D-CEA2-2747-8805-379DEE21D019}" xr6:coauthVersionLast="47" xr6:coauthVersionMax="47" xr10:uidLastSave="{00000000-0000-0000-0000-000000000000}"/>
  <bookViews>
    <workbookView xWindow="0" yWindow="0" windowWidth="51200" windowHeight="28800" activeTab="3" xr2:uid="{D82E7092-1A4C-0041-9612-C431AA3B912B}"/>
  </bookViews>
  <sheets>
    <sheet name="Visualisation" sheetId="7" r:id="rId1"/>
    <sheet name="Units" sheetId="6" r:id="rId2"/>
    <sheet name="Nodes" sheetId="2" r:id="rId3"/>
    <sheet name="Demand" sheetId="5" r:id="rId4"/>
    <sheet name="Arcs" sheetId="1" r:id="rId5"/>
    <sheet name="Traders" sheetId="3" r:id="rId6"/>
    <sheet name="Commoditie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5" i="2" l="1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4" i="2"/>
  <c r="A9" i="6"/>
  <c r="A8" i="6"/>
  <c r="W3" i="2"/>
  <c r="AB3" i="2"/>
  <c r="AA3" i="2"/>
  <c r="Y3" i="2"/>
  <c r="X3" i="2"/>
  <c r="Q3" i="2"/>
  <c r="V3" i="2"/>
  <c r="U3" i="2"/>
  <c r="S3" i="2"/>
  <c r="R3" i="2"/>
  <c r="P3" i="2"/>
  <c r="O3" i="2"/>
  <c r="N3" i="2"/>
  <c r="T3" i="2" s="1"/>
  <c r="Z3" i="2" s="1"/>
  <c r="M3" i="2"/>
  <c r="L3" i="2"/>
  <c r="K3" i="2"/>
  <c r="A7" i="6"/>
  <c r="A6" i="6"/>
  <c r="A5" i="6"/>
  <c r="A4" i="6"/>
  <c r="A3" i="6"/>
  <c r="A2" i="6"/>
  <c r="K1" i="1"/>
  <c r="I1" i="1"/>
  <c r="W2" i="2"/>
  <c r="Q2" i="2"/>
  <c r="Q1" i="2"/>
  <c r="E1" i="2"/>
  <c r="K2" i="2"/>
  <c r="E2" i="2"/>
  <c r="F1" i="5"/>
  <c r="B1" i="5"/>
  <c r="E2" i="5"/>
  <c r="I2" i="5" s="1"/>
  <c r="D2" i="5"/>
  <c r="H2" i="5" s="1"/>
  <c r="C2" i="5"/>
  <c r="G2" i="5" s="1"/>
  <c r="B2" i="5"/>
  <c r="F2" i="5" s="1"/>
  <c r="D6" i="1"/>
  <c r="H6" i="1" s="1"/>
  <c r="D24" i="1"/>
  <c r="H24" i="1" s="1"/>
  <c r="C24" i="1"/>
  <c r="G24" i="1" s="1"/>
  <c r="D23" i="1"/>
  <c r="H23" i="1" s="1"/>
  <c r="C23" i="1"/>
  <c r="G23" i="1" s="1"/>
  <c r="D22" i="1"/>
  <c r="H22" i="1" s="1"/>
  <c r="C22" i="1"/>
  <c r="G22" i="1" s="1"/>
  <c r="D21" i="1"/>
  <c r="H21" i="1" s="1"/>
  <c r="C21" i="1"/>
  <c r="G21" i="1" s="1"/>
  <c r="D20" i="1"/>
  <c r="H20" i="1" s="1"/>
  <c r="C20" i="1"/>
  <c r="G20" i="1" s="1"/>
  <c r="D19" i="1"/>
  <c r="H19" i="1" s="1"/>
  <c r="C19" i="1"/>
  <c r="G19" i="1" s="1"/>
  <c r="D18" i="1"/>
  <c r="H18" i="1" s="1"/>
  <c r="C18" i="1"/>
  <c r="G18" i="1" s="1"/>
  <c r="D17" i="1"/>
  <c r="H17" i="1" s="1"/>
  <c r="C17" i="1"/>
  <c r="G17" i="1" s="1"/>
  <c r="D16" i="1"/>
  <c r="H16" i="1" s="1"/>
  <c r="C16" i="1"/>
  <c r="G16" i="1" s="1"/>
  <c r="D15" i="1"/>
  <c r="H15" i="1" s="1"/>
  <c r="C15" i="1"/>
  <c r="G15" i="1" s="1"/>
  <c r="D14" i="1"/>
  <c r="H14" i="1" s="1"/>
  <c r="C14" i="1"/>
  <c r="G14" i="1" s="1"/>
  <c r="D13" i="1"/>
  <c r="H13" i="1" s="1"/>
  <c r="C13" i="1"/>
  <c r="G13" i="1" s="1"/>
  <c r="D12" i="1"/>
  <c r="H12" i="1" s="1"/>
  <c r="C12" i="1"/>
  <c r="G12" i="1" s="1"/>
  <c r="D11" i="1"/>
  <c r="H11" i="1" s="1"/>
  <c r="C11" i="1"/>
  <c r="G11" i="1" s="1"/>
  <c r="D10" i="1"/>
  <c r="H10" i="1" s="1"/>
  <c r="C10" i="1"/>
  <c r="G10" i="1" s="1"/>
  <c r="D9" i="1"/>
  <c r="H9" i="1" s="1"/>
  <c r="C9" i="1"/>
  <c r="G9" i="1" s="1"/>
  <c r="D8" i="1"/>
  <c r="H8" i="1" s="1"/>
  <c r="C8" i="1"/>
  <c r="G8" i="1" s="1"/>
  <c r="D7" i="1"/>
  <c r="H7" i="1" s="1"/>
  <c r="C7" i="1"/>
  <c r="G7" i="1" s="1"/>
  <c r="C6" i="1"/>
  <c r="G6" i="1" s="1"/>
  <c r="D5" i="1"/>
  <c r="H5" i="1" s="1"/>
  <c r="C5" i="1"/>
  <c r="G5" i="1" s="1"/>
  <c r="D4" i="1"/>
  <c r="H4" i="1" s="1"/>
  <c r="C4" i="1"/>
  <c r="G4" i="1" s="1"/>
</calcChain>
</file>

<file path=xl/sharedStrings.xml><?xml version="1.0" encoding="utf-8"?>
<sst xmlns="http://schemas.openxmlformats.org/spreadsheetml/2006/main" count="150" uniqueCount="79">
  <si>
    <t>ID</t>
  </si>
  <si>
    <t>Name</t>
  </si>
  <si>
    <t>Source</t>
  </si>
  <si>
    <t>Sink</t>
  </si>
  <si>
    <t>Type</t>
  </si>
  <si>
    <t>AreaA</t>
  </si>
  <si>
    <t>Oseberg</t>
  </si>
  <si>
    <t>Heimdal</t>
  </si>
  <si>
    <t>Kollsnes</t>
  </si>
  <si>
    <t>AreaB</t>
  </si>
  <si>
    <t>Nyhamna</t>
  </si>
  <si>
    <t>AreaD</t>
  </si>
  <si>
    <t>Ekofisk</t>
  </si>
  <si>
    <t>NBP</t>
  </si>
  <si>
    <t>Zeebrugge</t>
  </si>
  <si>
    <t>Dunkerque</t>
  </si>
  <si>
    <t>Germany</t>
  </si>
  <si>
    <t>Intermediate 1</t>
  </si>
  <si>
    <t>Field</t>
  </si>
  <si>
    <t>Intermediate node</t>
  </si>
  <si>
    <t>Market</t>
  </si>
  <si>
    <t>Tampen Link</t>
  </si>
  <si>
    <t>Vesterled</t>
  </si>
  <si>
    <t>Langeled</t>
  </si>
  <si>
    <t>Zeepipe</t>
  </si>
  <si>
    <t>Zeepipe II A</t>
  </si>
  <si>
    <t>Zeepipe II B</t>
  </si>
  <si>
    <t>Crossover</t>
  </si>
  <si>
    <t>Statpipe</t>
  </si>
  <si>
    <t>Franpipe</t>
  </si>
  <si>
    <t>Norpipe</t>
  </si>
  <si>
    <t>Europipe I</t>
  </si>
  <si>
    <t>Europipe II</t>
  </si>
  <si>
    <t>Åsgard Transport</t>
  </si>
  <si>
    <t>Arc 1</t>
  </si>
  <si>
    <t>Arc 2</t>
  </si>
  <si>
    <t>Arc 3</t>
  </si>
  <si>
    <t>Arc 4</t>
  </si>
  <si>
    <t>Karstø</t>
  </si>
  <si>
    <t>Source_ID</t>
  </si>
  <si>
    <t>Sink_ID</t>
  </si>
  <si>
    <t>Sleipner</t>
  </si>
  <si>
    <t>Draupner E</t>
  </si>
  <si>
    <t>Draupner S</t>
  </si>
  <si>
    <t>Ekofisk Y</t>
  </si>
  <si>
    <t>Intermediate 2</t>
  </si>
  <si>
    <t>Intermediate 3</t>
  </si>
  <si>
    <t>Intermediate 4</t>
  </si>
  <si>
    <t>Intermediate 5</t>
  </si>
  <si>
    <t>Opmerking</t>
  </si>
  <si>
    <t>Zeker</t>
  </si>
  <si>
    <t>St Fergus</t>
  </si>
  <si>
    <t>Onzeker</t>
  </si>
  <si>
    <t>Production Capacity</t>
  </si>
  <si>
    <t>Storage Capacity</t>
  </si>
  <si>
    <t>Shipper 1</t>
  </si>
  <si>
    <t>Shipper 2</t>
  </si>
  <si>
    <t>gas</t>
  </si>
  <si>
    <t>hydrogen</t>
  </si>
  <si>
    <t>Entry Costs</t>
  </si>
  <si>
    <t>Exit Costs</t>
  </si>
  <si>
    <t>Hour</t>
  </si>
  <si>
    <t>Demand</t>
  </si>
  <si>
    <t>Gas</t>
  </si>
  <si>
    <t>Hydrogen</t>
  </si>
  <si>
    <t>Vermoeden</t>
  </si>
  <si>
    <t>Flow costs</t>
  </si>
  <si>
    <t>Unit</t>
  </si>
  <si>
    <t>Production Costs</t>
  </si>
  <si>
    <t>Explanation</t>
  </si>
  <si>
    <t>Quantity</t>
  </si>
  <si>
    <t>NOK / MSm3</t>
  </si>
  <si>
    <t>Entry Storage Costs</t>
  </si>
  <si>
    <t>MSm3</t>
  </si>
  <si>
    <t>MSm3/h</t>
  </si>
  <si>
    <t xml:space="preserve">Mega (or million) standard cubic metres per hour. One standard cubic meter means the amount of gas which occupies a Cubic Meter at fifteen (15) Degrees Celsius and a pressure of one hundred one decimal three two five (101.325) kPa. </t>
  </si>
  <si>
    <t>Arc Capacity</t>
  </si>
  <si>
    <t>CONFIDENTIAL</t>
  </si>
  <si>
    <t>CONFIDENTIAL?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</si>
</sst>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9C0006"/>
      <name val="Calibri"/>
      <family val="2"/>
      <scheme val="minor"/>
    </font>
    <font>
      <b/>
      <sz val="12"/>
      <color rgb="FF006100"/>
      <name val="Calibri"/>
      <family val="2"/>
      <scheme val="minor"/>
    </font>
    <font>
      <b/>
      <sz val="12"/>
      <color rgb="FF9C5700"/>
      <name val="Calibri"/>
      <family val="2"/>
      <scheme val="minor"/>
    </font>
    <font>
      <sz val="12"/>
      <color rgb="FF20212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17">
    <xf numFmtId="0" fontId="0" fillId="0" borderId="0" xfId="0"/>
    <xf numFmtId="0" fontId="0" fillId="0" borderId="0" xfId="0" applyBorder="1"/>
    <xf numFmtId="0" fontId="0" fillId="0" borderId="1" xfId="0" applyBorder="1"/>
    <xf numFmtId="0" fontId="3" fillId="3" borderId="1" xfId="2" applyBorder="1"/>
    <xf numFmtId="0" fontId="2" fillId="2" borderId="1" xfId="1" applyBorder="1"/>
    <xf numFmtId="0" fontId="5" fillId="0" borderId="1" xfId="0" applyFont="1" applyBorder="1"/>
    <xf numFmtId="0" fontId="6" fillId="3" borderId="1" xfId="2" applyFont="1" applyBorder="1"/>
    <xf numFmtId="0" fontId="7" fillId="2" borderId="1" xfId="1" applyFont="1" applyBorder="1"/>
    <xf numFmtId="0" fontId="6" fillId="3" borderId="1" xfId="2" applyFont="1" applyBorder="1" applyAlignment="1">
      <alignment horizontal="center"/>
    </xf>
    <xf numFmtId="0" fontId="7" fillId="2" borderId="1" xfId="1" applyFont="1" applyBorder="1" applyAlignment="1">
      <alignment horizontal="center"/>
    </xf>
    <xf numFmtId="0" fontId="5" fillId="0" borderId="2" xfId="0" applyFont="1" applyBorder="1"/>
    <xf numFmtId="0" fontId="8" fillId="4" borderId="1" xfId="3" applyFont="1" applyBorder="1" applyAlignment="1">
      <alignment horizontal="center"/>
    </xf>
    <xf numFmtId="0" fontId="5" fillId="0" borderId="0" xfId="0" applyFont="1" applyBorder="1"/>
    <xf numFmtId="0" fontId="0" fillId="0" borderId="1" xfId="0" applyFont="1" applyBorder="1"/>
    <xf numFmtId="0" fontId="9" fillId="0" borderId="1" xfId="0" applyFont="1" applyBorder="1"/>
    <xf numFmtId="0" fontId="0" fillId="0" borderId="1" xfId="0" applyFont="1" applyFill="1" applyBorder="1"/>
    <xf numFmtId="0" fontId="9" fillId="0" borderId="1" xfId="0" applyFont="1" applyBorder="1" applyAlignment="1">
      <alignment wrapText="1"/>
    </xf>
  </cellXfs>
  <cellStyles count="4">
    <cellStyle name="Goed" xfId="1" builtinId="26"/>
    <cellStyle name="Neutraal" xfId="3" builtinId="28"/>
    <cellStyle name="Ongeldig" xfId="2" builtinId="27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482600</xdr:colOff>
      <xdr:row>43</xdr:row>
      <xdr:rowOff>41796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C7A31461-9373-886D-0EDC-D298F3EB7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865100" cy="8779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08315-FBE0-CA4C-9EFE-0A9542346138}">
  <dimension ref="A1"/>
  <sheetViews>
    <sheetView workbookViewId="0">
      <selection activeCell="S30" sqref="S3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C4DE0-7BAC-1F4D-92A3-44AE62829735}">
  <dimension ref="A1:C10"/>
  <sheetViews>
    <sheetView zoomScale="200" zoomScaleNormal="200" workbookViewId="0">
      <selection activeCell="H27" sqref="H27"/>
    </sheetView>
  </sheetViews>
  <sheetFormatPr baseColWidth="10" defaultRowHeight="16" x14ac:dyDescent="0.2"/>
  <cols>
    <col min="1" max="1" width="17.33203125" bestFit="1" customWidth="1"/>
    <col min="2" max="2" width="12" bestFit="1" customWidth="1"/>
    <col min="3" max="3" width="60.5" customWidth="1"/>
  </cols>
  <sheetData>
    <row r="1" spans="1:3" x14ac:dyDescent="0.2">
      <c r="A1" s="5" t="s">
        <v>70</v>
      </c>
      <c r="B1" s="5" t="s">
        <v>67</v>
      </c>
      <c r="C1" s="5" t="s">
        <v>69</v>
      </c>
    </row>
    <row r="2" spans="1:3" ht="68" x14ac:dyDescent="0.2">
      <c r="A2" s="13" t="str">
        <f>Nodes!E3</f>
        <v>Production Capacity</v>
      </c>
      <c r="B2" s="14" t="s">
        <v>74</v>
      </c>
      <c r="C2" s="16" t="s">
        <v>75</v>
      </c>
    </row>
    <row r="3" spans="1:3" x14ac:dyDescent="0.2">
      <c r="A3" s="13" t="str">
        <f>Nodes!F3</f>
        <v>Production Costs</v>
      </c>
      <c r="B3" s="13" t="s">
        <v>71</v>
      </c>
      <c r="C3" s="13"/>
    </row>
    <row r="4" spans="1:3" ht="19" x14ac:dyDescent="0.2">
      <c r="A4" s="13" t="str">
        <f>Nodes!G3</f>
        <v>Storage Capacity</v>
      </c>
      <c r="B4" s="14" t="s">
        <v>73</v>
      </c>
      <c r="C4" s="14"/>
    </row>
    <row r="5" spans="1:3" x14ac:dyDescent="0.2">
      <c r="A5" s="13" t="str">
        <f>Nodes!H3</f>
        <v>Entry Storage Costs</v>
      </c>
      <c r="B5" s="13" t="s">
        <v>71</v>
      </c>
      <c r="C5" s="13"/>
    </row>
    <row r="6" spans="1:3" x14ac:dyDescent="0.2">
      <c r="A6" s="13" t="str">
        <f>Nodes!I3</f>
        <v>Entry Costs</v>
      </c>
      <c r="B6" s="13" t="s">
        <v>71</v>
      </c>
      <c r="C6" s="13"/>
    </row>
    <row r="7" spans="1:3" x14ac:dyDescent="0.2">
      <c r="A7" s="13" t="str">
        <f>Nodes!J3</f>
        <v>Exit Costs</v>
      </c>
      <c r="B7" s="13" t="s">
        <v>71</v>
      </c>
      <c r="C7" s="13"/>
    </row>
    <row r="8" spans="1:3" x14ac:dyDescent="0.2">
      <c r="A8" s="2" t="str">
        <f>Arcs!I3</f>
        <v>Flow costs</v>
      </c>
      <c r="B8" s="15" t="s">
        <v>71</v>
      </c>
      <c r="C8" s="2"/>
    </row>
    <row r="9" spans="1:3" ht="19" x14ac:dyDescent="0.2">
      <c r="A9" s="2" t="str">
        <f>Arcs!E3</f>
        <v>Arc Capacity</v>
      </c>
      <c r="B9" s="14" t="s">
        <v>74</v>
      </c>
      <c r="C9" s="14"/>
    </row>
    <row r="10" spans="1:3" ht="19" x14ac:dyDescent="0.2">
      <c r="A10" s="2" t="s">
        <v>62</v>
      </c>
      <c r="B10" s="14" t="s">
        <v>74</v>
      </c>
      <c r="C1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F5746-A1B1-6F4F-9762-CACD4A91B5F2}">
  <dimension ref="A1:AB21"/>
  <sheetViews>
    <sheetView zoomScale="150" zoomScaleNormal="150" workbookViewId="0">
      <selection activeCell="F4" sqref="F4"/>
    </sheetView>
  </sheetViews>
  <sheetFormatPr baseColWidth="10" defaultRowHeight="16" x14ac:dyDescent="0.2"/>
  <cols>
    <col min="1" max="1" width="3.1640625" bestFit="1" customWidth="1"/>
    <col min="2" max="2" width="13.33203125" bestFit="1" customWidth="1"/>
    <col min="3" max="3" width="16.5" bestFit="1" customWidth="1"/>
    <col min="4" max="4" width="10.6640625" bestFit="1" customWidth="1"/>
    <col min="5" max="5" width="17.5" bestFit="1" customWidth="1"/>
    <col min="6" max="6" width="14.6640625" bestFit="1" customWidth="1"/>
    <col min="7" max="7" width="15" bestFit="1" customWidth="1"/>
    <col min="8" max="8" width="17.33203125" bestFit="1" customWidth="1"/>
    <col min="9" max="9" width="10.33203125" bestFit="1" customWidth="1"/>
    <col min="10" max="10" width="9.1640625" bestFit="1" customWidth="1"/>
    <col min="11" max="11" width="17.5" bestFit="1" customWidth="1"/>
    <col min="12" max="12" width="14.6640625" bestFit="1" customWidth="1"/>
    <col min="13" max="13" width="15" bestFit="1" customWidth="1"/>
    <col min="14" max="14" width="17.33203125" bestFit="1" customWidth="1"/>
    <col min="15" max="15" width="10.33203125" bestFit="1" customWidth="1"/>
    <col min="16" max="16" width="9.1640625" bestFit="1" customWidth="1"/>
    <col min="17" max="17" width="17.5" bestFit="1" customWidth="1"/>
    <col min="18" max="18" width="14.6640625" bestFit="1" customWidth="1"/>
    <col min="19" max="19" width="15" bestFit="1" customWidth="1"/>
    <col min="20" max="20" width="17.33203125" bestFit="1" customWidth="1"/>
    <col min="21" max="21" width="10.33203125" bestFit="1" customWidth="1"/>
    <col min="22" max="22" width="9.1640625" bestFit="1" customWidth="1"/>
    <col min="23" max="23" width="17.5" bestFit="1" customWidth="1"/>
    <col min="24" max="24" width="14.6640625" bestFit="1" customWidth="1"/>
    <col min="25" max="25" width="15" bestFit="1" customWidth="1"/>
    <col min="26" max="26" width="17.33203125" bestFit="1" customWidth="1"/>
    <col min="27" max="27" width="10.33203125" bestFit="1" customWidth="1"/>
    <col min="28" max="28" width="9.1640625" bestFit="1" customWidth="1"/>
  </cols>
  <sheetData>
    <row r="1" spans="1:28" x14ac:dyDescent="0.2">
      <c r="A1" s="1"/>
      <c r="B1" s="1"/>
      <c r="C1" s="1"/>
      <c r="D1" s="1"/>
      <c r="E1" s="11" t="str">
        <f>Traders!B2</f>
        <v>Shipper 1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 t="str">
        <f>Traders!B3</f>
        <v>Shipper 2</v>
      </c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spans="1:28" x14ac:dyDescent="0.2">
      <c r="A2" s="12"/>
      <c r="B2" s="12"/>
      <c r="C2" s="12"/>
      <c r="D2" s="12"/>
      <c r="E2" s="8" t="str">
        <f>Commodities!B2</f>
        <v>gas</v>
      </c>
      <c r="F2" s="8"/>
      <c r="G2" s="8"/>
      <c r="H2" s="8"/>
      <c r="I2" s="8"/>
      <c r="J2" s="8"/>
      <c r="K2" s="9" t="str">
        <f>Commodities!B3</f>
        <v>hydrogen</v>
      </c>
      <c r="L2" s="9"/>
      <c r="M2" s="9"/>
      <c r="N2" s="9"/>
      <c r="O2" s="9"/>
      <c r="P2" s="9"/>
      <c r="Q2" s="8" t="str">
        <f>Commodities!B2</f>
        <v>gas</v>
      </c>
      <c r="R2" s="8"/>
      <c r="S2" s="8"/>
      <c r="T2" s="8"/>
      <c r="U2" s="8"/>
      <c r="V2" s="8"/>
      <c r="W2" s="9" t="str">
        <f>Commodities!B3</f>
        <v>hydrogen</v>
      </c>
      <c r="X2" s="9"/>
      <c r="Y2" s="9"/>
      <c r="Z2" s="9"/>
      <c r="AA2" s="9"/>
      <c r="AB2" s="9"/>
    </row>
    <row r="3" spans="1:28" x14ac:dyDescent="0.2">
      <c r="A3" s="5" t="s">
        <v>0</v>
      </c>
      <c r="B3" s="5" t="s">
        <v>1</v>
      </c>
      <c r="C3" s="5" t="s">
        <v>4</v>
      </c>
      <c r="D3" s="5" t="s">
        <v>65</v>
      </c>
      <c r="E3" s="6" t="s">
        <v>53</v>
      </c>
      <c r="F3" s="6" t="s">
        <v>68</v>
      </c>
      <c r="G3" s="6" t="s">
        <v>54</v>
      </c>
      <c r="H3" s="6" t="s">
        <v>72</v>
      </c>
      <c r="I3" s="6" t="s">
        <v>59</v>
      </c>
      <c r="J3" s="6" t="s">
        <v>60</v>
      </c>
      <c r="K3" s="7" t="str">
        <f>E3</f>
        <v>Production Capacity</v>
      </c>
      <c r="L3" s="7" t="str">
        <f>F3</f>
        <v>Production Costs</v>
      </c>
      <c r="M3" s="7" t="str">
        <f>G3</f>
        <v>Storage Capacity</v>
      </c>
      <c r="N3" s="7" t="str">
        <f>H3</f>
        <v>Entry Storage Costs</v>
      </c>
      <c r="O3" s="7" t="str">
        <f>I3</f>
        <v>Entry Costs</v>
      </c>
      <c r="P3" s="7" t="str">
        <f>J3</f>
        <v>Exit Costs</v>
      </c>
      <c r="Q3" s="6" t="str">
        <f>K3</f>
        <v>Production Capacity</v>
      </c>
      <c r="R3" s="6" t="str">
        <f>L3</f>
        <v>Production Costs</v>
      </c>
      <c r="S3" s="6" t="str">
        <f>M3</f>
        <v>Storage Capacity</v>
      </c>
      <c r="T3" s="6" t="str">
        <f>N3</f>
        <v>Entry Storage Costs</v>
      </c>
      <c r="U3" s="6" t="str">
        <f>O3</f>
        <v>Entry Costs</v>
      </c>
      <c r="V3" s="6" t="str">
        <f>P3</f>
        <v>Exit Costs</v>
      </c>
      <c r="W3" s="7" t="str">
        <f>Q3</f>
        <v>Production Capacity</v>
      </c>
      <c r="X3" s="7" t="str">
        <f>R3</f>
        <v>Production Costs</v>
      </c>
      <c r="Y3" s="7" t="str">
        <f>S3</f>
        <v>Storage Capacity</v>
      </c>
      <c r="Z3" s="7" t="str">
        <f>T3</f>
        <v>Entry Storage Costs</v>
      </c>
      <c r="AA3" s="7" t="str">
        <f>U3</f>
        <v>Entry Costs</v>
      </c>
      <c r="AB3" s="7" t="str">
        <f>V3</f>
        <v>Exit Costs</v>
      </c>
    </row>
    <row r="4" spans="1:28" x14ac:dyDescent="0.2">
      <c r="A4" s="2">
        <v>1</v>
      </c>
      <c r="B4" s="2" t="s">
        <v>5</v>
      </c>
      <c r="C4" s="2" t="s">
        <v>18</v>
      </c>
      <c r="D4" s="2"/>
      <c r="E4" s="3" t="s">
        <v>77</v>
      </c>
      <c r="F4" s="3"/>
      <c r="G4" s="3"/>
      <c r="H4" s="3"/>
      <c r="I4" s="3"/>
      <c r="J4" s="3"/>
      <c r="K4" s="4" t="str">
        <f>E4</f>
        <v>CONFIDENTIAL</v>
      </c>
      <c r="L4" s="4"/>
      <c r="M4" s="4"/>
      <c r="N4" s="4"/>
      <c r="O4" s="4"/>
      <c r="P4" s="4"/>
      <c r="Q4" s="3" t="str">
        <f>K4</f>
        <v>CONFIDENTIAL</v>
      </c>
      <c r="R4" s="3"/>
      <c r="S4" s="3"/>
      <c r="T4" s="3"/>
      <c r="U4" s="3"/>
      <c r="V4" s="3"/>
      <c r="W4" s="4" t="str">
        <f>Q4</f>
        <v>CONFIDENTIAL</v>
      </c>
      <c r="X4" s="4"/>
      <c r="Y4" s="4"/>
      <c r="Z4" s="4"/>
      <c r="AA4" s="4"/>
      <c r="AB4" s="4"/>
    </row>
    <row r="5" spans="1:28" x14ac:dyDescent="0.2">
      <c r="A5" s="2">
        <v>2</v>
      </c>
      <c r="B5" s="2" t="s">
        <v>6</v>
      </c>
      <c r="C5" s="2" t="s">
        <v>18</v>
      </c>
      <c r="D5" s="2"/>
      <c r="E5" s="3" t="s">
        <v>77</v>
      </c>
      <c r="F5" s="3"/>
      <c r="G5" s="3"/>
      <c r="H5" s="3"/>
      <c r="I5" s="3"/>
      <c r="J5" s="3"/>
      <c r="K5" s="4" t="str">
        <f t="shared" ref="K5:K21" si="0">E5</f>
        <v>CONFIDENTIAL</v>
      </c>
      <c r="L5" s="4"/>
      <c r="M5" s="4"/>
      <c r="N5" s="4"/>
      <c r="O5" s="4"/>
      <c r="P5" s="4"/>
      <c r="Q5" s="3" t="str">
        <f t="shared" ref="Q5:Q21" si="1">K5</f>
        <v>CONFIDENTIAL</v>
      </c>
      <c r="R5" s="3"/>
      <c r="S5" s="3"/>
      <c r="T5" s="3"/>
      <c r="U5" s="3"/>
      <c r="V5" s="3"/>
      <c r="W5" s="4" t="str">
        <f t="shared" ref="W5:W21" si="2">Q5</f>
        <v>CONFIDENTIAL</v>
      </c>
      <c r="X5" s="4"/>
      <c r="Y5" s="4"/>
      <c r="Z5" s="4"/>
      <c r="AA5" s="4"/>
      <c r="AB5" s="4"/>
    </row>
    <row r="6" spans="1:28" x14ac:dyDescent="0.2">
      <c r="A6" s="2">
        <v>3</v>
      </c>
      <c r="B6" s="2" t="s">
        <v>7</v>
      </c>
      <c r="C6" s="2" t="s">
        <v>18</v>
      </c>
      <c r="D6" s="2"/>
      <c r="E6" s="3" t="s">
        <v>77</v>
      </c>
      <c r="F6" s="3"/>
      <c r="G6" s="3"/>
      <c r="H6" s="3"/>
      <c r="I6" s="3"/>
      <c r="J6" s="3"/>
      <c r="K6" s="4" t="str">
        <f t="shared" si="0"/>
        <v>CONFIDENTIAL</v>
      </c>
      <c r="L6" s="4"/>
      <c r="M6" s="4"/>
      <c r="N6" s="4"/>
      <c r="O6" s="4"/>
      <c r="P6" s="4"/>
      <c r="Q6" s="3" t="str">
        <f t="shared" si="1"/>
        <v>CONFIDENTIAL</v>
      </c>
      <c r="R6" s="3"/>
      <c r="S6" s="3"/>
      <c r="T6" s="3"/>
      <c r="U6" s="3"/>
      <c r="V6" s="3"/>
      <c r="W6" s="4" t="str">
        <f t="shared" si="2"/>
        <v>CONFIDENTIAL</v>
      </c>
      <c r="X6" s="4"/>
      <c r="Y6" s="4"/>
      <c r="Z6" s="4"/>
      <c r="AA6" s="4"/>
      <c r="AB6" s="4"/>
    </row>
    <row r="7" spans="1:28" x14ac:dyDescent="0.2">
      <c r="A7" s="2">
        <v>4</v>
      </c>
      <c r="B7" s="2" t="s">
        <v>9</v>
      </c>
      <c r="C7" s="2" t="s">
        <v>18</v>
      </c>
      <c r="D7" s="2"/>
      <c r="E7" s="3" t="s">
        <v>77</v>
      </c>
      <c r="F7" s="3"/>
      <c r="G7" s="3"/>
      <c r="H7" s="3"/>
      <c r="I7" s="3"/>
      <c r="J7" s="3"/>
      <c r="K7" s="4" t="str">
        <f t="shared" si="0"/>
        <v>CONFIDENTIAL</v>
      </c>
      <c r="L7" s="4"/>
      <c r="M7" s="4"/>
      <c r="N7" s="4"/>
      <c r="O7" s="4"/>
      <c r="P7" s="4"/>
      <c r="Q7" s="3" t="str">
        <f t="shared" si="1"/>
        <v>CONFIDENTIAL</v>
      </c>
      <c r="R7" s="3"/>
      <c r="S7" s="3"/>
      <c r="T7" s="3"/>
      <c r="U7" s="3"/>
      <c r="V7" s="3"/>
      <c r="W7" s="4" t="str">
        <f t="shared" si="2"/>
        <v>CONFIDENTIAL</v>
      </c>
      <c r="X7" s="4"/>
      <c r="Y7" s="4"/>
      <c r="Z7" s="4"/>
      <c r="AA7" s="4"/>
      <c r="AB7" s="4"/>
    </row>
    <row r="8" spans="1:28" x14ac:dyDescent="0.2">
      <c r="A8" s="2">
        <v>5</v>
      </c>
      <c r="B8" s="2" t="s">
        <v>8</v>
      </c>
      <c r="C8" s="2" t="s">
        <v>18</v>
      </c>
      <c r="D8" s="2"/>
      <c r="E8" s="3" t="s">
        <v>77</v>
      </c>
      <c r="F8" s="3"/>
      <c r="G8" s="3"/>
      <c r="H8" s="3"/>
      <c r="I8" s="3"/>
      <c r="J8" s="3"/>
      <c r="K8" s="4" t="str">
        <f t="shared" si="0"/>
        <v>CONFIDENTIAL</v>
      </c>
      <c r="L8" s="4"/>
      <c r="M8" s="4"/>
      <c r="N8" s="4"/>
      <c r="O8" s="4"/>
      <c r="P8" s="4"/>
      <c r="Q8" s="3" t="str">
        <f t="shared" si="1"/>
        <v>CONFIDENTIAL</v>
      </c>
      <c r="R8" s="3"/>
      <c r="S8" s="3"/>
      <c r="T8" s="3"/>
      <c r="U8" s="3"/>
      <c r="V8" s="3"/>
      <c r="W8" s="4" t="str">
        <f t="shared" si="2"/>
        <v>CONFIDENTIAL</v>
      </c>
      <c r="X8" s="4"/>
      <c r="Y8" s="4"/>
      <c r="Z8" s="4"/>
      <c r="AA8" s="4"/>
      <c r="AB8" s="4"/>
    </row>
    <row r="9" spans="1:28" x14ac:dyDescent="0.2">
      <c r="A9" s="2">
        <v>6</v>
      </c>
      <c r="B9" s="2" t="s">
        <v>10</v>
      </c>
      <c r="C9" s="2" t="s">
        <v>18</v>
      </c>
      <c r="D9" s="2"/>
      <c r="E9" s="3" t="s">
        <v>77</v>
      </c>
      <c r="F9" s="3"/>
      <c r="G9" s="3"/>
      <c r="H9" s="3"/>
      <c r="I9" s="3"/>
      <c r="J9" s="3"/>
      <c r="K9" s="4" t="str">
        <f t="shared" si="0"/>
        <v>CONFIDENTIAL</v>
      </c>
      <c r="L9" s="4"/>
      <c r="M9" s="4"/>
      <c r="N9" s="4"/>
      <c r="O9" s="4"/>
      <c r="P9" s="4"/>
      <c r="Q9" s="3" t="str">
        <f t="shared" si="1"/>
        <v>CONFIDENTIAL</v>
      </c>
      <c r="R9" s="3"/>
      <c r="S9" s="3"/>
      <c r="T9" s="3"/>
      <c r="U9" s="3"/>
      <c r="V9" s="3"/>
      <c r="W9" s="4" t="str">
        <f t="shared" si="2"/>
        <v>CONFIDENTIAL</v>
      </c>
      <c r="X9" s="4"/>
      <c r="Y9" s="4"/>
      <c r="Z9" s="4"/>
      <c r="AA9" s="4"/>
      <c r="AB9" s="4"/>
    </row>
    <row r="10" spans="1:28" x14ac:dyDescent="0.2">
      <c r="A10" s="2">
        <v>7</v>
      </c>
      <c r="B10" s="2" t="s">
        <v>11</v>
      </c>
      <c r="C10" s="2" t="s">
        <v>18</v>
      </c>
      <c r="D10" s="2"/>
      <c r="E10" s="3" t="s">
        <v>77</v>
      </c>
      <c r="F10" s="3"/>
      <c r="G10" s="3"/>
      <c r="H10" s="3"/>
      <c r="I10" s="3"/>
      <c r="J10" s="3"/>
      <c r="K10" s="4" t="str">
        <f t="shared" si="0"/>
        <v>CONFIDENTIAL</v>
      </c>
      <c r="L10" s="4"/>
      <c r="M10" s="4"/>
      <c r="N10" s="4"/>
      <c r="O10" s="4"/>
      <c r="P10" s="4"/>
      <c r="Q10" s="3" t="str">
        <f t="shared" si="1"/>
        <v>CONFIDENTIAL</v>
      </c>
      <c r="R10" s="3"/>
      <c r="S10" s="3"/>
      <c r="T10" s="3"/>
      <c r="U10" s="3"/>
      <c r="V10" s="3"/>
      <c r="W10" s="4" t="str">
        <f t="shared" si="2"/>
        <v>CONFIDENTIAL</v>
      </c>
      <c r="X10" s="4"/>
      <c r="Y10" s="4"/>
      <c r="Z10" s="4"/>
      <c r="AA10" s="4"/>
      <c r="AB10" s="4"/>
    </row>
    <row r="11" spans="1:28" x14ac:dyDescent="0.2">
      <c r="A11" s="2">
        <v>8</v>
      </c>
      <c r="B11" s="2" t="s">
        <v>12</v>
      </c>
      <c r="C11" s="2" t="s">
        <v>18</v>
      </c>
      <c r="D11" s="2"/>
      <c r="E11" s="3" t="s">
        <v>77</v>
      </c>
      <c r="F11" s="3"/>
      <c r="G11" s="3"/>
      <c r="H11" s="3"/>
      <c r="I11" s="3"/>
      <c r="J11" s="3"/>
      <c r="K11" s="4" t="str">
        <f t="shared" si="0"/>
        <v>CONFIDENTIAL</v>
      </c>
      <c r="L11" s="4"/>
      <c r="M11" s="4"/>
      <c r="N11" s="4"/>
      <c r="O11" s="4"/>
      <c r="P11" s="4"/>
      <c r="Q11" s="3" t="str">
        <f t="shared" si="1"/>
        <v>CONFIDENTIAL</v>
      </c>
      <c r="R11" s="3"/>
      <c r="S11" s="3"/>
      <c r="T11" s="3"/>
      <c r="U11" s="3"/>
      <c r="V11" s="3"/>
      <c r="W11" s="4" t="str">
        <f t="shared" si="2"/>
        <v>CONFIDENTIAL</v>
      </c>
      <c r="X11" s="4"/>
      <c r="Y11" s="4"/>
      <c r="Z11" s="4"/>
      <c r="AA11" s="4"/>
      <c r="AB11" s="4"/>
    </row>
    <row r="12" spans="1:28" x14ac:dyDescent="0.2">
      <c r="A12" s="2">
        <v>9</v>
      </c>
      <c r="B12" s="2" t="s">
        <v>13</v>
      </c>
      <c r="C12" s="2" t="s">
        <v>20</v>
      </c>
      <c r="D12" s="2"/>
      <c r="E12" s="3" t="s">
        <v>77</v>
      </c>
      <c r="F12" s="3"/>
      <c r="G12" s="3"/>
      <c r="H12" s="3"/>
      <c r="I12" s="3"/>
      <c r="J12" s="3"/>
      <c r="K12" s="4" t="str">
        <f t="shared" si="0"/>
        <v>CONFIDENTIAL</v>
      </c>
      <c r="L12" s="4"/>
      <c r="M12" s="4"/>
      <c r="N12" s="4"/>
      <c r="O12" s="4"/>
      <c r="P12" s="4"/>
      <c r="Q12" s="3" t="str">
        <f t="shared" si="1"/>
        <v>CONFIDENTIAL</v>
      </c>
      <c r="R12" s="3"/>
      <c r="S12" s="3"/>
      <c r="T12" s="3"/>
      <c r="U12" s="3"/>
      <c r="V12" s="3"/>
      <c r="W12" s="4" t="str">
        <f t="shared" si="2"/>
        <v>CONFIDENTIAL</v>
      </c>
      <c r="X12" s="4"/>
      <c r="Y12" s="4"/>
      <c r="Z12" s="4"/>
      <c r="AA12" s="4"/>
      <c r="AB12" s="4"/>
    </row>
    <row r="13" spans="1:28" x14ac:dyDescent="0.2">
      <c r="A13" s="2">
        <v>10</v>
      </c>
      <c r="B13" s="2" t="s">
        <v>14</v>
      </c>
      <c r="C13" s="2" t="s">
        <v>20</v>
      </c>
      <c r="D13" s="2"/>
      <c r="E13" s="3" t="s">
        <v>77</v>
      </c>
      <c r="F13" s="3"/>
      <c r="G13" s="3"/>
      <c r="H13" s="3"/>
      <c r="I13" s="3"/>
      <c r="J13" s="3"/>
      <c r="K13" s="4" t="str">
        <f t="shared" si="0"/>
        <v>CONFIDENTIAL</v>
      </c>
      <c r="L13" s="4"/>
      <c r="M13" s="4"/>
      <c r="N13" s="4"/>
      <c r="O13" s="4"/>
      <c r="P13" s="4"/>
      <c r="Q13" s="3" t="str">
        <f t="shared" si="1"/>
        <v>CONFIDENTIAL</v>
      </c>
      <c r="R13" s="3"/>
      <c r="S13" s="3"/>
      <c r="T13" s="3"/>
      <c r="U13" s="3"/>
      <c r="V13" s="3"/>
      <c r="W13" s="4" t="str">
        <f t="shared" si="2"/>
        <v>CONFIDENTIAL</v>
      </c>
      <c r="X13" s="4"/>
      <c r="Y13" s="4"/>
      <c r="Z13" s="4"/>
      <c r="AA13" s="4"/>
      <c r="AB13" s="4"/>
    </row>
    <row r="14" spans="1:28" x14ac:dyDescent="0.2">
      <c r="A14" s="2">
        <v>11</v>
      </c>
      <c r="B14" s="2" t="s">
        <v>15</v>
      </c>
      <c r="C14" s="2" t="s">
        <v>20</v>
      </c>
      <c r="D14" s="2"/>
      <c r="E14" s="3" t="s">
        <v>77</v>
      </c>
      <c r="F14" s="3"/>
      <c r="G14" s="3"/>
      <c r="H14" s="3"/>
      <c r="I14" s="3"/>
      <c r="J14" s="3"/>
      <c r="K14" s="4" t="str">
        <f t="shared" si="0"/>
        <v>CONFIDENTIAL</v>
      </c>
      <c r="L14" s="4"/>
      <c r="M14" s="4"/>
      <c r="N14" s="4"/>
      <c r="O14" s="4"/>
      <c r="P14" s="4"/>
      <c r="Q14" s="3" t="str">
        <f t="shared" si="1"/>
        <v>CONFIDENTIAL</v>
      </c>
      <c r="R14" s="3"/>
      <c r="S14" s="3"/>
      <c r="T14" s="3"/>
      <c r="U14" s="3"/>
      <c r="V14" s="3"/>
      <c r="W14" s="4" t="str">
        <f t="shared" si="2"/>
        <v>CONFIDENTIAL</v>
      </c>
      <c r="X14" s="4"/>
      <c r="Y14" s="4"/>
      <c r="Z14" s="4"/>
      <c r="AA14" s="4"/>
      <c r="AB14" s="4"/>
    </row>
    <row r="15" spans="1:28" x14ac:dyDescent="0.2">
      <c r="A15" s="2">
        <v>12</v>
      </c>
      <c r="B15" s="2" t="s">
        <v>16</v>
      </c>
      <c r="C15" s="2" t="s">
        <v>20</v>
      </c>
      <c r="D15" s="2"/>
      <c r="E15" s="3" t="s">
        <v>77</v>
      </c>
      <c r="F15" s="3"/>
      <c r="G15" s="3"/>
      <c r="H15" s="3"/>
      <c r="I15" s="3"/>
      <c r="J15" s="3"/>
      <c r="K15" s="4" t="str">
        <f t="shared" si="0"/>
        <v>CONFIDENTIAL</v>
      </c>
      <c r="L15" s="4"/>
      <c r="M15" s="4"/>
      <c r="N15" s="4"/>
      <c r="O15" s="4"/>
      <c r="P15" s="4"/>
      <c r="Q15" s="3" t="str">
        <f t="shared" si="1"/>
        <v>CONFIDENTIAL</v>
      </c>
      <c r="R15" s="3"/>
      <c r="S15" s="3"/>
      <c r="T15" s="3"/>
      <c r="U15" s="3"/>
      <c r="V15" s="3"/>
      <c r="W15" s="4" t="str">
        <f t="shared" si="2"/>
        <v>CONFIDENTIAL</v>
      </c>
      <c r="X15" s="4"/>
      <c r="Y15" s="4"/>
      <c r="Z15" s="4"/>
      <c r="AA15" s="4"/>
      <c r="AB15" s="4"/>
    </row>
    <row r="16" spans="1:28" x14ac:dyDescent="0.2">
      <c r="A16" s="2">
        <v>13</v>
      </c>
      <c r="B16" s="2" t="s">
        <v>17</v>
      </c>
      <c r="C16" s="2" t="s">
        <v>19</v>
      </c>
      <c r="D16" s="2" t="s">
        <v>51</v>
      </c>
      <c r="E16" s="3" t="s">
        <v>77</v>
      </c>
      <c r="F16" s="3"/>
      <c r="G16" s="3"/>
      <c r="H16" s="3"/>
      <c r="I16" s="3"/>
      <c r="J16" s="3"/>
      <c r="K16" s="4" t="str">
        <f t="shared" si="0"/>
        <v>CONFIDENTIAL</v>
      </c>
      <c r="L16" s="4"/>
      <c r="M16" s="4"/>
      <c r="N16" s="4"/>
      <c r="O16" s="4"/>
      <c r="P16" s="4"/>
      <c r="Q16" s="3" t="str">
        <f t="shared" si="1"/>
        <v>CONFIDENTIAL</v>
      </c>
      <c r="R16" s="3"/>
      <c r="S16" s="3"/>
      <c r="T16" s="3"/>
      <c r="U16" s="3"/>
      <c r="V16" s="3"/>
      <c r="W16" s="4" t="str">
        <f t="shared" si="2"/>
        <v>CONFIDENTIAL</v>
      </c>
      <c r="X16" s="4"/>
      <c r="Y16" s="4"/>
      <c r="Z16" s="4"/>
      <c r="AA16" s="4"/>
      <c r="AB16" s="4"/>
    </row>
    <row r="17" spans="1:28" x14ac:dyDescent="0.2">
      <c r="A17" s="2">
        <v>14</v>
      </c>
      <c r="B17" s="2" t="s">
        <v>45</v>
      </c>
      <c r="C17" s="2" t="s">
        <v>19</v>
      </c>
      <c r="D17" s="2" t="s">
        <v>42</v>
      </c>
      <c r="E17" s="3" t="s">
        <v>77</v>
      </c>
      <c r="F17" s="3"/>
      <c r="G17" s="3"/>
      <c r="H17" s="3"/>
      <c r="I17" s="3"/>
      <c r="J17" s="3"/>
      <c r="K17" s="4" t="str">
        <f t="shared" si="0"/>
        <v>CONFIDENTIAL</v>
      </c>
      <c r="L17" s="4"/>
      <c r="M17" s="4"/>
      <c r="N17" s="4"/>
      <c r="O17" s="4"/>
      <c r="P17" s="4"/>
      <c r="Q17" s="3" t="str">
        <f t="shared" si="1"/>
        <v>CONFIDENTIAL</v>
      </c>
      <c r="R17" s="3"/>
      <c r="S17" s="3"/>
      <c r="T17" s="3"/>
      <c r="U17" s="3"/>
      <c r="V17" s="3"/>
      <c r="W17" s="4" t="str">
        <f t="shared" si="2"/>
        <v>CONFIDENTIAL</v>
      </c>
      <c r="X17" s="4"/>
      <c r="Y17" s="4"/>
      <c r="Z17" s="4"/>
      <c r="AA17" s="4"/>
      <c r="AB17" s="4"/>
    </row>
    <row r="18" spans="1:28" x14ac:dyDescent="0.2">
      <c r="A18" s="2">
        <v>15</v>
      </c>
      <c r="B18" s="2" t="s">
        <v>46</v>
      </c>
      <c r="C18" s="2" t="s">
        <v>19</v>
      </c>
      <c r="D18" s="2" t="s">
        <v>41</v>
      </c>
      <c r="E18" s="3" t="s">
        <v>77</v>
      </c>
      <c r="F18" s="3"/>
      <c r="G18" s="3"/>
      <c r="H18" s="3"/>
      <c r="I18" s="3"/>
      <c r="J18" s="3"/>
      <c r="K18" s="4" t="str">
        <f t="shared" si="0"/>
        <v>CONFIDENTIAL</v>
      </c>
      <c r="L18" s="4"/>
      <c r="M18" s="4"/>
      <c r="N18" s="4"/>
      <c r="O18" s="4"/>
      <c r="P18" s="4"/>
      <c r="Q18" s="3" t="str">
        <f t="shared" si="1"/>
        <v>CONFIDENTIAL</v>
      </c>
      <c r="R18" s="3"/>
      <c r="S18" s="3"/>
      <c r="T18" s="3"/>
      <c r="U18" s="3"/>
      <c r="V18" s="3"/>
      <c r="W18" s="4" t="str">
        <f t="shared" si="2"/>
        <v>CONFIDENTIAL</v>
      </c>
      <c r="X18" s="4"/>
      <c r="Y18" s="4"/>
      <c r="Z18" s="4"/>
      <c r="AA18" s="4"/>
      <c r="AB18" s="4"/>
    </row>
    <row r="19" spans="1:28" x14ac:dyDescent="0.2">
      <c r="A19" s="2">
        <v>16</v>
      </c>
      <c r="B19" s="2" t="s">
        <v>47</v>
      </c>
      <c r="C19" s="2" t="s">
        <v>19</v>
      </c>
      <c r="D19" s="2" t="s">
        <v>43</v>
      </c>
      <c r="E19" s="3" t="s">
        <v>77</v>
      </c>
      <c r="F19" s="3"/>
      <c r="G19" s="3"/>
      <c r="H19" s="3"/>
      <c r="I19" s="3"/>
      <c r="J19" s="3"/>
      <c r="K19" s="4" t="str">
        <f t="shared" si="0"/>
        <v>CONFIDENTIAL</v>
      </c>
      <c r="L19" s="4"/>
      <c r="M19" s="4"/>
      <c r="N19" s="4"/>
      <c r="O19" s="4"/>
      <c r="P19" s="4"/>
      <c r="Q19" s="3" t="str">
        <f t="shared" si="1"/>
        <v>CONFIDENTIAL</v>
      </c>
      <c r="R19" s="3"/>
      <c r="S19" s="3"/>
      <c r="T19" s="3"/>
      <c r="U19" s="3"/>
      <c r="V19" s="3"/>
      <c r="W19" s="4" t="str">
        <f t="shared" si="2"/>
        <v>CONFIDENTIAL</v>
      </c>
      <c r="X19" s="4"/>
      <c r="Y19" s="4"/>
      <c r="Z19" s="4"/>
      <c r="AA19" s="4"/>
      <c r="AB19" s="4"/>
    </row>
    <row r="20" spans="1:28" x14ac:dyDescent="0.2">
      <c r="A20" s="2">
        <v>17</v>
      </c>
      <c r="B20" s="2" t="s">
        <v>48</v>
      </c>
      <c r="C20" s="2" t="s">
        <v>19</v>
      </c>
      <c r="D20" s="2" t="s">
        <v>44</v>
      </c>
      <c r="E20" s="3" t="s">
        <v>77</v>
      </c>
      <c r="F20" s="3"/>
      <c r="G20" s="3"/>
      <c r="H20" s="3"/>
      <c r="I20" s="3"/>
      <c r="J20" s="3"/>
      <c r="K20" s="4" t="str">
        <f t="shared" si="0"/>
        <v>CONFIDENTIAL</v>
      </c>
      <c r="L20" s="4"/>
      <c r="M20" s="4"/>
      <c r="N20" s="4"/>
      <c r="O20" s="4"/>
      <c r="P20" s="4"/>
      <c r="Q20" s="3" t="str">
        <f t="shared" si="1"/>
        <v>CONFIDENTIAL</v>
      </c>
      <c r="R20" s="3"/>
      <c r="S20" s="3"/>
      <c r="T20" s="3"/>
      <c r="U20" s="3"/>
      <c r="V20" s="3"/>
      <c r="W20" s="4" t="str">
        <f t="shared" si="2"/>
        <v>CONFIDENTIAL</v>
      </c>
      <c r="X20" s="4"/>
      <c r="Y20" s="4"/>
      <c r="Z20" s="4"/>
      <c r="AA20" s="4"/>
      <c r="AB20" s="4"/>
    </row>
    <row r="21" spans="1:28" x14ac:dyDescent="0.2">
      <c r="A21" s="2">
        <v>18</v>
      </c>
      <c r="B21" s="2" t="s">
        <v>38</v>
      </c>
      <c r="C21" s="2" t="s">
        <v>19</v>
      </c>
      <c r="D21" s="2"/>
      <c r="E21" s="3" t="s">
        <v>77</v>
      </c>
      <c r="F21" s="3"/>
      <c r="G21" s="3"/>
      <c r="H21" s="3"/>
      <c r="I21" s="3"/>
      <c r="J21" s="3"/>
      <c r="K21" s="4" t="str">
        <f t="shared" si="0"/>
        <v>CONFIDENTIAL</v>
      </c>
      <c r="L21" s="4"/>
      <c r="M21" s="4"/>
      <c r="N21" s="4"/>
      <c r="O21" s="4"/>
      <c r="P21" s="4"/>
      <c r="Q21" s="3" t="str">
        <f t="shared" si="1"/>
        <v>CONFIDENTIAL</v>
      </c>
      <c r="R21" s="3"/>
      <c r="S21" s="3"/>
      <c r="T21" s="3"/>
      <c r="U21" s="3"/>
      <c r="V21" s="3"/>
      <c r="W21" s="4" t="str">
        <f t="shared" si="2"/>
        <v>CONFIDENTIAL</v>
      </c>
      <c r="X21" s="4"/>
      <c r="Y21" s="4"/>
      <c r="Z21" s="4"/>
      <c r="AA21" s="4"/>
      <c r="AB21" s="4"/>
    </row>
  </sheetData>
  <mergeCells count="6">
    <mergeCell ref="E2:J2"/>
    <mergeCell ref="K2:P2"/>
    <mergeCell ref="E1:P1"/>
    <mergeCell ref="Q1:AB1"/>
    <mergeCell ref="Q2:V2"/>
    <mergeCell ref="W2:AB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92E87-5CF7-794D-A1AA-7C1926221C7B}">
  <dimension ref="A1:I27"/>
  <sheetViews>
    <sheetView tabSelected="1" zoomScale="200" zoomScaleNormal="200" workbookViewId="0">
      <selection activeCell="C28" sqref="C28"/>
    </sheetView>
  </sheetViews>
  <sheetFormatPr baseColWidth="10" defaultRowHeight="16" x14ac:dyDescent="0.2"/>
  <cols>
    <col min="2" max="2" width="11.33203125" bestFit="1" customWidth="1"/>
    <col min="3" max="3" width="16" bestFit="1" customWidth="1"/>
  </cols>
  <sheetData>
    <row r="1" spans="1:9" x14ac:dyDescent="0.2">
      <c r="A1" s="5"/>
      <c r="B1" s="8" t="str">
        <f>Commodities!B2</f>
        <v>gas</v>
      </c>
      <c r="C1" s="8"/>
      <c r="D1" s="8"/>
      <c r="E1" s="8"/>
      <c r="F1" s="9" t="str">
        <f>Commodities!B3</f>
        <v>hydrogen</v>
      </c>
      <c r="G1" s="9"/>
      <c r="H1" s="9"/>
      <c r="I1" s="9"/>
    </row>
    <row r="2" spans="1:9" x14ac:dyDescent="0.2">
      <c r="A2" s="5" t="s">
        <v>61</v>
      </c>
      <c r="B2" s="6" t="str">
        <f>Nodes!B12</f>
        <v>NBP</v>
      </c>
      <c r="C2" s="6" t="str">
        <f>Nodes!B13</f>
        <v>Zeebrugge</v>
      </c>
      <c r="D2" s="6" t="str">
        <f>Nodes!B14</f>
        <v>Dunkerque</v>
      </c>
      <c r="E2" s="6" t="str">
        <f>Nodes!B15</f>
        <v>Germany</v>
      </c>
      <c r="F2" s="7" t="str">
        <f>B2</f>
        <v>NBP</v>
      </c>
      <c r="G2" s="7" t="str">
        <f t="shared" ref="G2:I2" si="0">C2</f>
        <v>Zeebrugge</v>
      </c>
      <c r="H2" s="7" t="str">
        <f t="shared" si="0"/>
        <v>Dunkerque</v>
      </c>
      <c r="I2" s="7" t="str">
        <f t="shared" si="0"/>
        <v>Germany</v>
      </c>
    </row>
    <row r="3" spans="1:9" x14ac:dyDescent="0.2">
      <c r="A3" s="2">
        <v>0</v>
      </c>
      <c r="B3" s="3"/>
      <c r="C3" s="3"/>
      <c r="D3" s="3"/>
      <c r="E3" s="3"/>
      <c r="F3" s="4"/>
      <c r="G3" s="4"/>
      <c r="H3" s="4"/>
      <c r="I3" s="4"/>
    </row>
    <row r="4" spans="1:9" x14ac:dyDescent="0.2">
      <c r="A4" s="2">
        <v>1</v>
      </c>
      <c r="B4" s="3"/>
      <c r="C4" s="3"/>
      <c r="D4" s="3"/>
      <c r="E4" s="3"/>
      <c r="F4" s="4"/>
      <c r="G4" s="4"/>
      <c r="H4" s="4"/>
      <c r="I4" s="4"/>
    </row>
    <row r="5" spans="1:9" x14ac:dyDescent="0.2">
      <c r="A5" s="2">
        <v>2</v>
      </c>
      <c r="B5" s="3"/>
      <c r="C5" s="3"/>
      <c r="D5" s="3"/>
      <c r="E5" s="3"/>
      <c r="F5" s="4"/>
      <c r="G5" s="4"/>
      <c r="H5" s="4"/>
      <c r="I5" s="4"/>
    </row>
    <row r="6" spans="1:9" x14ac:dyDescent="0.2">
      <c r="A6" s="2">
        <v>3</v>
      </c>
      <c r="B6" s="3"/>
      <c r="C6" s="3"/>
      <c r="D6" s="3"/>
      <c r="E6" s="3"/>
      <c r="F6" s="4"/>
      <c r="G6" s="4"/>
      <c r="H6" s="4"/>
      <c r="I6" s="4"/>
    </row>
    <row r="7" spans="1:9" x14ac:dyDescent="0.2">
      <c r="A7" s="2">
        <v>4</v>
      </c>
      <c r="B7" s="3"/>
      <c r="C7" s="3"/>
      <c r="D7" s="3"/>
      <c r="E7" s="3"/>
      <c r="F7" s="4"/>
      <c r="G7" s="4"/>
      <c r="H7" s="4"/>
      <c r="I7" s="4"/>
    </row>
    <row r="8" spans="1:9" x14ac:dyDescent="0.2">
      <c r="A8" s="2">
        <v>5</v>
      </c>
      <c r="B8" s="3"/>
      <c r="C8" s="3"/>
      <c r="D8" s="3"/>
      <c r="E8" s="3"/>
      <c r="F8" s="4"/>
      <c r="G8" s="4"/>
      <c r="H8" s="4"/>
      <c r="I8" s="4"/>
    </row>
    <row r="9" spans="1:9" x14ac:dyDescent="0.2">
      <c r="A9" s="2">
        <v>6</v>
      </c>
      <c r="B9" s="3"/>
      <c r="C9" s="3"/>
      <c r="D9" s="3"/>
      <c r="E9" s="3"/>
      <c r="F9" s="4"/>
      <c r="G9" s="4"/>
      <c r="H9" s="4"/>
      <c r="I9" s="4"/>
    </row>
    <row r="10" spans="1:9" x14ac:dyDescent="0.2">
      <c r="A10" s="2">
        <v>7</v>
      </c>
      <c r="B10" s="3"/>
      <c r="C10" s="3"/>
      <c r="D10" s="3"/>
      <c r="E10" s="3"/>
      <c r="F10" s="4"/>
      <c r="G10" s="4"/>
      <c r="H10" s="4"/>
      <c r="I10" s="4"/>
    </row>
    <row r="11" spans="1:9" x14ac:dyDescent="0.2">
      <c r="A11" s="2">
        <v>8</v>
      </c>
      <c r="B11" s="3"/>
      <c r="C11" s="3"/>
      <c r="D11" s="3"/>
      <c r="E11" s="3"/>
      <c r="F11" s="4"/>
      <c r="G11" s="4"/>
      <c r="H11" s="4"/>
      <c r="I11" s="4"/>
    </row>
    <row r="12" spans="1:9" x14ac:dyDescent="0.2">
      <c r="A12" s="2">
        <v>9</v>
      </c>
      <c r="B12" s="3"/>
      <c r="C12" s="3"/>
      <c r="D12" s="3"/>
      <c r="E12" s="3"/>
      <c r="F12" s="4"/>
      <c r="G12" s="4"/>
      <c r="H12" s="4"/>
      <c r="I12" s="4"/>
    </row>
    <row r="13" spans="1:9" x14ac:dyDescent="0.2">
      <c r="A13" s="2">
        <v>10</v>
      </c>
      <c r="B13" s="3"/>
      <c r="C13" s="3"/>
      <c r="D13" s="3"/>
      <c r="E13" s="3"/>
      <c r="F13" s="4"/>
      <c r="G13" s="4"/>
      <c r="H13" s="4"/>
      <c r="I13" s="4"/>
    </row>
    <row r="14" spans="1:9" x14ac:dyDescent="0.2">
      <c r="A14" s="2">
        <v>11</v>
      </c>
      <c r="B14" s="3"/>
      <c r="C14" s="3"/>
      <c r="D14" s="3"/>
      <c r="E14" s="3"/>
      <c r="F14" s="4"/>
      <c r="G14" s="4"/>
      <c r="H14" s="4"/>
      <c r="I14" s="4"/>
    </row>
    <row r="15" spans="1:9" x14ac:dyDescent="0.2">
      <c r="A15" s="2">
        <v>12</v>
      </c>
      <c r="B15" s="3"/>
      <c r="C15" s="3"/>
      <c r="D15" s="3"/>
      <c r="E15" s="3"/>
      <c r="F15" s="4"/>
      <c r="G15" s="4"/>
      <c r="H15" s="4"/>
      <c r="I15" s="4"/>
    </row>
    <row r="16" spans="1:9" x14ac:dyDescent="0.2">
      <c r="A16" s="2">
        <v>13</v>
      </c>
      <c r="B16" s="3"/>
      <c r="C16" s="3"/>
      <c r="D16" s="3"/>
      <c r="E16" s="3"/>
      <c r="F16" s="4"/>
      <c r="G16" s="4"/>
      <c r="H16" s="4"/>
      <c r="I16" s="4"/>
    </row>
    <row r="17" spans="1:9" x14ac:dyDescent="0.2">
      <c r="A17" s="2">
        <v>14</v>
      </c>
      <c r="B17" s="3"/>
      <c r="C17" s="3"/>
      <c r="D17" s="3"/>
      <c r="E17" s="3"/>
      <c r="F17" s="4"/>
      <c r="G17" s="4"/>
      <c r="H17" s="4"/>
      <c r="I17" s="4"/>
    </row>
    <row r="18" spans="1:9" x14ac:dyDescent="0.2">
      <c r="A18" s="2">
        <v>15</v>
      </c>
      <c r="B18" s="3"/>
      <c r="C18" s="3"/>
      <c r="D18" s="3"/>
      <c r="E18" s="3"/>
      <c r="F18" s="4"/>
      <c r="G18" s="4"/>
      <c r="H18" s="4"/>
      <c r="I18" s="4"/>
    </row>
    <row r="19" spans="1:9" x14ac:dyDescent="0.2">
      <c r="A19" s="2">
        <v>16</v>
      </c>
      <c r="B19" s="3"/>
      <c r="C19" s="3"/>
      <c r="D19" s="3"/>
      <c r="E19" s="3"/>
      <c r="F19" s="4"/>
      <c r="G19" s="4"/>
      <c r="H19" s="4"/>
      <c r="I19" s="4"/>
    </row>
    <row r="20" spans="1:9" x14ac:dyDescent="0.2">
      <c r="A20" s="2">
        <v>17</v>
      </c>
      <c r="B20" s="3"/>
      <c r="C20" s="3"/>
      <c r="D20" s="3"/>
      <c r="E20" s="3"/>
      <c r="F20" s="4"/>
      <c r="G20" s="4"/>
      <c r="H20" s="4"/>
      <c r="I20" s="4"/>
    </row>
    <row r="21" spans="1:9" x14ac:dyDescent="0.2">
      <c r="A21" s="2">
        <v>18</v>
      </c>
      <c r="B21" s="3"/>
      <c r="C21" s="3"/>
      <c r="D21" s="3"/>
      <c r="E21" s="3"/>
      <c r="F21" s="4"/>
      <c r="G21" s="4"/>
      <c r="H21" s="4"/>
      <c r="I21" s="4"/>
    </row>
    <row r="22" spans="1:9" x14ac:dyDescent="0.2">
      <c r="A22" s="2">
        <v>19</v>
      </c>
      <c r="B22" s="3"/>
      <c r="C22" s="3"/>
      <c r="D22" s="3"/>
      <c r="E22" s="3"/>
      <c r="F22" s="4"/>
      <c r="G22" s="4"/>
      <c r="H22" s="4"/>
      <c r="I22" s="4"/>
    </row>
    <row r="23" spans="1:9" x14ac:dyDescent="0.2">
      <c r="A23" s="2">
        <v>20</v>
      </c>
      <c r="B23" s="3"/>
      <c r="C23" s="3"/>
      <c r="D23" s="3"/>
      <c r="E23" s="3"/>
      <c r="F23" s="4"/>
      <c r="G23" s="4"/>
      <c r="H23" s="4"/>
      <c r="I23" s="4"/>
    </row>
    <row r="24" spans="1:9" x14ac:dyDescent="0.2">
      <c r="A24" s="2">
        <v>21</v>
      </c>
      <c r="B24" s="3"/>
      <c r="C24" s="3"/>
      <c r="D24" s="3"/>
      <c r="E24" s="3"/>
      <c r="F24" s="4"/>
      <c r="G24" s="4"/>
      <c r="H24" s="4"/>
      <c r="I24" s="4"/>
    </row>
    <row r="25" spans="1:9" x14ac:dyDescent="0.2">
      <c r="A25" s="2">
        <v>22</v>
      </c>
      <c r="B25" s="3"/>
      <c r="C25" s="3"/>
      <c r="D25" s="3"/>
      <c r="E25" s="3"/>
      <c r="F25" s="4"/>
      <c r="G25" s="4"/>
      <c r="H25" s="4"/>
      <c r="I25" s="4"/>
    </row>
    <row r="26" spans="1:9" x14ac:dyDescent="0.2">
      <c r="A26" s="2">
        <v>23</v>
      </c>
      <c r="B26" s="3"/>
      <c r="C26" s="3"/>
      <c r="D26" s="3"/>
      <c r="E26" s="3"/>
      <c r="F26" s="4"/>
      <c r="G26" s="4"/>
      <c r="H26" s="4"/>
      <c r="I26" s="4"/>
    </row>
    <row r="27" spans="1:9" x14ac:dyDescent="0.2">
      <c r="B27">
        <v>2</v>
      </c>
      <c r="C27">
        <v>2.1</v>
      </c>
      <c r="D27">
        <v>0.9</v>
      </c>
      <c r="E27">
        <v>0.3</v>
      </c>
    </row>
  </sheetData>
  <mergeCells count="2">
    <mergeCell ref="B1:E1"/>
    <mergeCell ref="F1:I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2688A-D2A3-854F-B341-C0BEC53AF991}">
  <dimension ref="A1:L24"/>
  <sheetViews>
    <sheetView zoomScale="200" zoomScaleNormal="200" workbookViewId="0">
      <selection activeCell="F21" sqref="F21"/>
    </sheetView>
  </sheetViews>
  <sheetFormatPr baseColWidth="10" defaultRowHeight="16" x14ac:dyDescent="0.2"/>
  <cols>
    <col min="2" max="2" width="15.1640625" bestFit="1" customWidth="1"/>
    <col min="3" max="4" width="13.33203125" bestFit="1" customWidth="1"/>
    <col min="5" max="5" width="17.1640625" bestFit="1" customWidth="1"/>
    <col min="9" max="9" width="13.1640625" bestFit="1" customWidth="1"/>
    <col min="10" max="10" width="13.5" bestFit="1" customWidth="1"/>
  </cols>
  <sheetData>
    <row r="1" spans="1:12" x14ac:dyDescent="0.2">
      <c r="I1" s="11" t="str">
        <f>Traders!B2</f>
        <v>Shipper 1</v>
      </c>
      <c r="J1" s="11"/>
      <c r="K1" s="11" t="str">
        <f>Traders!B3</f>
        <v>Shipper 2</v>
      </c>
      <c r="L1" s="11"/>
    </row>
    <row r="2" spans="1:12" x14ac:dyDescent="0.2">
      <c r="I2" s="6" t="s">
        <v>63</v>
      </c>
      <c r="J2" s="7" t="s">
        <v>64</v>
      </c>
      <c r="K2" s="6" t="s">
        <v>63</v>
      </c>
      <c r="L2" s="7" t="s">
        <v>64</v>
      </c>
    </row>
    <row r="3" spans="1:12" x14ac:dyDescent="0.2">
      <c r="A3" s="5" t="s">
        <v>0</v>
      </c>
      <c r="B3" s="5" t="s">
        <v>1</v>
      </c>
      <c r="C3" s="5" t="s">
        <v>2</v>
      </c>
      <c r="D3" s="5" t="s">
        <v>3</v>
      </c>
      <c r="E3" s="5" t="s">
        <v>76</v>
      </c>
      <c r="F3" s="5" t="s">
        <v>49</v>
      </c>
      <c r="G3" s="5" t="s">
        <v>39</v>
      </c>
      <c r="H3" s="10" t="s">
        <v>40</v>
      </c>
      <c r="I3" s="6" t="s">
        <v>66</v>
      </c>
      <c r="J3" s="7" t="s">
        <v>66</v>
      </c>
      <c r="K3" s="6" t="s">
        <v>66</v>
      </c>
      <c r="L3" s="7" t="s">
        <v>66</v>
      </c>
    </row>
    <row r="4" spans="1:12" x14ac:dyDescent="0.2">
      <c r="A4" s="2">
        <v>1</v>
      </c>
      <c r="B4" s="2" t="s">
        <v>21</v>
      </c>
      <c r="C4" s="2" t="str">
        <f>Nodes!B4</f>
        <v>AreaA</v>
      </c>
      <c r="D4" s="2" t="str">
        <f>Nodes!B12</f>
        <v>NBP</v>
      </c>
      <c r="E4" s="2">
        <v>25</v>
      </c>
      <c r="F4" s="2" t="s">
        <v>50</v>
      </c>
      <c r="G4" s="2">
        <f>INDEX(Nodes!$A:$A,MATCH(Arcs!C4,Nodes!$B:$B,0))</f>
        <v>1</v>
      </c>
      <c r="H4" s="2">
        <f>INDEX(Nodes!$A:$A,MATCH(Arcs!D4,Nodes!$B:$B,0))</f>
        <v>9</v>
      </c>
      <c r="I4" s="3"/>
      <c r="J4" s="4"/>
      <c r="K4" s="3"/>
      <c r="L4" s="4"/>
    </row>
    <row r="5" spans="1:12" x14ac:dyDescent="0.2">
      <c r="A5" s="2">
        <v>2</v>
      </c>
      <c r="B5" s="2" t="s">
        <v>22</v>
      </c>
      <c r="C5" s="2" t="str">
        <f>Nodes!B16</f>
        <v>Intermediate 1</v>
      </c>
      <c r="D5" s="2" t="str">
        <f>Nodes!B12</f>
        <v>NBP</v>
      </c>
      <c r="E5" s="2">
        <v>36.9</v>
      </c>
      <c r="F5" s="2" t="s">
        <v>50</v>
      </c>
      <c r="G5" s="2">
        <f>INDEX(Nodes!$A:$A,MATCH(Arcs!C5,Nodes!$B:$B,0))</f>
        <v>13</v>
      </c>
      <c r="H5" s="2">
        <f>INDEX(Nodes!$A:$A,MATCH(Arcs!D5,Nodes!$B:$B,0))</f>
        <v>9</v>
      </c>
      <c r="I5" s="3"/>
      <c r="J5" s="4"/>
      <c r="K5" s="3"/>
      <c r="L5" s="4"/>
    </row>
    <row r="6" spans="1:12" x14ac:dyDescent="0.2">
      <c r="A6" s="2">
        <v>3</v>
      </c>
      <c r="B6" s="2" t="s">
        <v>23</v>
      </c>
      <c r="C6" s="2" t="str">
        <f>Nodes!B9</f>
        <v>Nyhamna</v>
      </c>
      <c r="D6" s="2" t="str">
        <f>Nodes!B18</f>
        <v>Intermediate 3</v>
      </c>
      <c r="E6" s="2">
        <v>74.7</v>
      </c>
      <c r="F6" s="2" t="s">
        <v>50</v>
      </c>
      <c r="G6" s="2">
        <f>INDEX(Nodes!$A:$A,MATCH(Arcs!C6,Nodes!$B:$B,0))</f>
        <v>6</v>
      </c>
      <c r="H6" s="2">
        <f>INDEX(Nodes!$A:$A,MATCH(Arcs!D6,Nodes!$B:$B,0))</f>
        <v>15</v>
      </c>
      <c r="I6" s="3"/>
      <c r="J6" s="4"/>
      <c r="K6" s="3"/>
      <c r="L6" s="4"/>
    </row>
    <row r="7" spans="1:12" x14ac:dyDescent="0.2">
      <c r="A7" s="2">
        <v>4</v>
      </c>
      <c r="B7" s="2" t="s">
        <v>23</v>
      </c>
      <c r="C7" s="2" t="str">
        <f>Nodes!B18</f>
        <v>Intermediate 3</v>
      </c>
      <c r="D7" s="2" t="str">
        <f>Nodes!B12</f>
        <v>NBP</v>
      </c>
      <c r="E7" s="2">
        <v>72.099999999999994</v>
      </c>
      <c r="F7" s="2" t="s">
        <v>50</v>
      </c>
      <c r="G7" s="2">
        <f>INDEX(Nodes!$A:$A,MATCH(Arcs!C7,Nodes!$B:$B,0))</f>
        <v>15</v>
      </c>
      <c r="H7" s="2">
        <f>INDEX(Nodes!$A:$A,MATCH(Arcs!D7,Nodes!$B:$B,0))</f>
        <v>9</v>
      </c>
      <c r="I7" s="3"/>
      <c r="J7" s="4"/>
      <c r="K7" s="3"/>
      <c r="L7" s="4"/>
    </row>
    <row r="8" spans="1:12" x14ac:dyDescent="0.2">
      <c r="A8" s="2">
        <v>5</v>
      </c>
      <c r="B8" s="2" t="s">
        <v>24</v>
      </c>
      <c r="C8" s="2" t="str">
        <f>Nodes!B18</f>
        <v>Intermediate 3</v>
      </c>
      <c r="D8" s="2" t="str">
        <f>Nodes!B13</f>
        <v>Zeebrugge</v>
      </c>
      <c r="E8" s="2">
        <v>42.2</v>
      </c>
      <c r="F8" s="2" t="s">
        <v>50</v>
      </c>
      <c r="G8" s="2">
        <f>INDEX(Nodes!$A:$A,MATCH(Arcs!C8,Nodes!$B:$B,0))</f>
        <v>15</v>
      </c>
      <c r="H8" s="2">
        <f>INDEX(Nodes!$A:$A,MATCH(Arcs!D8,Nodes!$B:$B,0))</f>
        <v>10</v>
      </c>
      <c r="I8" s="3"/>
      <c r="J8" s="4"/>
      <c r="K8" s="3"/>
      <c r="L8" s="4"/>
    </row>
    <row r="9" spans="1:12" x14ac:dyDescent="0.2">
      <c r="A9" s="2">
        <v>6</v>
      </c>
      <c r="B9" s="2" t="s">
        <v>25</v>
      </c>
      <c r="C9" s="2" t="str">
        <f>Nodes!B8</f>
        <v>Kollsnes</v>
      </c>
      <c r="D9" s="2" t="str">
        <f>Nodes!B18</f>
        <v>Intermediate 3</v>
      </c>
      <c r="E9" s="2">
        <v>74</v>
      </c>
      <c r="F9" s="2" t="s">
        <v>50</v>
      </c>
      <c r="G9" s="2">
        <f>INDEX(Nodes!$A:$A,MATCH(Arcs!C9,Nodes!$B:$B,0))</f>
        <v>5</v>
      </c>
      <c r="H9" s="2">
        <f>INDEX(Nodes!$A:$A,MATCH(Arcs!D9,Nodes!$B:$B,0))</f>
        <v>15</v>
      </c>
      <c r="I9" s="3"/>
      <c r="J9" s="4"/>
      <c r="K9" s="3"/>
      <c r="L9" s="4"/>
    </row>
    <row r="10" spans="1:12" x14ac:dyDescent="0.2">
      <c r="A10" s="2">
        <v>7</v>
      </c>
      <c r="B10" s="2" t="s">
        <v>26</v>
      </c>
      <c r="C10" s="2" t="str">
        <f>Nodes!B8</f>
        <v>Kollsnes</v>
      </c>
      <c r="D10" s="2" t="str">
        <f>Nodes!B17</f>
        <v>Intermediate 2</v>
      </c>
      <c r="E10" s="2">
        <v>73</v>
      </c>
      <c r="F10" s="2" t="s">
        <v>50</v>
      </c>
      <c r="G10" s="2">
        <f>INDEX(Nodes!$A:$A,MATCH(Arcs!C10,Nodes!$B:$B,0))</f>
        <v>5</v>
      </c>
      <c r="H10" s="2">
        <f>INDEX(Nodes!$A:$A,MATCH(Arcs!D10,Nodes!$B:$B,0))</f>
        <v>14</v>
      </c>
      <c r="I10" s="3"/>
      <c r="J10" s="4"/>
      <c r="K10" s="3"/>
      <c r="L10" s="4"/>
    </row>
    <row r="11" spans="1:12" x14ac:dyDescent="0.2">
      <c r="A11" s="2">
        <v>8</v>
      </c>
      <c r="B11" s="2" t="s">
        <v>27</v>
      </c>
      <c r="C11" s="2" t="str">
        <f>Nodes!B18</f>
        <v>Intermediate 3</v>
      </c>
      <c r="D11" s="2" t="str">
        <f>Nodes!B17</f>
        <v>Intermediate 2</v>
      </c>
      <c r="E11" t="s">
        <v>78</v>
      </c>
      <c r="F11" s="2"/>
      <c r="G11" s="2">
        <f>INDEX(Nodes!$A:$A,MATCH(Arcs!C11,Nodes!$B:$B,0))</f>
        <v>15</v>
      </c>
      <c r="H11" s="2">
        <f>INDEX(Nodes!$A:$A,MATCH(Arcs!D11,Nodes!$B:$B,0))</f>
        <v>14</v>
      </c>
      <c r="I11" s="3"/>
      <c r="J11" s="4"/>
      <c r="K11" s="3"/>
      <c r="L11" s="4"/>
    </row>
    <row r="12" spans="1:12" x14ac:dyDescent="0.2">
      <c r="A12" s="2">
        <v>9</v>
      </c>
      <c r="B12" s="2" t="s">
        <v>28</v>
      </c>
      <c r="C12" s="2" t="str">
        <f>Nodes!B6</f>
        <v>Heimdal</v>
      </c>
      <c r="D12" s="2" t="str">
        <f>Nodes!B17</f>
        <v>Intermediate 2</v>
      </c>
      <c r="E12" s="2">
        <v>30.7</v>
      </c>
      <c r="F12" s="2" t="s">
        <v>52</v>
      </c>
      <c r="G12" s="2">
        <f>INDEX(Nodes!$A:$A,MATCH(Arcs!C12,Nodes!$B:$B,0))</f>
        <v>3</v>
      </c>
      <c r="H12" s="2">
        <f>INDEX(Nodes!$A:$A,MATCH(Arcs!D12,Nodes!$B:$B,0))</f>
        <v>14</v>
      </c>
      <c r="I12" s="3"/>
      <c r="J12" s="4"/>
      <c r="K12" s="3"/>
      <c r="L12" s="4"/>
    </row>
    <row r="13" spans="1:12" x14ac:dyDescent="0.2">
      <c r="A13" s="2">
        <v>10</v>
      </c>
      <c r="B13" s="2" t="s">
        <v>29</v>
      </c>
      <c r="C13" s="2" t="str">
        <f>Nodes!B19</f>
        <v>Intermediate 4</v>
      </c>
      <c r="D13" s="2" t="str">
        <f>Nodes!B14</f>
        <v>Dunkerque</v>
      </c>
      <c r="E13" s="2">
        <v>54.8</v>
      </c>
      <c r="F13" s="2" t="s">
        <v>50</v>
      </c>
      <c r="G13" s="2">
        <f>INDEX(Nodes!$A:$A,MATCH(Arcs!C13,Nodes!$B:$B,0))</f>
        <v>16</v>
      </c>
      <c r="H13" s="2">
        <f>INDEX(Nodes!$A:$A,MATCH(Arcs!D13,Nodes!$B:$B,0))</f>
        <v>11</v>
      </c>
      <c r="I13" s="3"/>
      <c r="J13" s="4"/>
      <c r="K13" s="3"/>
      <c r="L13" s="4"/>
    </row>
    <row r="14" spans="1:12" x14ac:dyDescent="0.2">
      <c r="A14" s="2">
        <v>11</v>
      </c>
      <c r="B14" s="2" t="s">
        <v>28</v>
      </c>
      <c r="C14" s="2" t="str">
        <f>Nodes!B4</f>
        <v>AreaA</v>
      </c>
      <c r="D14" s="2" t="str">
        <f>Nodes!B21</f>
        <v>Karstø</v>
      </c>
      <c r="E14" t="s">
        <v>78</v>
      </c>
      <c r="F14" s="2"/>
      <c r="G14" s="2">
        <f>INDEX(Nodes!$A:$A,MATCH(Arcs!C14,Nodes!$B:$B,0))</f>
        <v>1</v>
      </c>
      <c r="H14" s="2">
        <f>INDEX(Nodes!$A:$A,MATCH(Arcs!D14,Nodes!$B:$B,0))</f>
        <v>18</v>
      </c>
      <c r="I14" s="3"/>
      <c r="J14" s="4"/>
      <c r="K14" s="3"/>
      <c r="L14" s="4"/>
    </row>
    <row r="15" spans="1:12" x14ac:dyDescent="0.2">
      <c r="A15" s="2">
        <v>12</v>
      </c>
      <c r="B15" s="2" t="s">
        <v>28</v>
      </c>
      <c r="C15" s="2" t="str">
        <f>Nodes!B21</f>
        <v>Karstø</v>
      </c>
      <c r="D15" s="2" t="str">
        <f>Nodes!B19</f>
        <v>Intermediate 4</v>
      </c>
      <c r="E15" s="2">
        <v>21.1</v>
      </c>
      <c r="F15" s="2" t="s">
        <v>50</v>
      </c>
      <c r="G15" s="2">
        <f>INDEX(Nodes!$A:$A,MATCH(Arcs!C15,Nodes!$B:$B,0))</f>
        <v>18</v>
      </c>
      <c r="H15" s="2">
        <f>INDEX(Nodes!$A:$A,MATCH(Arcs!D15,Nodes!$B:$B,0))</f>
        <v>16</v>
      </c>
      <c r="I15" s="3"/>
      <c r="J15" s="4"/>
      <c r="K15" s="3"/>
      <c r="L15" s="4"/>
    </row>
    <row r="16" spans="1:12" x14ac:dyDescent="0.2">
      <c r="A16" s="2">
        <v>13</v>
      </c>
      <c r="B16" s="2" t="s">
        <v>31</v>
      </c>
      <c r="C16" s="2" t="str">
        <f>Nodes!B19</f>
        <v>Intermediate 4</v>
      </c>
      <c r="D16" s="2" t="str">
        <f>Nodes!B15</f>
        <v>Germany</v>
      </c>
      <c r="E16" s="2">
        <v>45.7</v>
      </c>
      <c r="F16" s="2" t="s">
        <v>50</v>
      </c>
      <c r="G16" s="2">
        <f>INDEX(Nodes!$A:$A,MATCH(Arcs!C16,Nodes!$B:$B,0))</f>
        <v>16</v>
      </c>
      <c r="H16" s="2">
        <f>INDEX(Nodes!$A:$A,MATCH(Arcs!D16,Nodes!$B:$B,0))</f>
        <v>12</v>
      </c>
      <c r="I16" s="3"/>
      <c r="J16" s="4"/>
      <c r="K16" s="3"/>
      <c r="L16" s="4"/>
    </row>
    <row r="17" spans="1:12" x14ac:dyDescent="0.2">
      <c r="A17" s="2">
        <v>14</v>
      </c>
      <c r="B17" s="2" t="s">
        <v>30</v>
      </c>
      <c r="C17" s="2" t="str">
        <f>Nodes!B20</f>
        <v>Intermediate 5</v>
      </c>
      <c r="D17" s="2" t="str">
        <f>Nodes!B15</f>
        <v>Germany</v>
      </c>
      <c r="E17" s="2">
        <v>44.4</v>
      </c>
      <c r="F17" s="2" t="s">
        <v>50</v>
      </c>
      <c r="G17" s="2">
        <f>INDEX(Nodes!$A:$A,MATCH(Arcs!C17,Nodes!$B:$B,0))</f>
        <v>17</v>
      </c>
      <c r="H17" s="2">
        <f>INDEX(Nodes!$A:$A,MATCH(Arcs!D17,Nodes!$B:$B,0))</f>
        <v>12</v>
      </c>
      <c r="I17" s="3"/>
      <c r="J17" s="4"/>
      <c r="K17" s="3"/>
      <c r="L17" s="4"/>
    </row>
    <row r="18" spans="1:12" x14ac:dyDescent="0.2">
      <c r="A18" s="2">
        <v>15</v>
      </c>
      <c r="B18" s="2" t="s">
        <v>32</v>
      </c>
      <c r="C18" s="2" t="str">
        <f>Nodes!B21</f>
        <v>Karstø</v>
      </c>
      <c r="D18" s="2" t="str">
        <f>Nodes!B15</f>
        <v>Germany</v>
      </c>
      <c r="E18" s="2">
        <v>71.2</v>
      </c>
      <c r="F18" s="2" t="s">
        <v>50</v>
      </c>
      <c r="G18" s="2">
        <f>INDEX(Nodes!$A:$A,MATCH(Arcs!C18,Nodes!$B:$B,0))</f>
        <v>18</v>
      </c>
      <c r="H18" s="2">
        <f>INDEX(Nodes!$A:$A,MATCH(Arcs!D18,Nodes!$B:$B,0))</f>
        <v>12</v>
      </c>
      <c r="I18" s="3"/>
      <c r="J18" s="4"/>
      <c r="K18" s="3"/>
      <c r="L18" s="4"/>
    </row>
    <row r="19" spans="1:12" x14ac:dyDescent="0.2">
      <c r="A19" s="2">
        <v>16</v>
      </c>
      <c r="B19" s="2" t="s">
        <v>33</v>
      </c>
      <c r="C19" s="2" t="str">
        <f>Nodes!B7</f>
        <v>AreaB</v>
      </c>
      <c r="D19" s="2" t="str">
        <f>Nodes!B21</f>
        <v>Karstø</v>
      </c>
      <c r="E19" t="s">
        <v>78</v>
      </c>
      <c r="F19" s="2"/>
      <c r="G19" s="2">
        <f>INDEX(Nodes!$A:$A,MATCH(Arcs!C19,Nodes!$B:$B,0))</f>
        <v>4</v>
      </c>
      <c r="H19" s="2">
        <f>INDEX(Nodes!$A:$A,MATCH(Arcs!D19,Nodes!$B:$B,0))</f>
        <v>18</v>
      </c>
      <c r="I19" s="3"/>
      <c r="J19" s="4"/>
      <c r="K19" s="3"/>
      <c r="L19" s="4"/>
    </row>
    <row r="20" spans="1:12" x14ac:dyDescent="0.2">
      <c r="A20" s="2">
        <v>17</v>
      </c>
      <c r="B20" s="2" t="s">
        <v>28</v>
      </c>
      <c r="C20" s="2" t="str">
        <f>Nodes!B19</f>
        <v>Intermediate 4</v>
      </c>
      <c r="D20" s="2" t="str">
        <f>Nodes!B20</f>
        <v>Intermediate 5</v>
      </c>
      <c r="E20" s="2">
        <v>44.4</v>
      </c>
      <c r="F20" s="2" t="s">
        <v>52</v>
      </c>
      <c r="G20" s="2">
        <f>INDEX(Nodes!$A:$A,MATCH(Arcs!C20,Nodes!$B:$B,0))</f>
        <v>16</v>
      </c>
      <c r="H20" s="2">
        <f>INDEX(Nodes!$A:$A,MATCH(Arcs!D20,Nodes!$B:$B,0))</f>
        <v>17</v>
      </c>
      <c r="I20" s="3"/>
      <c r="J20" s="4"/>
      <c r="K20" s="3"/>
      <c r="L20" s="4"/>
    </row>
    <row r="21" spans="1:12" x14ac:dyDescent="0.2">
      <c r="A21" s="2">
        <v>18</v>
      </c>
      <c r="B21" s="2" t="s">
        <v>34</v>
      </c>
      <c r="C21" s="2" t="str">
        <f>Nodes!B5</f>
        <v>Oseberg</v>
      </c>
      <c r="D21" s="2" t="str">
        <f>Nodes!B16</f>
        <v>Intermediate 1</v>
      </c>
      <c r="E21" t="s">
        <v>78</v>
      </c>
      <c r="F21" s="2"/>
      <c r="G21" s="2">
        <f>INDEX(Nodes!$A:$A,MATCH(Arcs!C21,Nodes!$B:$B,0))</f>
        <v>2</v>
      </c>
      <c r="H21" s="2">
        <f>INDEX(Nodes!$A:$A,MATCH(Arcs!D21,Nodes!$B:$B,0))</f>
        <v>13</v>
      </c>
      <c r="I21" s="3"/>
      <c r="J21" s="4"/>
      <c r="K21" s="3"/>
      <c r="L21" s="4"/>
    </row>
    <row r="22" spans="1:12" x14ac:dyDescent="0.2">
      <c r="A22" s="2">
        <v>19</v>
      </c>
      <c r="B22" s="2" t="s">
        <v>35</v>
      </c>
      <c r="C22" s="2" t="str">
        <f>Nodes!B6</f>
        <v>Heimdal</v>
      </c>
      <c r="D22" s="2" t="str">
        <f>Nodes!B16</f>
        <v>Intermediate 1</v>
      </c>
      <c r="E22" t="s">
        <v>78</v>
      </c>
      <c r="F22" s="2"/>
      <c r="G22" s="2">
        <f>INDEX(Nodes!$A:$A,MATCH(Arcs!C22,Nodes!$B:$B,0))</f>
        <v>3</v>
      </c>
      <c r="H22" s="2">
        <f>INDEX(Nodes!$A:$A,MATCH(Arcs!D22,Nodes!$B:$B,0))</f>
        <v>13</v>
      </c>
      <c r="I22" s="3"/>
      <c r="J22" s="4"/>
      <c r="K22" s="3"/>
      <c r="L22" s="4"/>
    </row>
    <row r="23" spans="1:12" x14ac:dyDescent="0.2">
      <c r="A23" s="2">
        <v>20</v>
      </c>
      <c r="B23" s="2" t="s">
        <v>36</v>
      </c>
      <c r="C23" s="2" t="str">
        <f>Nodes!B17</f>
        <v>Intermediate 2</v>
      </c>
      <c r="D23" s="2" t="str">
        <f>Nodes!B21</f>
        <v>Karstø</v>
      </c>
      <c r="E23" t="s">
        <v>78</v>
      </c>
      <c r="F23" s="2"/>
      <c r="G23" s="2">
        <f>INDEX(Nodes!$A:$A,MATCH(Arcs!C23,Nodes!$B:$B,0))</f>
        <v>14</v>
      </c>
      <c r="H23" s="2">
        <f>INDEX(Nodes!$A:$A,MATCH(Arcs!D23,Nodes!$B:$B,0))</f>
        <v>18</v>
      </c>
      <c r="I23" s="3"/>
      <c r="J23" s="4"/>
      <c r="K23" s="3"/>
      <c r="L23" s="4"/>
    </row>
    <row r="24" spans="1:12" x14ac:dyDescent="0.2">
      <c r="A24" s="2">
        <v>21</v>
      </c>
      <c r="B24" s="2" t="s">
        <v>37</v>
      </c>
      <c r="C24" s="2" t="str">
        <f>Nodes!B17</f>
        <v>Intermediate 2</v>
      </c>
      <c r="D24" s="2" t="str">
        <f>Nodes!B19</f>
        <v>Intermediate 4</v>
      </c>
      <c r="E24" t="s">
        <v>78</v>
      </c>
      <c r="F24" s="2"/>
      <c r="G24" s="2">
        <f>INDEX(Nodes!$A:$A,MATCH(Arcs!C24,Nodes!$B:$B,0))</f>
        <v>14</v>
      </c>
      <c r="H24" s="2">
        <f>INDEX(Nodes!$A:$A,MATCH(Arcs!D24,Nodes!$B:$B,0))</f>
        <v>16</v>
      </c>
      <c r="I24" s="3"/>
      <c r="J24" s="4"/>
      <c r="K24" s="3"/>
      <c r="L24" s="4"/>
    </row>
  </sheetData>
  <mergeCells count="2">
    <mergeCell ref="I1:J1"/>
    <mergeCell ref="K1:L1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9A445-15C0-AB40-A0A7-7DAECA950535}">
  <dimension ref="A1:B4"/>
  <sheetViews>
    <sheetView zoomScale="200" zoomScaleNormal="200" workbookViewId="0">
      <selection activeCell="D8" sqref="D8"/>
    </sheetView>
  </sheetViews>
  <sheetFormatPr baseColWidth="10" defaultRowHeight="16" x14ac:dyDescent="0.2"/>
  <sheetData>
    <row r="1" spans="1:2" x14ac:dyDescent="0.2">
      <c r="A1" s="5" t="s">
        <v>0</v>
      </c>
      <c r="B1" s="5" t="s">
        <v>1</v>
      </c>
    </row>
    <row r="2" spans="1:2" x14ac:dyDescent="0.2">
      <c r="A2" s="2">
        <v>1</v>
      </c>
      <c r="B2" s="2" t="s">
        <v>55</v>
      </c>
    </row>
    <row r="3" spans="1:2" x14ac:dyDescent="0.2">
      <c r="A3" s="2">
        <v>2</v>
      </c>
      <c r="B3" s="2" t="s">
        <v>56</v>
      </c>
    </row>
    <row r="4" spans="1:2" x14ac:dyDescent="0.2">
      <c r="A4" s="1"/>
      <c r="B4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F2103-BB5B-1146-8172-40BAC814D614}">
  <dimension ref="A1:B3"/>
  <sheetViews>
    <sheetView zoomScale="200" zoomScaleNormal="200" workbookViewId="0">
      <selection activeCell="B3" sqref="B3"/>
    </sheetView>
  </sheetViews>
  <sheetFormatPr baseColWidth="10" defaultRowHeight="16" x14ac:dyDescent="0.2"/>
  <sheetData>
    <row r="1" spans="1:2" x14ac:dyDescent="0.2">
      <c r="A1" s="5" t="s">
        <v>0</v>
      </c>
      <c r="B1" s="5" t="s">
        <v>1</v>
      </c>
    </row>
    <row r="2" spans="1:2" x14ac:dyDescent="0.2">
      <c r="A2" s="2">
        <v>1</v>
      </c>
      <c r="B2" s="2" t="s">
        <v>57</v>
      </c>
    </row>
    <row r="3" spans="1:2" x14ac:dyDescent="0.2">
      <c r="A3" s="2">
        <v>2</v>
      </c>
      <c r="B3" s="2" t="s">
        <v>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Visualisation</vt:lpstr>
      <vt:lpstr>Units</vt:lpstr>
      <vt:lpstr>Nodes</vt:lpstr>
      <vt:lpstr>Demand</vt:lpstr>
      <vt:lpstr>Arcs</vt:lpstr>
      <vt:lpstr>Traders</vt:lpstr>
      <vt:lpstr>Commodities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Markhorst, B.T. (Berend)</dc:creator>
  <cp:lastModifiedBy>Markhorst, B.T. (Berend)</cp:lastModifiedBy>
  <dcterms:created xsi:type="dcterms:W3CDTF">2024-08-20T19:36:56Z</dcterms:created>
  <dcterms:modified xsi:type="dcterms:W3CDTF">2024-08-21T12:10:35Z</dcterms:modified>
</cp:coreProperties>
</file>