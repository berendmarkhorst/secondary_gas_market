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endmarkhorst/Library/Mobile Documents/com~apple~CloudDocs/PhD/READINESS/08 - Trondheim/Data/"/>
    </mc:Choice>
  </mc:AlternateContent>
  <xr:revisionPtr revIDLastSave="0" documentId="13_ncr:1_{0A11CCF9-68BE-984D-91CE-95BE409F0F40}" xr6:coauthVersionLast="47" xr6:coauthVersionMax="47" xr10:uidLastSave="{00000000-0000-0000-0000-000000000000}"/>
  <bookViews>
    <workbookView xWindow="0" yWindow="500" windowWidth="28800" windowHeight="16060" activeTab="6" xr2:uid="{D82E7092-1A4C-0041-9612-C431AA3B912B}"/>
  </bookViews>
  <sheets>
    <sheet name="Visualisation" sheetId="7" r:id="rId1"/>
    <sheet name="Units" sheetId="6" r:id="rId2"/>
    <sheet name="Nodes" sheetId="2" r:id="rId3"/>
    <sheet name="Demand Stage 2" sheetId="5" r:id="rId4"/>
    <sheet name="Demand Stage 3" sheetId="9" r:id="rId5"/>
    <sheet name="Parameters" sheetId="8" r:id="rId6"/>
    <sheet name="Arcs" sheetId="1" r:id="rId7"/>
    <sheet name="Traders" sheetId="3" r:id="rId8"/>
    <sheet name="Commodities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5" l="1"/>
  <c r="E4" i="5"/>
  <c r="M6" i="9"/>
  <c r="L6" i="9"/>
  <c r="K6" i="9"/>
  <c r="G5" i="9"/>
  <c r="I5" i="9"/>
  <c r="L5" i="9" s="1"/>
  <c r="H5" i="9"/>
  <c r="K5" i="9" s="1"/>
  <c r="K4" i="9"/>
  <c r="H4" i="9"/>
  <c r="X4" i="2"/>
  <c r="AD4" i="2" s="1"/>
  <c r="X5" i="2"/>
  <c r="AD5" i="2" s="1"/>
  <c r="X6" i="2"/>
  <c r="AD6" i="2" s="1"/>
  <c r="A9" i="6"/>
  <c r="A8" i="6"/>
  <c r="W3" i="2"/>
  <c r="AC3" i="2" s="1"/>
  <c r="AI3" i="2" s="1"/>
  <c r="V3" i="2"/>
  <c r="AB3" i="2" s="1"/>
  <c r="AH3" i="2" s="1"/>
  <c r="U3" i="2"/>
  <c r="AA3" i="2" s="1"/>
  <c r="AG3" i="2" s="1"/>
  <c r="T3" i="2"/>
  <c r="Z3" i="2" s="1"/>
  <c r="AF3" i="2" s="1"/>
  <c r="S3" i="2"/>
  <c r="Y3" i="2" s="1"/>
  <c r="AE3" i="2" s="1"/>
  <c r="R3" i="2"/>
  <c r="X3" i="2" s="1"/>
  <c r="AD3" i="2" s="1"/>
  <c r="A7" i="6"/>
  <c r="A6" i="6"/>
  <c r="A5" i="6"/>
  <c r="A4" i="6"/>
  <c r="A3" i="6"/>
  <c r="A2" i="6"/>
  <c r="I1" i="1"/>
  <c r="G1" i="1"/>
  <c r="AD2" i="2"/>
  <c r="X2" i="2"/>
  <c r="X1" i="2"/>
  <c r="F1" i="2"/>
  <c r="R2" i="2"/>
  <c r="F2" i="2"/>
  <c r="G4" i="5"/>
  <c r="F4" i="5"/>
  <c r="B31" i="9" l="1"/>
  <c r="E5" i="9"/>
  <c r="F5" i="9"/>
  <c r="J5" i="9"/>
  <c r="M5" i="9" s="1"/>
</calcChain>
</file>

<file path=xl/sharedStrings.xml><?xml version="1.0" encoding="utf-8"?>
<sst xmlns="http://schemas.openxmlformats.org/spreadsheetml/2006/main" count="98" uniqueCount="59">
  <si>
    <t>ID</t>
  </si>
  <si>
    <t>Name</t>
  </si>
  <si>
    <t>Source</t>
  </si>
  <si>
    <t>Sink</t>
  </si>
  <si>
    <t>Type</t>
  </si>
  <si>
    <t>Field</t>
  </si>
  <si>
    <t>Market</t>
  </si>
  <si>
    <t>Opmerking</t>
  </si>
  <si>
    <t>Zeker</t>
  </si>
  <si>
    <t>Production Capacity</t>
  </si>
  <si>
    <t>Storage Capacity</t>
  </si>
  <si>
    <t>Shipper 1</t>
  </si>
  <si>
    <t>Shipper 2</t>
  </si>
  <si>
    <t>gas</t>
  </si>
  <si>
    <t>hydrogen</t>
  </si>
  <si>
    <t>Hour</t>
  </si>
  <si>
    <t>Demand</t>
  </si>
  <si>
    <t>Gas</t>
  </si>
  <si>
    <t>Hydrogen</t>
  </si>
  <si>
    <t>Vermoeden</t>
  </si>
  <si>
    <t>Flow costs</t>
  </si>
  <si>
    <t>Unit</t>
  </si>
  <si>
    <t>Production Costs</t>
  </si>
  <si>
    <t>Explanation</t>
  </si>
  <si>
    <t>Quantity</t>
  </si>
  <si>
    <t>NOK / MSm3</t>
  </si>
  <si>
    <t>Entry Storage Costs</t>
  </si>
  <si>
    <t>MSm3</t>
  </si>
  <si>
    <t>MSm3/h</t>
  </si>
  <si>
    <t xml:space="preserve">Mega (or million) standard cubic metres per hour. One standard cubic meter means the amount of gas which occupies a Cubic Meter at fifteen (15) Degrees Celsius and a pressure of one hundred one decimal three two five (101.325) kPa. </t>
  </si>
  <si>
    <t>Ruud &amp; Google</t>
  </si>
  <si>
    <t>Ruud (Google; 27?)</t>
  </si>
  <si>
    <t>Probability</t>
  </si>
  <si>
    <t>Entry Costs Stage 1</t>
  </si>
  <si>
    <t>Exit Costs Stage 1</t>
  </si>
  <si>
    <t>Entry Costs Stage 2</t>
  </si>
  <si>
    <t>Exit Costs Stage 2</t>
  </si>
  <si>
    <t>Entry Costs Stage 3</t>
  </si>
  <si>
    <t>Exit Costs Stage 3</t>
  </si>
  <si>
    <t>gas or mix</t>
  </si>
  <si>
    <t>pure hydrogen</t>
  </si>
  <si>
    <t>Loss rate</t>
  </si>
  <si>
    <t>Allowed percentage</t>
  </si>
  <si>
    <t>Gamma</t>
  </si>
  <si>
    <t>Hours</t>
  </si>
  <si>
    <t>Capacity</t>
  </si>
  <si>
    <t>Entry Capacity</t>
  </si>
  <si>
    <t>Exit Capacity</t>
  </si>
  <si>
    <t>Node Number</t>
  </si>
  <si>
    <t>Parent Node Number</t>
  </si>
  <si>
    <t>Stage 2 nodes</t>
  </si>
  <si>
    <t>Stage 3 nodes</t>
  </si>
  <si>
    <t>Value</t>
  </si>
  <si>
    <t>Pipe 1</t>
  </si>
  <si>
    <t>Pipe 2</t>
  </si>
  <si>
    <t>Pipe 3</t>
  </si>
  <si>
    <t>Node 1</t>
  </si>
  <si>
    <t>Node 2</t>
  </si>
  <si>
    <t>Node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</si>
</sst>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9C5700"/>
      <name val="Calibri"/>
      <family val="2"/>
      <scheme val="minor"/>
    </font>
    <font>
      <sz val="12"/>
      <color rgb="FF2021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3" fillId="3" borderId="1" xfId="2" applyBorder="1"/>
    <xf numFmtId="0" fontId="2" fillId="2" borderId="1" xfId="1" applyBorder="1"/>
    <xf numFmtId="0" fontId="5" fillId="0" borderId="1" xfId="0" applyFont="1" applyBorder="1"/>
    <xf numFmtId="0" fontId="6" fillId="3" borderId="1" xfId="2" applyFont="1" applyBorder="1"/>
    <xf numFmtId="0" fontId="7" fillId="2" borderId="1" xfId="1" applyFont="1" applyBorder="1"/>
    <xf numFmtId="0" fontId="5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left"/>
    </xf>
    <xf numFmtId="2" fontId="3" fillId="3" borderId="1" xfId="2" applyNumberFormat="1" applyBorder="1"/>
    <xf numFmtId="0" fontId="7" fillId="2" borderId="1" xfId="1" applyFont="1" applyBorder="1" applyAlignment="1">
      <alignment horizontal="center"/>
    </xf>
    <xf numFmtId="0" fontId="8" fillId="4" borderId="1" xfId="3" applyFont="1" applyBorder="1" applyAlignment="1">
      <alignment horizontal="center"/>
    </xf>
    <xf numFmtId="0" fontId="6" fillId="3" borderId="1" xfId="2" applyFont="1" applyBorder="1" applyAlignment="1">
      <alignment horizontal="center"/>
    </xf>
    <xf numFmtId="0" fontId="6" fillId="3" borderId="2" xfId="2" applyFont="1" applyBorder="1" applyAlignment="1">
      <alignment horizontal="center"/>
    </xf>
    <xf numFmtId="0" fontId="6" fillId="3" borderId="3" xfId="2" applyFont="1" applyBorder="1" applyAlignment="1">
      <alignment horizontal="center"/>
    </xf>
    <xf numFmtId="0" fontId="6" fillId="3" borderId="4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">
    <cellStyle name="Goed" xfId="1" builtinId="26"/>
    <cellStyle name="Neutraal" xfId="3" builtinId="28"/>
    <cellStyle name="Ongeldig" xfId="2" builtinId="27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482600</xdr:colOff>
      <xdr:row>43</xdr:row>
      <xdr:rowOff>41796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7A31461-9373-886D-0EDC-D298F3EB7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65100" cy="8779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8315-FBE0-CA4C-9EFE-0A9542346138}">
  <dimension ref="A1"/>
  <sheetViews>
    <sheetView topLeftCell="A12" workbookViewId="0">
      <selection activeCell="S30" sqref="S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4DE0-7BAC-1F4D-92A3-44AE62829735}">
  <dimension ref="A1:C10"/>
  <sheetViews>
    <sheetView zoomScale="200" zoomScaleNormal="200" workbookViewId="0">
      <selection activeCell="H27" sqref="H27"/>
    </sheetView>
  </sheetViews>
  <sheetFormatPr baseColWidth="10" defaultRowHeight="16" x14ac:dyDescent="0.2"/>
  <cols>
    <col min="1" max="1" width="17.33203125" bestFit="1" customWidth="1"/>
    <col min="2" max="2" width="12" bestFit="1" customWidth="1"/>
    <col min="3" max="3" width="60.5" customWidth="1"/>
  </cols>
  <sheetData>
    <row r="1" spans="1:3" x14ac:dyDescent="0.2">
      <c r="A1" s="4" t="s">
        <v>24</v>
      </c>
      <c r="B1" s="4" t="s">
        <v>21</v>
      </c>
      <c r="C1" s="4" t="s">
        <v>23</v>
      </c>
    </row>
    <row r="2" spans="1:3" ht="68" x14ac:dyDescent="0.2">
      <c r="A2" s="1" t="str">
        <f>Nodes!F3</f>
        <v>Production Capacity</v>
      </c>
      <c r="B2" s="8" t="s">
        <v>28</v>
      </c>
      <c r="C2" s="9" t="s">
        <v>29</v>
      </c>
    </row>
    <row r="3" spans="1:3" x14ac:dyDescent="0.2">
      <c r="A3" s="1" t="str">
        <f>Nodes!I3</f>
        <v>Production Costs</v>
      </c>
      <c r="B3" s="1" t="s">
        <v>25</v>
      </c>
      <c r="C3" s="1"/>
    </row>
    <row r="4" spans="1:3" ht="19" x14ac:dyDescent="0.2">
      <c r="A4" s="1" t="str">
        <f>Nodes!J3</f>
        <v>Storage Capacity</v>
      </c>
      <c r="B4" s="8" t="s">
        <v>27</v>
      </c>
      <c r="C4" s="8"/>
    </row>
    <row r="5" spans="1:3" x14ac:dyDescent="0.2">
      <c r="A5" s="1" t="str">
        <f>Nodes!K3</f>
        <v>Entry Storage Costs</v>
      </c>
      <c r="B5" s="1" t="s">
        <v>25</v>
      </c>
      <c r="C5" s="1"/>
    </row>
    <row r="6" spans="1:3" x14ac:dyDescent="0.2">
      <c r="A6" s="1" t="str">
        <f>Nodes!L3</f>
        <v>Entry Costs Stage 1</v>
      </c>
      <c r="B6" s="1" t="s">
        <v>25</v>
      </c>
      <c r="C6" s="1"/>
    </row>
    <row r="7" spans="1:3" x14ac:dyDescent="0.2">
      <c r="A7" s="1" t="str">
        <f>Nodes!M3</f>
        <v>Exit Costs Stage 1</v>
      </c>
      <c r="B7" s="1" t="s">
        <v>25</v>
      </c>
      <c r="C7" s="1"/>
    </row>
    <row r="8" spans="1:3" x14ac:dyDescent="0.2">
      <c r="A8" s="1" t="str">
        <f>Arcs!G3</f>
        <v>Flow costs</v>
      </c>
      <c r="B8" s="1" t="s">
        <v>25</v>
      </c>
      <c r="C8" s="1"/>
    </row>
    <row r="9" spans="1:3" ht="19" x14ac:dyDescent="0.2">
      <c r="A9" s="1" t="str">
        <f>Arcs!E3</f>
        <v>Capacity</v>
      </c>
      <c r="B9" s="8" t="s">
        <v>28</v>
      </c>
      <c r="C9" s="8"/>
    </row>
    <row r="10" spans="1:3" ht="19" x14ac:dyDescent="0.2">
      <c r="A10" s="1" t="s">
        <v>16</v>
      </c>
      <c r="B10" s="8" t="s">
        <v>28</v>
      </c>
      <c r="C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5746-A1B1-6F4F-9762-CACD4A91B5F2}">
  <dimension ref="A1:AI6"/>
  <sheetViews>
    <sheetView zoomScale="150" zoomScaleNormal="150" workbookViewId="0">
      <selection activeCell="B7" sqref="B7"/>
    </sheetView>
  </sheetViews>
  <sheetFormatPr baseColWidth="10" defaultRowHeight="16" x14ac:dyDescent="0.2"/>
  <cols>
    <col min="1" max="1" width="3.1640625" bestFit="1" customWidth="1"/>
    <col min="2" max="2" width="13.33203125" bestFit="1" customWidth="1"/>
    <col min="3" max="3" width="16.5" bestFit="1" customWidth="1"/>
    <col min="4" max="4" width="10.6640625" bestFit="1" customWidth="1"/>
    <col min="5" max="5" width="18.1640625" bestFit="1" customWidth="1"/>
    <col min="6" max="6" width="17.5" bestFit="1" customWidth="1"/>
    <col min="7" max="8" width="17.5" customWidth="1"/>
    <col min="9" max="9" width="14.6640625" bestFit="1" customWidth="1"/>
    <col min="10" max="10" width="15" bestFit="1" customWidth="1"/>
    <col min="11" max="11" width="17.33203125" bestFit="1" customWidth="1"/>
    <col min="12" max="12" width="17.1640625" bestFit="1" customWidth="1"/>
    <col min="13" max="13" width="15.83203125" bestFit="1" customWidth="1"/>
    <col min="14" max="14" width="17.1640625" bestFit="1" customWidth="1"/>
    <col min="15" max="15" width="15.83203125" customWidth="1"/>
    <col min="16" max="16" width="17.1640625" bestFit="1" customWidth="1"/>
    <col min="17" max="17" width="15.83203125" customWidth="1"/>
    <col min="18" max="18" width="17.5" bestFit="1" customWidth="1"/>
    <col min="19" max="19" width="14.6640625" bestFit="1" customWidth="1"/>
    <col min="20" max="20" width="15" bestFit="1" customWidth="1"/>
    <col min="21" max="21" width="17.33203125" bestFit="1" customWidth="1"/>
    <col min="22" max="22" width="10.33203125" bestFit="1" customWidth="1"/>
    <col min="23" max="23" width="15.83203125" bestFit="1" customWidth="1"/>
    <col min="24" max="24" width="17.5" bestFit="1" customWidth="1"/>
    <col min="25" max="25" width="14.6640625" bestFit="1" customWidth="1"/>
    <col min="26" max="26" width="15" bestFit="1" customWidth="1"/>
    <col min="27" max="27" width="17.33203125" bestFit="1" customWidth="1"/>
    <col min="28" max="28" width="10.33203125" bestFit="1" customWidth="1"/>
    <col min="29" max="29" width="9.1640625" bestFit="1" customWidth="1"/>
    <col min="30" max="30" width="17.5" bestFit="1" customWidth="1"/>
    <col min="31" max="31" width="14.6640625" bestFit="1" customWidth="1"/>
    <col min="32" max="32" width="15" bestFit="1" customWidth="1"/>
    <col min="33" max="33" width="17.33203125" bestFit="1" customWidth="1"/>
    <col min="34" max="34" width="10.33203125" bestFit="1" customWidth="1"/>
    <col min="35" max="35" width="15.83203125" bestFit="1" customWidth="1"/>
  </cols>
  <sheetData>
    <row r="1" spans="1:35" x14ac:dyDescent="0.2">
      <c r="F1" s="14" t="str">
        <f>Traders!B2</f>
        <v>Shipper 1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 t="str">
        <f>Traders!B3</f>
        <v>Shipper 2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1:35" x14ac:dyDescent="0.2">
      <c r="A2" s="7"/>
      <c r="B2" s="7"/>
      <c r="C2" s="7"/>
      <c r="D2" s="7"/>
      <c r="E2" s="7"/>
      <c r="F2" s="16" t="str">
        <f>Commodities!B2</f>
        <v>gas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  <c r="R2" s="13" t="str">
        <f>Commodities!B3</f>
        <v>hydrogen</v>
      </c>
      <c r="S2" s="13"/>
      <c r="T2" s="13"/>
      <c r="U2" s="13"/>
      <c r="V2" s="13"/>
      <c r="W2" s="13"/>
      <c r="X2" s="15" t="str">
        <f>Commodities!B2</f>
        <v>gas</v>
      </c>
      <c r="Y2" s="15"/>
      <c r="Z2" s="15"/>
      <c r="AA2" s="15"/>
      <c r="AB2" s="15"/>
      <c r="AC2" s="15"/>
      <c r="AD2" s="13" t="str">
        <f>Commodities!B3</f>
        <v>hydrogen</v>
      </c>
      <c r="AE2" s="13"/>
      <c r="AF2" s="13"/>
      <c r="AG2" s="13"/>
      <c r="AH2" s="13"/>
      <c r="AI2" s="13"/>
    </row>
    <row r="3" spans="1:35" x14ac:dyDescent="0.2">
      <c r="A3" s="4" t="s">
        <v>0</v>
      </c>
      <c r="B3" s="4" t="s">
        <v>1</v>
      </c>
      <c r="C3" s="4" t="s">
        <v>4</v>
      </c>
      <c r="D3" s="4" t="s">
        <v>19</v>
      </c>
      <c r="E3" s="4" t="s">
        <v>2</v>
      </c>
      <c r="F3" s="5" t="s">
        <v>9</v>
      </c>
      <c r="G3" s="5" t="s">
        <v>46</v>
      </c>
      <c r="H3" s="5" t="s">
        <v>47</v>
      </c>
      <c r="I3" s="5" t="s">
        <v>22</v>
      </c>
      <c r="J3" s="5" t="s">
        <v>10</v>
      </c>
      <c r="K3" s="5" t="s">
        <v>26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37</v>
      </c>
      <c r="Q3" s="5" t="s">
        <v>38</v>
      </c>
      <c r="R3" s="6" t="str">
        <f>F3</f>
        <v>Production Capacity</v>
      </c>
      <c r="S3" s="6" t="str">
        <f t="shared" ref="S3:W3" si="0">I3</f>
        <v>Production Costs</v>
      </c>
      <c r="T3" s="6" t="str">
        <f t="shared" si="0"/>
        <v>Storage Capacity</v>
      </c>
      <c r="U3" s="6" t="str">
        <f t="shared" si="0"/>
        <v>Entry Storage Costs</v>
      </c>
      <c r="V3" s="6" t="str">
        <f t="shared" si="0"/>
        <v>Entry Costs Stage 1</v>
      </c>
      <c r="W3" s="6" t="str">
        <f t="shared" si="0"/>
        <v>Exit Costs Stage 1</v>
      </c>
      <c r="X3" s="5" t="str">
        <f t="shared" ref="X3:AI3" si="1">R3</f>
        <v>Production Capacity</v>
      </c>
      <c r="Y3" s="5" t="str">
        <f t="shared" si="1"/>
        <v>Production Costs</v>
      </c>
      <c r="Z3" s="5" t="str">
        <f t="shared" si="1"/>
        <v>Storage Capacity</v>
      </c>
      <c r="AA3" s="5" t="str">
        <f t="shared" si="1"/>
        <v>Entry Storage Costs</v>
      </c>
      <c r="AB3" s="5" t="str">
        <f t="shared" si="1"/>
        <v>Entry Costs Stage 1</v>
      </c>
      <c r="AC3" s="5" t="str">
        <f t="shared" si="1"/>
        <v>Exit Costs Stage 1</v>
      </c>
      <c r="AD3" s="6" t="str">
        <f t="shared" si="1"/>
        <v>Production Capacity</v>
      </c>
      <c r="AE3" s="6" t="str">
        <f t="shared" si="1"/>
        <v>Production Costs</v>
      </c>
      <c r="AF3" s="6" t="str">
        <f t="shared" si="1"/>
        <v>Storage Capacity</v>
      </c>
      <c r="AG3" s="6" t="str">
        <f t="shared" si="1"/>
        <v>Entry Storage Costs</v>
      </c>
      <c r="AH3" s="6" t="str">
        <f t="shared" si="1"/>
        <v>Entry Costs Stage 1</v>
      </c>
      <c r="AI3" s="6" t="str">
        <f t="shared" si="1"/>
        <v>Exit Costs Stage 1</v>
      </c>
    </row>
    <row r="4" spans="1:35" x14ac:dyDescent="0.2">
      <c r="A4" s="1">
        <v>1</v>
      </c>
      <c r="B4" s="1" t="s">
        <v>56</v>
      </c>
      <c r="C4" s="1" t="s">
        <v>5</v>
      </c>
      <c r="D4" s="1"/>
      <c r="E4" s="10"/>
      <c r="F4" s="12">
        <v>5</v>
      </c>
      <c r="G4" s="12">
        <v>10</v>
      </c>
      <c r="H4" s="12">
        <v>0</v>
      </c>
      <c r="I4" s="2">
        <v>1</v>
      </c>
      <c r="J4" s="2">
        <v>0</v>
      </c>
      <c r="K4" s="2">
        <v>0</v>
      </c>
      <c r="L4" s="2">
        <v>1</v>
      </c>
      <c r="M4" s="2">
        <v>1</v>
      </c>
      <c r="N4" s="2">
        <v>3</v>
      </c>
      <c r="O4" s="2">
        <v>3</v>
      </c>
      <c r="P4" s="2">
        <v>5</v>
      </c>
      <c r="Q4" s="2">
        <v>5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2">
        <f>R4</f>
        <v>0</v>
      </c>
      <c r="Y4" s="2"/>
      <c r="Z4" s="2"/>
      <c r="AA4" s="2"/>
      <c r="AB4" s="2"/>
      <c r="AC4" s="2"/>
      <c r="AD4" s="3">
        <f>X4</f>
        <v>0</v>
      </c>
      <c r="AE4" s="3"/>
      <c r="AF4" s="3"/>
      <c r="AG4" s="3"/>
      <c r="AH4" s="3"/>
      <c r="AI4" s="3"/>
    </row>
    <row r="5" spans="1:35" x14ac:dyDescent="0.2">
      <c r="A5" s="1">
        <v>2</v>
      </c>
      <c r="B5" s="1" t="s">
        <v>57</v>
      </c>
      <c r="C5" s="1" t="s">
        <v>6</v>
      </c>
      <c r="D5" s="1"/>
      <c r="E5" t="s">
        <v>31</v>
      </c>
      <c r="F5" s="12">
        <v>0</v>
      </c>
      <c r="G5" s="12">
        <v>0</v>
      </c>
      <c r="H5" s="12">
        <v>10</v>
      </c>
      <c r="I5" s="2">
        <v>1</v>
      </c>
      <c r="J5" s="2">
        <v>0</v>
      </c>
      <c r="K5" s="2">
        <v>0</v>
      </c>
      <c r="L5" s="2">
        <v>1</v>
      </c>
      <c r="M5" s="2">
        <v>1</v>
      </c>
      <c r="N5" s="2">
        <v>3</v>
      </c>
      <c r="O5" s="2">
        <v>3</v>
      </c>
      <c r="P5" s="2">
        <v>5</v>
      </c>
      <c r="Q5" s="2">
        <v>5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2">
        <f t="shared" ref="X5:X6" si="2">R5</f>
        <v>0</v>
      </c>
      <c r="Y5" s="2"/>
      <c r="Z5" s="2"/>
      <c r="AA5" s="2"/>
      <c r="AB5" s="2"/>
      <c r="AC5" s="2"/>
      <c r="AD5" s="3">
        <f t="shared" ref="AD5:AD6" si="3">X5</f>
        <v>0</v>
      </c>
      <c r="AE5" s="3"/>
      <c r="AF5" s="3"/>
      <c r="AG5" s="3"/>
      <c r="AH5" s="3"/>
      <c r="AI5" s="3"/>
    </row>
    <row r="6" spans="1:35" x14ac:dyDescent="0.2">
      <c r="A6" s="1">
        <v>3</v>
      </c>
      <c r="B6" s="1" t="s">
        <v>58</v>
      </c>
      <c r="C6" s="1" t="s">
        <v>5</v>
      </c>
      <c r="D6" s="1"/>
      <c r="E6" s="11" t="s">
        <v>30</v>
      </c>
      <c r="F6" s="12">
        <v>5</v>
      </c>
      <c r="G6" s="12">
        <v>10</v>
      </c>
      <c r="H6" s="12">
        <v>0</v>
      </c>
      <c r="I6" s="2">
        <v>1</v>
      </c>
      <c r="J6" s="2">
        <v>0</v>
      </c>
      <c r="K6" s="2">
        <v>0</v>
      </c>
      <c r="L6" s="2">
        <v>1</v>
      </c>
      <c r="M6" s="2">
        <v>1</v>
      </c>
      <c r="N6" s="2">
        <v>3</v>
      </c>
      <c r="O6" s="2">
        <v>3</v>
      </c>
      <c r="P6" s="2">
        <v>5</v>
      </c>
      <c r="Q6" s="2">
        <v>5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2">
        <f t="shared" si="2"/>
        <v>0</v>
      </c>
      <c r="Y6" s="2"/>
      <c r="Z6" s="2"/>
      <c r="AA6" s="2"/>
      <c r="AB6" s="2"/>
      <c r="AC6" s="2"/>
      <c r="AD6" s="3">
        <f t="shared" si="3"/>
        <v>0</v>
      </c>
      <c r="AE6" s="3"/>
      <c r="AF6" s="3"/>
      <c r="AG6" s="3"/>
      <c r="AH6" s="3"/>
      <c r="AI6" s="3"/>
    </row>
  </sheetData>
  <mergeCells count="6">
    <mergeCell ref="R2:W2"/>
    <mergeCell ref="F1:W1"/>
    <mergeCell ref="X1:AI1"/>
    <mergeCell ref="X2:AC2"/>
    <mergeCell ref="AD2:AI2"/>
    <mergeCell ref="F2:Q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2E87-5CF7-794D-A1AA-7C1926221C7B}">
  <dimension ref="A1:G30"/>
  <sheetViews>
    <sheetView zoomScale="125" zoomScaleNormal="200" workbookViewId="0">
      <selection activeCell="C5" sqref="C5"/>
    </sheetView>
  </sheetViews>
  <sheetFormatPr baseColWidth="10" defaultRowHeight="16" x14ac:dyDescent="0.2"/>
  <cols>
    <col min="1" max="1" width="15.33203125" bestFit="1" customWidth="1"/>
    <col min="2" max="2" width="11.33203125" bestFit="1" customWidth="1"/>
    <col min="3" max="3" width="16" bestFit="1" customWidth="1"/>
  </cols>
  <sheetData>
    <row r="1" spans="1:7" x14ac:dyDescent="0.2">
      <c r="A1" s="4" t="s">
        <v>48</v>
      </c>
      <c r="B1" s="19">
        <v>1</v>
      </c>
      <c r="C1" s="19"/>
      <c r="D1" s="19"/>
      <c r="E1" s="19"/>
      <c r="F1" s="19"/>
      <c r="G1" s="19"/>
    </row>
    <row r="2" spans="1:7" x14ac:dyDescent="0.2">
      <c r="A2" s="4" t="s">
        <v>32</v>
      </c>
      <c r="B2" s="19">
        <v>1</v>
      </c>
      <c r="C2" s="19"/>
      <c r="D2" s="19"/>
      <c r="E2" s="19"/>
      <c r="F2" s="19"/>
      <c r="G2" s="19"/>
    </row>
    <row r="3" spans="1:7" x14ac:dyDescent="0.2">
      <c r="A3" s="4"/>
      <c r="B3" s="15" t="s">
        <v>39</v>
      </c>
      <c r="C3" s="15"/>
      <c r="D3" s="15"/>
      <c r="E3" s="13" t="s">
        <v>40</v>
      </c>
      <c r="F3" s="13"/>
      <c r="G3" s="13"/>
    </row>
    <row r="4" spans="1:7" x14ac:dyDescent="0.2">
      <c r="A4" s="4" t="s">
        <v>15</v>
      </c>
      <c r="B4" s="5" t="s">
        <v>56</v>
      </c>
      <c r="C4" s="5" t="s">
        <v>57</v>
      </c>
      <c r="D4" s="5" t="s">
        <v>58</v>
      </c>
      <c r="E4" s="6" t="str">
        <f>B4</f>
        <v>Node 1</v>
      </c>
      <c r="F4" s="6" t="str">
        <f>C4</f>
        <v>Node 2</v>
      </c>
      <c r="G4" s="6" t="str">
        <f>D4</f>
        <v>Node 3</v>
      </c>
    </row>
    <row r="5" spans="1:7" x14ac:dyDescent="0.2">
      <c r="A5" s="1">
        <v>0</v>
      </c>
      <c r="B5" s="2">
        <v>0</v>
      </c>
      <c r="C5" s="2">
        <v>10</v>
      </c>
      <c r="D5" s="2">
        <v>0</v>
      </c>
      <c r="E5" s="3">
        <v>0</v>
      </c>
      <c r="F5" s="3">
        <v>0</v>
      </c>
      <c r="G5" s="3">
        <v>0</v>
      </c>
    </row>
    <row r="6" spans="1:7" x14ac:dyDescent="0.2">
      <c r="A6" s="1">
        <v>1</v>
      </c>
      <c r="B6" s="2"/>
      <c r="C6" s="2"/>
      <c r="D6" s="2"/>
      <c r="E6" s="3"/>
      <c r="F6" s="3"/>
      <c r="G6" s="3"/>
    </row>
    <row r="7" spans="1:7" x14ac:dyDescent="0.2">
      <c r="A7" s="1">
        <v>2</v>
      </c>
      <c r="B7" s="2"/>
      <c r="C7" s="2"/>
      <c r="D7" s="2"/>
      <c r="E7" s="3"/>
      <c r="F7" s="3"/>
      <c r="G7" s="3"/>
    </row>
    <row r="8" spans="1:7" x14ac:dyDescent="0.2">
      <c r="A8" s="1">
        <v>3</v>
      </c>
      <c r="B8" s="2"/>
      <c r="C8" s="2"/>
      <c r="D8" s="2"/>
      <c r="E8" s="3"/>
      <c r="F8" s="3"/>
      <c r="G8" s="3"/>
    </row>
    <row r="9" spans="1:7" x14ac:dyDescent="0.2">
      <c r="A9" s="1">
        <v>4</v>
      </c>
      <c r="B9" s="2"/>
      <c r="C9" s="2"/>
      <c r="D9" s="2"/>
      <c r="E9" s="3"/>
      <c r="F9" s="3"/>
      <c r="G9" s="3"/>
    </row>
    <row r="10" spans="1:7" x14ac:dyDescent="0.2">
      <c r="A10" s="1">
        <v>5</v>
      </c>
      <c r="B10" s="2"/>
      <c r="C10" s="2"/>
      <c r="D10" s="2"/>
      <c r="E10" s="3"/>
      <c r="F10" s="3"/>
      <c r="G10" s="3"/>
    </row>
    <row r="11" spans="1:7" x14ac:dyDescent="0.2">
      <c r="A11" s="1">
        <v>6</v>
      </c>
      <c r="B11" s="2"/>
      <c r="C11" s="2"/>
      <c r="D11" s="2"/>
      <c r="E11" s="3"/>
      <c r="F11" s="3"/>
      <c r="G11" s="3"/>
    </row>
    <row r="12" spans="1:7" x14ac:dyDescent="0.2">
      <c r="A12" s="1">
        <v>7</v>
      </c>
      <c r="B12" s="2"/>
      <c r="C12" s="2"/>
      <c r="D12" s="2"/>
      <c r="E12" s="3"/>
      <c r="F12" s="3"/>
      <c r="G12" s="3"/>
    </row>
    <row r="13" spans="1:7" x14ac:dyDescent="0.2">
      <c r="A13" s="1">
        <v>8</v>
      </c>
      <c r="B13" s="2"/>
      <c r="C13" s="2"/>
      <c r="D13" s="2"/>
      <c r="E13" s="3"/>
      <c r="F13" s="3"/>
      <c r="G13" s="3"/>
    </row>
    <row r="14" spans="1:7" x14ac:dyDescent="0.2">
      <c r="A14" s="1">
        <v>9</v>
      </c>
      <c r="B14" s="2"/>
      <c r="C14" s="2"/>
      <c r="D14" s="2"/>
      <c r="E14" s="3"/>
      <c r="F14" s="3"/>
      <c r="G14" s="3"/>
    </row>
    <row r="15" spans="1:7" x14ac:dyDescent="0.2">
      <c r="A15" s="1">
        <v>10</v>
      </c>
      <c r="B15" s="2"/>
      <c r="C15" s="2"/>
      <c r="D15" s="2"/>
      <c r="E15" s="3"/>
      <c r="F15" s="3"/>
      <c r="G15" s="3"/>
    </row>
    <row r="16" spans="1:7" x14ac:dyDescent="0.2">
      <c r="A16" s="1">
        <v>11</v>
      </c>
      <c r="B16" s="2"/>
      <c r="C16" s="2"/>
      <c r="D16" s="2"/>
      <c r="E16" s="3"/>
      <c r="F16" s="3"/>
      <c r="G16" s="3"/>
    </row>
    <row r="17" spans="1:7" x14ac:dyDescent="0.2">
      <c r="A17" s="1">
        <v>12</v>
      </c>
      <c r="B17" s="2"/>
      <c r="C17" s="2"/>
      <c r="D17" s="2"/>
      <c r="E17" s="3"/>
      <c r="F17" s="3"/>
      <c r="G17" s="3"/>
    </row>
    <row r="18" spans="1:7" x14ac:dyDescent="0.2">
      <c r="A18" s="1">
        <v>13</v>
      </c>
      <c r="B18" s="2"/>
      <c r="C18" s="2"/>
      <c r="D18" s="2"/>
      <c r="E18" s="3"/>
      <c r="F18" s="3"/>
      <c r="G18" s="3"/>
    </row>
    <row r="19" spans="1:7" x14ac:dyDescent="0.2">
      <c r="A19" s="1">
        <v>14</v>
      </c>
      <c r="B19" s="2"/>
      <c r="C19" s="2"/>
      <c r="D19" s="2"/>
      <c r="E19" s="3"/>
      <c r="F19" s="3"/>
      <c r="G19" s="3"/>
    </row>
    <row r="20" spans="1:7" x14ac:dyDescent="0.2">
      <c r="A20" s="1">
        <v>15</v>
      </c>
      <c r="B20" s="2"/>
      <c r="C20" s="2"/>
      <c r="D20" s="2"/>
      <c r="E20" s="3"/>
      <c r="F20" s="3"/>
      <c r="G20" s="3"/>
    </row>
    <row r="21" spans="1:7" x14ac:dyDescent="0.2">
      <c r="A21" s="1">
        <v>16</v>
      </c>
      <c r="B21" s="2"/>
      <c r="C21" s="2"/>
      <c r="D21" s="2"/>
      <c r="E21" s="3"/>
      <c r="F21" s="3"/>
      <c r="G21" s="3"/>
    </row>
    <row r="22" spans="1:7" x14ac:dyDescent="0.2">
      <c r="A22" s="1">
        <v>17</v>
      </c>
      <c r="B22" s="2"/>
      <c r="C22" s="2"/>
      <c r="D22" s="2"/>
      <c r="E22" s="3"/>
      <c r="F22" s="3"/>
      <c r="G22" s="3"/>
    </row>
    <row r="23" spans="1:7" x14ac:dyDescent="0.2">
      <c r="A23" s="1">
        <v>18</v>
      </c>
      <c r="B23" s="2"/>
      <c r="C23" s="2"/>
      <c r="D23" s="2"/>
      <c r="E23" s="3"/>
      <c r="F23" s="3"/>
      <c r="G23" s="3"/>
    </row>
    <row r="24" spans="1:7" x14ac:dyDescent="0.2">
      <c r="A24" s="1">
        <v>19</v>
      </c>
      <c r="B24" s="2"/>
      <c r="C24" s="2"/>
      <c r="D24" s="2"/>
      <c r="E24" s="3"/>
      <c r="F24" s="3"/>
      <c r="G24" s="3"/>
    </row>
    <row r="25" spans="1:7" x14ac:dyDescent="0.2">
      <c r="A25" s="1">
        <v>20</v>
      </c>
      <c r="B25" s="2"/>
      <c r="C25" s="2"/>
      <c r="D25" s="2"/>
      <c r="E25" s="3"/>
      <c r="F25" s="3"/>
      <c r="G25" s="3"/>
    </row>
    <row r="26" spans="1:7" x14ac:dyDescent="0.2">
      <c r="A26" s="1">
        <v>21</v>
      </c>
      <c r="B26" s="2"/>
      <c r="C26" s="2"/>
      <c r="D26" s="2"/>
      <c r="E26" s="3"/>
      <c r="F26" s="3"/>
      <c r="G26" s="3"/>
    </row>
    <row r="27" spans="1:7" x14ac:dyDescent="0.2">
      <c r="A27" s="1">
        <v>22</v>
      </c>
      <c r="B27" s="2"/>
      <c r="C27" s="2"/>
      <c r="D27" s="2"/>
      <c r="E27" s="3"/>
      <c r="F27" s="3"/>
      <c r="G27" s="3"/>
    </row>
    <row r="28" spans="1:7" x14ac:dyDescent="0.2">
      <c r="A28" s="1">
        <v>23</v>
      </c>
      <c r="B28" s="2"/>
      <c r="C28" s="2"/>
      <c r="D28" s="2"/>
      <c r="E28" s="3"/>
      <c r="F28" s="3"/>
      <c r="G28" s="3"/>
    </row>
    <row r="30" spans="1:7" x14ac:dyDescent="0.2">
      <c r="B30">
        <f>SUM(B5:D5)</f>
        <v>10</v>
      </c>
    </row>
  </sheetData>
  <mergeCells count="4">
    <mergeCell ref="B3:D3"/>
    <mergeCell ref="E3:G3"/>
    <mergeCell ref="B1:G1"/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06CF-850A-ED42-956F-025E5A994524}">
  <dimension ref="A1:M31"/>
  <sheetViews>
    <sheetView zoomScale="113" zoomScaleNormal="150" workbookViewId="0">
      <selection activeCell="B6" sqref="B6"/>
    </sheetView>
  </sheetViews>
  <sheetFormatPr baseColWidth="10" defaultRowHeight="16" x14ac:dyDescent="0.2"/>
  <cols>
    <col min="1" max="1" width="19" bestFit="1" customWidth="1"/>
    <col min="2" max="2" width="11.33203125" bestFit="1" customWidth="1"/>
    <col min="3" max="3" width="16" bestFit="1" customWidth="1"/>
  </cols>
  <sheetData>
    <row r="1" spans="1:13" x14ac:dyDescent="0.2">
      <c r="A1" s="4" t="s">
        <v>48</v>
      </c>
      <c r="B1" s="19">
        <v>2</v>
      </c>
      <c r="C1" s="19"/>
      <c r="D1" s="19"/>
      <c r="E1" s="19"/>
      <c r="F1" s="19"/>
      <c r="G1" s="19"/>
      <c r="H1" s="19">
        <v>3</v>
      </c>
      <c r="I1" s="19"/>
      <c r="J1" s="19"/>
      <c r="K1" s="19"/>
      <c r="L1" s="19"/>
      <c r="M1" s="19"/>
    </row>
    <row r="2" spans="1:13" x14ac:dyDescent="0.2">
      <c r="A2" s="4" t="s">
        <v>32</v>
      </c>
      <c r="B2" s="19">
        <v>0.5</v>
      </c>
      <c r="C2" s="19"/>
      <c r="D2" s="19"/>
      <c r="E2" s="19"/>
      <c r="F2" s="19"/>
      <c r="G2" s="19"/>
      <c r="H2" s="19">
        <v>0.5</v>
      </c>
      <c r="I2" s="19"/>
      <c r="J2" s="19"/>
      <c r="K2" s="19"/>
      <c r="L2" s="19"/>
      <c r="M2" s="19"/>
    </row>
    <row r="3" spans="1:13" x14ac:dyDescent="0.2">
      <c r="A3" s="4" t="s">
        <v>49</v>
      </c>
      <c r="B3" s="20">
        <v>1</v>
      </c>
      <c r="C3" s="21"/>
      <c r="D3" s="21"/>
      <c r="E3" s="21"/>
      <c r="F3" s="21"/>
      <c r="G3" s="21"/>
      <c r="H3" s="20">
        <v>1</v>
      </c>
      <c r="I3" s="21"/>
      <c r="J3" s="21"/>
      <c r="K3" s="21"/>
      <c r="L3" s="21"/>
      <c r="M3" s="21"/>
    </row>
    <row r="4" spans="1:13" x14ac:dyDescent="0.2">
      <c r="A4" s="4"/>
      <c r="B4" s="15" t="s">
        <v>39</v>
      </c>
      <c r="C4" s="15"/>
      <c r="D4" s="15"/>
      <c r="E4" s="13" t="s">
        <v>40</v>
      </c>
      <c r="F4" s="13"/>
      <c r="G4" s="13"/>
      <c r="H4" s="15" t="str">
        <f>B4</f>
        <v>gas or mix</v>
      </c>
      <c r="I4" s="15"/>
      <c r="J4" s="15"/>
      <c r="K4" s="13" t="str">
        <f>E4</f>
        <v>pure hydrogen</v>
      </c>
      <c r="L4" s="13"/>
      <c r="M4" s="13"/>
    </row>
    <row r="5" spans="1:13" x14ac:dyDescent="0.2">
      <c r="A5" s="4" t="s">
        <v>15</v>
      </c>
      <c r="B5" s="5" t="s">
        <v>56</v>
      </c>
      <c r="C5" s="5" t="s">
        <v>57</v>
      </c>
      <c r="D5" s="5" t="s">
        <v>58</v>
      </c>
      <c r="E5" s="6" t="str">
        <f>B5</f>
        <v>Node 1</v>
      </c>
      <c r="F5" s="6" t="str">
        <f>C5</f>
        <v>Node 2</v>
      </c>
      <c r="G5" s="6" t="str">
        <f>D5</f>
        <v>Node 3</v>
      </c>
      <c r="H5" s="5" t="str">
        <f>B5</f>
        <v>Node 1</v>
      </c>
      <c r="I5" s="5" t="str">
        <f>C5</f>
        <v>Node 2</v>
      </c>
      <c r="J5" s="5" t="str">
        <f>D5</f>
        <v>Node 3</v>
      </c>
      <c r="K5" s="6" t="str">
        <f>H5</f>
        <v>Node 1</v>
      </c>
      <c r="L5" s="6" t="str">
        <f>I5</f>
        <v>Node 2</v>
      </c>
      <c r="M5" s="6" t="str">
        <f>J5</f>
        <v>Node 3</v>
      </c>
    </row>
    <row r="6" spans="1:13" x14ac:dyDescent="0.2">
      <c r="A6" s="1">
        <v>0</v>
      </c>
      <c r="B6" s="2">
        <v>0</v>
      </c>
      <c r="C6" s="2">
        <v>10</v>
      </c>
      <c r="D6" s="2">
        <v>0</v>
      </c>
      <c r="E6" s="3">
        <v>0</v>
      </c>
      <c r="F6" s="3">
        <v>0</v>
      </c>
      <c r="G6" s="3">
        <v>0</v>
      </c>
      <c r="H6" s="2">
        <v>0</v>
      </c>
      <c r="I6" s="2">
        <v>10</v>
      </c>
      <c r="J6" s="2">
        <v>0</v>
      </c>
      <c r="K6" s="3">
        <f>E6</f>
        <v>0</v>
      </c>
      <c r="L6" s="3">
        <f>F6</f>
        <v>0</v>
      </c>
      <c r="M6" s="3">
        <f>G6</f>
        <v>0</v>
      </c>
    </row>
    <row r="7" spans="1:13" x14ac:dyDescent="0.2">
      <c r="A7" s="1">
        <v>1</v>
      </c>
      <c r="B7" s="2"/>
      <c r="C7" s="2"/>
      <c r="D7" s="2"/>
      <c r="E7" s="3"/>
      <c r="F7" s="3"/>
      <c r="G7" s="3"/>
      <c r="H7" s="2"/>
      <c r="I7" s="2"/>
      <c r="J7" s="2"/>
      <c r="K7" s="3"/>
      <c r="L7" s="3"/>
      <c r="M7" s="3"/>
    </row>
    <row r="8" spans="1:13" x14ac:dyDescent="0.2">
      <c r="A8" s="1">
        <v>2</v>
      </c>
      <c r="B8" s="2"/>
      <c r="C8" s="2"/>
      <c r="D8" s="2"/>
      <c r="E8" s="3"/>
      <c r="F8" s="3"/>
      <c r="G8" s="3"/>
      <c r="H8" s="2"/>
      <c r="I8" s="2"/>
      <c r="J8" s="2"/>
      <c r="K8" s="3"/>
      <c r="L8" s="3"/>
      <c r="M8" s="3"/>
    </row>
    <row r="9" spans="1:13" x14ac:dyDescent="0.2">
      <c r="A9" s="1">
        <v>3</v>
      </c>
      <c r="B9" s="2"/>
      <c r="C9" s="2"/>
      <c r="D9" s="2"/>
      <c r="E9" s="3"/>
      <c r="F9" s="3"/>
      <c r="G9" s="3"/>
      <c r="H9" s="2"/>
      <c r="I9" s="2"/>
      <c r="J9" s="2"/>
      <c r="K9" s="3"/>
      <c r="L9" s="3"/>
      <c r="M9" s="3"/>
    </row>
    <row r="10" spans="1:13" x14ac:dyDescent="0.2">
      <c r="A10" s="1">
        <v>4</v>
      </c>
      <c r="B10" s="2"/>
      <c r="C10" s="2"/>
      <c r="D10" s="2"/>
      <c r="E10" s="3"/>
      <c r="F10" s="3"/>
      <c r="G10" s="3"/>
      <c r="H10" s="2"/>
      <c r="I10" s="2"/>
      <c r="J10" s="2"/>
      <c r="K10" s="3"/>
      <c r="L10" s="3"/>
      <c r="M10" s="3"/>
    </row>
    <row r="11" spans="1:13" x14ac:dyDescent="0.2">
      <c r="A11" s="1">
        <v>5</v>
      </c>
      <c r="B11" s="2"/>
      <c r="C11" s="2"/>
      <c r="D11" s="2"/>
      <c r="E11" s="3"/>
      <c r="F11" s="3"/>
      <c r="G11" s="3"/>
      <c r="H11" s="2"/>
      <c r="I11" s="2"/>
      <c r="J11" s="2"/>
      <c r="K11" s="3"/>
      <c r="L11" s="3"/>
      <c r="M11" s="3"/>
    </row>
    <row r="12" spans="1:13" x14ac:dyDescent="0.2">
      <c r="A12" s="1">
        <v>6</v>
      </c>
      <c r="B12" s="2"/>
      <c r="C12" s="2"/>
      <c r="D12" s="2"/>
      <c r="E12" s="3"/>
      <c r="F12" s="3"/>
      <c r="G12" s="3"/>
      <c r="H12" s="2"/>
      <c r="I12" s="2"/>
      <c r="J12" s="2"/>
      <c r="K12" s="3"/>
      <c r="L12" s="3"/>
      <c r="M12" s="3"/>
    </row>
    <row r="13" spans="1:13" x14ac:dyDescent="0.2">
      <c r="A13" s="1">
        <v>7</v>
      </c>
      <c r="B13" s="2"/>
      <c r="C13" s="2"/>
      <c r="D13" s="2"/>
      <c r="E13" s="3"/>
      <c r="F13" s="3"/>
      <c r="G13" s="3"/>
      <c r="H13" s="2"/>
      <c r="I13" s="2"/>
      <c r="J13" s="2"/>
      <c r="K13" s="3"/>
      <c r="L13" s="3"/>
      <c r="M13" s="3"/>
    </row>
    <row r="14" spans="1:13" x14ac:dyDescent="0.2">
      <c r="A14" s="1">
        <v>8</v>
      </c>
      <c r="B14" s="2"/>
      <c r="C14" s="2"/>
      <c r="D14" s="2"/>
      <c r="E14" s="3"/>
      <c r="F14" s="3"/>
      <c r="G14" s="3"/>
      <c r="H14" s="2"/>
      <c r="I14" s="2"/>
      <c r="J14" s="2"/>
      <c r="K14" s="3"/>
      <c r="L14" s="3"/>
      <c r="M14" s="3"/>
    </row>
    <row r="15" spans="1:13" x14ac:dyDescent="0.2">
      <c r="A15" s="1">
        <v>9</v>
      </c>
      <c r="B15" s="2"/>
      <c r="C15" s="2"/>
      <c r="D15" s="2"/>
      <c r="E15" s="3"/>
      <c r="F15" s="3"/>
      <c r="G15" s="3"/>
      <c r="H15" s="2"/>
      <c r="I15" s="2"/>
      <c r="J15" s="2"/>
      <c r="K15" s="3"/>
      <c r="L15" s="3"/>
      <c r="M15" s="3"/>
    </row>
    <row r="16" spans="1:13" x14ac:dyDescent="0.2">
      <c r="A16" s="1">
        <v>10</v>
      </c>
      <c r="B16" s="2"/>
      <c r="C16" s="2"/>
      <c r="D16" s="2"/>
      <c r="E16" s="3"/>
      <c r="F16" s="3"/>
      <c r="G16" s="3"/>
      <c r="H16" s="2"/>
      <c r="I16" s="2"/>
      <c r="J16" s="2"/>
      <c r="K16" s="3"/>
      <c r="L16" s="3"/>
      <c r="M16" s="3"/>
    </row>
    <row r="17" spans="1:13" x14ac:dyDescent="0.2">
      <c r="A17" s="1">
        <v>11</v>
      </c>
      <c r="B17" s="2"/>
      <c r="C17" s="2"/>
      <c r="D17" s="2"/>
      <c r="E17" s="3"/>
      <c r="F17" s="3"/>
      <c r="G17" s="3"/>
      <c r="H17" s="2"/>
      <c r="I17" s="2"/>
      <c r="J17" s="2"/>
      <c r="K17" s="3"/>
      <c r="L17" s="3"/>
      <c r="M17" s="3"/>
    </row>
    <row r="18" spans="1:13" x14ac:dyDescent="0.2">
      <c r="A18" s="1">
        <v>12</v>
      </c>
      <c r="B18" s="2"/>
      <c r="C18" s="2"/>
      <c r="D18" s="2"/>
      <c r="E18" s="3"/>
      <c r="F18" s="3"/>
      <c r="G18" s="3"/>
      <c r="H18" s="2"/>
      <c r="I18" s="2"/>
      <c r="J18" s="2"/>
      <c r="K18" s="3"/>
      <c r="L18" s="3"/>
      <c r="M18" s="3"/>
    </row>
    <row r="19" spans="1:13" x14ac:dyDescent="0.2">
      <c r="A19" s="1">
        <v>13</v>
      </c>
      <c r="B19" s="2"/>
      <c r="C19" s="2"/>
      <c r="D19" s="2"/>
      <c r="E19" s="3"/>
      <c r="F19" s="3"/>
      <c r="G19" s="3"/>
      <c r="H19" s="2"/>
      <c r="I19" s="2"/>
      <c r="J19" s="2"/>
      <c r="K19" s="3"/>
      <c r="L19" s="3"/>
      <c r="M19" s="3"/>
    </row>
    <row r="20" spans="1:13" x14ac:dyDescent="0.2">
      <c r="A20" s="1">
        <v>14</v>
      </c>
      <c r="B20" s="2"/>
      <c r="C20" s="2"/>
      <c r="D20" s="2"/>
      <c r="E20" s="3"/>
      <c r="F20" s="3"/>
      <c r="G20" s="3"/>
      <c r="H20" s="2"/>
      <c r="I20" s="2"/>
      <c r="J20" s="2"/>
      <c r="K20" s="3"/>
      <c r="L20" s="3"/>
      <c r="M20" s="3"/>
    </row>
    <row r="21" spans="1:13" x14ac:dyDescent="0.2">
      <c r="A21" s="1">
        <v>15</v>
      </c>
      <c r="B21" s="2"/>
      <c r="C21" s="2"/>
      <c r="D21" s="2"/>
      <c r="E21" s="3"/>
      <c r="F21" s="3"/>
      <c r="G21" s="3"/>
      <c r="H21" s="2"/>
      <c r="I21" s="2"/>
      <c r="J21" s="2"/>
      <c r="K21" s="3"/>
      <c r="L21" s="3"/>
      <c r="M21" s="3"/>
    </row>
    <row r="22" spans="1:13" x14ac:dyDescent="0.2">
      <c r="A22" s="1">
        <v>16</v>
      </c>
      <c r="B22" s="2"/>
      <c r="C22" s="2"/>
      <c r="D22" s="2"/>
      <c r="E22" s="3"/>
      <c r="F22" s="3"/>
      <c r="G22" s="3"/>
      <c r="H22" s="2"/>
      <c r="I22" s="2"/>
      <c r="J22" s="2"/>
      <c r="K22" s="3"/>
      <c r="L22" s="3"/>
      <c r="M22" s="3"/>
    </row>
    <row r="23" spans="1:13" x14ac:dyDescent="0.2">
      <c r="A23" s="1">
        <v>17</v>
      </c>
      <c r="B23" s="2"/>
      <c r="C23" s="2"/>
      <c r="D23" s="2"/>
      <c r="E23" s="3"/>
      <c r="F23" s="3"/>
      <c r="G23" s="3"/>
      <c r="H23" s="2"/>
      <c r="I23" s="2"/>
      <c r="J23" s="2"/>
      <c r="K23" s="3"/>
      <c r="L23" s="3"/>
      <c r="M23" s="3"/>
    </row>
    <row r="24" spans="1:13" x14ac:dyDescent="0.2">
      <c r="A24" s="1">
        <v>18</v>
      </c>
      <c r="B24" s="2"/>
      <c r="C24" s="2"/>
      <c r="D24" s="2"/>
      <c r="E24" s="3"/>
      <c r="F24" s="3"/>
      <c r="G24" s="3"/>
      <c r="H24" s="2"/>
      <c r="I24" s="2"/>
      <c r="J24" s="2"/>
      <c r="K24" s="3"/>
      <c r="L24" s="3"/>
      <c r="M24" s="3"/>
    </row>
    <row r="25" spans="1:13" x14ac:dyDescent="0.2">
      <c r="A25" s="1">
        <v>19</v>
      </c>
      <c r="B25" s="2"/>
      <c r="C25" s="2"/>
      <c r="D25" s="2"/>
      <c r="E25" s="3"/>
      <c r="F25" s="3"/>
      <c r="G25" s="3"/>
      <c r="H25" s="2"/>
      <c r="I25" s="2"/>
      <c r="J25" s="2"/>
      <c r="K25" s="3"/>
      <c r="L25" s="3"/>
      <c r="M25" s="3"/>
    </row>
    <row r="26" spans="1:13" x14ac:dyDescent="0.2">
      <c r="A26" s="1">
        <v>20</v>
      </c>
      <c r="B26" s="2"/>
      <c r="C26" s="2"/>
      <c r="D26" s="2"/>
      <c r="E26" s="3"/>
      <c r="F26" s="3"/>
      <c r="G26" s="3"/>
      <c r="H26" s="2"/>
      <c r="I26" s="2"/>
      <c r="J26" s="2"/>
      <c r="K26" s="3"/>
      <c r="L26" s="3"/>
      <c r="M26" s="3"/>
    </row>
    <row r="27" spans="1:13" x14ac:dyDescent="0.2">
      <c r="A27" s="1">
        <v>21</v>
      </c>
      <c r="B27" s="2"/>
      <c r="C27" s="2"/>
      <c r="D27" s="2"/>
      <c r="E27" s="3"/>
      <c r="F27" s="3"/>
      <c r="G27" s="3"/>
      <c r="H27" s="2"/>
      <c r="I27" s="2"/>
      <c r="J27" s="2"/>
      <c r="K27" s="3"/>
      <c r="L27" s="3"/>
      <c r="M27" s="3"/>
    </row>
    <row r="28" spans="1:13" x14ac:dyDescent="0.2">
      <c r="A28" s="1">
        <v>22</v>
      </c>
      <c r="B28" s="2"/>
      <c r="C28" s="2"/>
      <c r="D28" s="2"/>
      <c r="E28" s="3"/>
      <c r="F28" s="3"/>
      <c r="G28" s="3"/>
      <c r="H28" s="2"/>
      <c r="I28" s="2"/>
      <c r="J28" s="2"/>
      <c r="K28" s="3"/>
      <c r="L28" s="3"/>
      <c r="M28" s="3"/>
    </row>
    <row r="29" spans="1:13" x14ac:dyDescent="0.2">
      <c r="A29" s="1">
        <v>23</v>
      </c>
      <c r="B29" s="2"/>
      <c r="C29" s="2"/>
      <c r="D29" s="2"/>
      <c r="E29" s="3"/>
      <c r="F29" s="3"/>
      <c r="G29" s="3"/>
      <c r="H29" s="2"/>
      <c r="I29" s="2"/>
      <c r="J29" s="2"/>
      <c r="K29" s="3"/>
      <c r="L29" s="3"/>
      <c r="M29" s="3"/>
    </row>
    <row r="31" spans="1:13" x14ac:dyDescent="0.2">
      <c r="B31">
        <f>SUM(B6:D6)</f>
        <v>10</v>
      </c>
    </row>
  </sheetData>
  <mergeCells count="10">
    <mergeCell ref="B1:G1"/>
    <mergeCell ref="H1:M1"/>
    <mergeCell ref="B2:G2"/>
    <mergeCell ref="H2:M2"/>
    <mergeCell ref="B4:D4"/>
    <mergeCell ref="E4:G4"/>
    <mergeCell ref="H4:J4"/>
    <mergeCell ref="K4:M4"/>
    <mergeCell ref="B3:G3"/>
    <mergeCell ref="H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9E28-915C-F54C-B37A-2FAB20B0DB56}">
  <dimension ref="A1:B7"/>
  <sheetViews>
    <sheetView workbookViewId="0">
      <selection activeCell="B4" sqref="B4"/>
    </sheetView>
  </sheetViews>
  <sheetFormatPr baseColWidth="10" defaultRowHeight="16" x14ac:dyDescent="0.2"/>
  <cols>
    <col min="1" max="1" width="17.6640625" bestFit="1" customWidth="1"/>
  </cols>
  <sheetData>
    <row r="1" spans="1:2" x14ac:dyDescent="0.2">
      <c r="A1" s="7" t="s">
        <v>1</v>
      </c>
      <c r="B1" s="7" t="s">
        <v>52</v>
      </c>
    </row>
    <row r="2" spans="1:2" x14ac:dyDescent="0.2">
      <c r="A2" s="7" t="s">
        <v>41</v>
      </c>
      <c r="B2">
        <v>0</v>
      </c>
    </row>
    <row r="3" spans="1:2" x14ac:dyDescent="0.2">
      <c r="A3" s="7" t="s">
        <v>42</v>
      </c>
      <c r="B3">
        <v>1</v>
      </c>
    </row>
    <row r="4" spans="1:2" x14ac:dyDescent="0.2">
      <c r="A4" s="7" t="s">
        <v>43</v>
      </c>
      <c r="B4">
        <v>0.25</v>
      </c>
    </row>
    <row r="5" spans="1:2" x14ac:dyDescent="0.2">
      <c r="A5" s="7" t="s">
        <v>44</v>
      </c>
      <c r="B5">
        <v>1</v>
      </c>
    </row>
    <row r="6" spans="1:2" x14ac:dyDescent="0.2">
      <c r="A6" s="7" t="s">
        <v>50</v>
      </c>
      <c r="B6">
        <v>1</v>
      </c>
    </row>
    <row r="7" spans="1:2" x14ac:dyDescent="0.2">
      <c r="A7" s="7" t="s">
        <v>51</v>
      </c>
      <c r="B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688A-D2A3-854F-B341-C0BEC53AF991}">
  <dimension ref="A1:J6"/>
  <sheetViews>
    <sheetView tabSelected="1" zoomScale="150" zoomScaleNormal="200" workbookViewId="0">
      <selection activeCell="D6" sqref="D6"/>
    </sheetView>
  </sheetViews>
  <sheetFormatPr baseColWidth="10" defaultRowHeight="16" x14ac:dyDescent="0.2"/>
  <cols>
    <col min="2" max="2" width="15.1640625" bestFit="1" customWidth="1"/>
    <col min="3" max="4" width="13.33203125" bestFit="1" customWidth="1"/>
    <col min="5" max="5" width="17.1640625" bestFit="1" customWidth="1"/>
    <col min="6" max="6" width="16" bestFit="1" customWidth="1"/>
    <col min="7" max="7" width="13.1640625" bestFit="1" customWidth="1"/>
    <col min="8" max="8" width="13.5" bestFit="1" customWidth="1"/>
  </cols>
  <sheetData>
    <row r="1" spans="1:10" x14ac:dyDescent="0.2">
      <c r="G1" s="14" t="str">
        <f>Traders!B2</f>
        <v>Shipper 1</v>
      </c>
      <c r="H1" s="14"/>
      <c r="I1" s="14" t="str">
        <f>Traders!B3</f>
        <v>Shipper 2</v>
      </c>
      <c r="J1" s="14"/>
    </row>
    <row r="2" spans="1:10" x14ac:dyDescent="0.2">
      <c r="G2" s="5" t="s">
        <v>17</v>
      </c>
      <c r="H2" s="6" t="s">
        <v>18</v>
      </c>
      <c r="I2" s="5" t="s">
        <v>17</v>
      </c>
      <c r="J2" s="6" t="s">
        <v>18</v>
      </c>
    </row>
    <row r="3" spans="1:10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45</v>
      </c>
      <c r="F3" s="4" t="s">
        <v>7</v>
      </c>
      <c r="G3" s="5" t="s">
        <v>20</v>
      </c>
      <c r="H3" s="6" t="s">
        <v>20</v>
      </c>
      <c r="I3" s="5" t="s">
        <v>20</v>
      </c>
      <c r="J3" s="6" t="s">
        <v>20</v>
      </c>
    </row>
    <row r="4" spans="1:10" x14ac:dyDescent="0.2">
      <c r="A4" s="1">
        <v>1</v>
      </c>
      <c r="B4" s="1" t="s">
        <v>53</v>
      </c>
      <c r="C4" s="1" t="s">
        <v>56</v>
      </c>
      <c r="D4" s="1" t="s">
        <v>57</v>
      </c>
      <c r="E4" s="1">
        <v>10</v>
      </c>
      <c r="F4" s="1" t="s">
        <v>8</v>
      </c>
      <c r="G4" s="2">
        <v>1</v>
      </c>
      <c r="H4" s="3">
        <v>0</v>
      </c>
      <c r="I4" s="2"/>
      <c r="J4" s="3"/>
    </row>
    <row r="5" spans="1:10" x14ac:dyDescent="0.2">
      <c r="A5" s="1">
        <v>2</v>
      </c>
      <c r="B5" s="1" t="s">
        <v>54</v>
      </c>
      <c r="C5" s="1" t="s">
        <v>57</v>
      </c>
      <c r="D5" s="1" t="s">
        <v>58</v>
      </c>
      <c r="E5" s="1">
        <v>10</v>
      </c>
      <c r="F5" s="1" t="s">
        <v>8</v>
      </c>
      <c r="G5" s="2">
        <v>1</v>
      </c>
      <c r="H5" s="3">
        <v>0</v>
      </c>
      <c r="I5" s="2"/>
      <c r="J5" s="3"/>
    </row>
    <row r="6" spans="1:10" x14ac:dyDescent="0.2">
      <c r="A6" s="1">
        <v>3</v>
      </c>
      <c r="B6" s="1" t="s">
        <v>55</v>
      </c>
      <c r="C6" s="1" t="s">
        <v>58</v>
      </c>
      <c r="D6" s="1" t="s">
        <v>57</v>
      </c>
      <c r="E6" s="1">
        <v>10</v>
      </c>
      <c r="F6" s="1" t="s">
        <v>8</v>
      </c>
      <c r="G6" s="2">
        <v>1</v>
      </c>
      <c r="H6" s="3">
        <v>0</v>
      </c>
      <c r="I6" s="2"/>
      <c r="J6" s="3"/>
    </row>
  </sheetData>
  <mergeCells count="2">
    <mergeCell ref="G1:H1"/>
    <mergeCell ref="I1:J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A445-15C0-AB40-A0A7-7DAECA950535}">
  <dimension ref="A1:B3"/>
  <sheetViews>
    <sheetView zoomScale="200" zoomScaleNormal="200" workbookViewId="0">
      <selection activeCell="D8" sqref="D8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1</v>
      </c>
      <c r="B2" s="1" t="s">
        <v>11</v>
      </c>
    </row>
    <row r="3" spans="1:2" x14ac:dyDescent="0.2">
      <c r="A3" s="1">
        <v>2</v>
      </c>
      <c r="B3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2103-BB5B-1146-8172-40BAC814D614}">
  <dimension ref="A1:B3"/>
  <sheetViews>
    <sheetView zoomScale="200" zoomScaleNormal="200" workbookViewId="0">
      <selection activeCell="B3" sqref="B3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1</v>
      </c>
      <c r="B2" s="1" t="s">
        <v>13</v>
      </c>
    </row>
    <row r="3" spans="1:2" x14ac:dyDescent="0.2">
      <c r="A3" s="1">
        <v>2</v>
      </c>
      <c r="B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Visualisation</vt:lpstr>
      <vt:lpstr>Units</vt:lpstr>
      <vt:lpstr>Nodes</vt:lpstr>
      <vt:lpstr>Demand Stage 2</vt:lpstr>
      <vt:lpstr>Demand Stage 3</vt:lpstr>
      <vt:lpstr>Parameters</vt:lpstr>
      <vt:lpstr>Arcs</vt:lpstr>
      <vt:lpstr>Traders</vt:lpstr>
      <vt:lpstr>Commodities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Markhorst, B.T. (Berend)</dc:creator>
  <cp:lastModifiedBy>Markhorst, B.T. (Berend)</cp:lastModifiedBy>
  <dcterms:created xsi:type="dcterms:W3CDTF">2024-08-20T19:36:56Z</dcterms:created>
  <dcterms:modified xsi:type="dcterms:W3CDTF">2024-09-11T13:15:47Z</dcterms:modified>
</cp:coreProperties>
</file>