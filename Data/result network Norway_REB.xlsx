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berendmarkhorst/Library/Mobile Documents/com~apple~CloudDocs/PhD/READINESS/08 - Trondheim/Data/"/>
    </mc:Choice>
  </mc:AlternateContent>
  <xr:revisionPtr revIDLastSave="0" documentId="13_ncr:1_{BA362A4C-5878-1A46-8CCA-74FF3B8EDE52}" xr6:coauthVersionLast="47" xr6:coauthVersionMax="47" xr10:uidLastSave="{00000000-0000-0000-0000-000000000000}"/>
  <bookViews>
    <workbookView xWindow="0" yWindow="0" windowWidth="51200" windowHeight="28800" activeTab="1" xr2:uid="{00000000-000D-0000-FFFF-FFFF00000000}"/>
  </bookViews>
  <sheets>
    <sheet name="pipes" sheetId="1" r:id="rId1"/>
    <sheet name="facilities" sheetId="2" r:id="rId2"/>
    <sheet name="Changes Berend" sheetId="3" r:id="rId3"/>
  </sheets>
  <definedNames>
    <definedName name="_xlnm._FilterDatabase" localSheetId="1" hidden="1">facilities!$A$1:$K$72</definedName>
    <definedName name="_xlnm._FilterDatabase" localSheetId="0" hidden="1">pipes!$A$1:$AC$52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C7" i="1" l="1"/>
  <c r="AC48" i="1"/>
  <c r="AC16" i="1"/>
  <c r="AC49" i="1"/>
  <c r="AC26" i="1"/>
  <c r="AC47" i="1"/>
  <c r="AC15" i="1"/>
  <c r="AC46" i="1"/>
  <c r="AC13" i="1"/>
  <c r="AC6" i="1"/>
  <c r="AB7" i="1"/>
  <c r="AB48" i="1"/>
  <c r="AB16" i="1"/>
  <c r="AB49" i="1"/>
  <c r="AB47" i="1"/>
  <c r="AB15" i="1"/>
  <c r="AB46" i="1"/>
  <c r="AB13" i="1"/>
  <c r="AC14" i="1"/>
  <c r="AB14" i="1"/>
  <c r="AC50" i="1"/>
  <c r="AB50" i="1"/>
  <c r="AC21" i="1"/>
  <c r="AB21" i="1"/>
  <c r="AB5" i="1"/>
  <c r="AC8" i="1"/>
  <c r="AB8" i="1"/>
  <c r="AB25" i="1"/>
  <c r="AC11" i="1"/>
  <c r="AB11" i="1"/>
  <c r="AC45" i="1"/>
  <c r="AB45" i="1"/>
  <c r="AC31" i="1"/>
  <c r="AB31" i="1"/>
  <c r="AC34" i="1"/>
  <c r="AB34" i="1"/>
  <c r="AC20" i="1"/>
  <c r="AB20" i="1"/>
  <c r="AC44" i="1"/>
  <c r="AB44" i="1"/>
  <c r="AC19" i="1"/>
  <c r="AB19" i="1"/>
  <c r="AC30" i="1"/>
  <c r="AB30" i="1"/>
  <c r="AC24" i="1"/>
  <c r="AB24" i="1"/>
  <c r="AC35" i="1"/>
  <c r="AB35" i="1"/>
  <c r="AC17" i="1"/>
  <c r="AB17" i="1"/>
  <c r="AC28" i="1"/>
  <c r="AB28" i="1"/>
  <c r="AC27" i="1"/>
  <c r="AB27" i="1"/>
  <c r="AC43" i="1"/>
  <c r="AB43" i="1"/>
  <c r="AC41" i="1"/>
  <c r="AB41" i="1"/>
  <c r="AC2" i="1"/>
  <c r="AB2" i="1"/>
  <c r="AC42" i="1"/>
  <c r="AB42" i="1"/>
  <c r="AC29" i="1"/>
  <c r="AB29" i="1"/>
  <c r="AC9" i="1"/>
  <c r="AB9" i="1"/>
  <c r="AC18" i="1"/>
  <c r="AB18" i="1"/>
  <c r="AC22" i="1"/>
  <c r="AB22" i="1"/>
  <c r="AC23" i="1"/>
  <c r="AB23" i="1"/>
  <c r="AC4" i="1"/>
  <c r="AB4" i="1"/>
  <c r="AC10" i="1"/>
  <c r="AB10" i="1"/>
  <c r="AC37" i="1"/>
  <c r="AB37" i="1"/>
  <c r="AC36" i="1"/>
  <c r="AB36" i="1"/>
  <c r="AC3" i="1"/>
  <c r="AB3" i="1"/>
  <c r="AC32" i="1"/>
  <c r="AB32" i="1"/>
  <c r="AC33" i="1"/>
  <c r="AB33" i="1"/>
  <c r="AC39" i="1"/>
  <c r="AB39" i="1"/>
  <c r="AC12" i="1"/>
  <c r="AB12" i="1"/>
  <c r="AC38" i="1"/>
  <c r="AB38" i="1"/>
  <c r="AC40" i="1"/>
  <c r="AB40" i="1"/>
  <c r="G17" i="2" l="1"/>
  <c r="G8" i="2"/>
  <c r="G59" i="2"/>
  <c r="G60" i="2"/>
  <c r="I60" i="2" s="1"/>
  <c r="G58" i="2"/>
  <c r="G26" i="2"/>
  <c r="G30" i="2"/>
  <c r="G52" i="2"/>
  <c r="G11" i="2"/>
  <c r="G10" i="2"/>
  <c r="G48" i="2"/>
  <c r="G49" i="2"/>
  <c r="I49" i="2" s="1"/>
  <c r="G50" i="2"/>
  <c r="G51" i="2"/>
  <c r="I51" i="2" s="1"/>
  <c r="G72" i="2"/>
  <c r="G69" i="2"/>
  <c r="G37" i="2"/>
  <c r="G55" i="2"/>
  <c r="G70" i="2"/>
  <c r="G67" i="2"/>
  <c r="G68" i="2"/>
  <c r="I68" i="2" s="1"/>
  <c r="G24" i="2"/>
  <c r="G31" i="2"/>
  <c r="G25" i="2"/>
  <c r="G18" i="2"/>
  <c r="G41" i="2"/>
  <c r="G42" i="2"/>
  <c r="G64" i="2"/>
  <c r="G65" i="2"/>
  <c r="I65" i="2" s="1"/>
  <c r="G7" i="2"/>
  <c r="G36" i="2"/>
  <c r="G34" i="2"/>
  <c r="G35" i="2"/>
  <c r="I35" i="2" s="1"/>
  <c r="G40" i="2"/>
  <c r="G43" i="2"/>
  <c r="G38" i="2"/>
  <c r="G39" i="2"/>
  <c r="I39" i="2" s="1"/>
  <c r="G28" i="2"/>
  <c r="G29" i="2"/>
  <c r="I29" i="2" s="1"/>
  <c r="G22" i="2"/>
  <c r="G33" i="2"/>
  <c r="G2" i="2"/>
  <c r="G23" i="2"/>
  <c r="G5" i="2"/>
  <c r="G9" i="2"/>
  <c r="G56" i="2"/>
  <c r="G57" i="2"/>
  <c r="I57" i="2" s="1"/>
  <c r="G15" i="2"/>
  <c r="G16" i="2"/>
  <c r="I16" i="2" s="1"/>
  <c r="G12" i="2"/>
  <c r="G13" i="2"/>
  <c r="G32" i="2"/>
  <c r="G66" i="2"/>
  <c r="G44" i="2"/>
  <c r="G6" i="2"/>
  <c r="G45" i="2"/>
  <c r="G46" i="2"/>
  <c r="G47" i="2"/>
  <c r="I47" i="2" s="1"/>
  <c r="G3" i="2"/>
  <c r="G53" i="2"/>
  <c r="G54" i="2"/>
  <c r="I54" i="2" s="1"/>
  <c r="G20" i="2"/>
  <c r="G21" i="2"/>
  <c r="I21" i="2" s="1"/>
  <c r="G19" i="2"/>
  <c r="G63" i="2"/>
  <c r="G14" i="2"/>
  <c r="G27" i="2"/>
  <c r="G71" i="2"/>
  <c r="G61" i="2"/>
  <c r="G62" i="2"/>
  <c r="I62" i="2" s="1"/>
  <c r="G4" i="2"/>
  <c r="AC25" i="1" l="1"/>
  <c r="AB26" i="1"/>
  <c r="AB6" i="1"/>
  <c r="AC5" i="1"/>
  <c r="I67" i="2"/>
  <c r="I41" i="2"/>
  <c r="I26" i="2"/>
  <c r="I17" i="2"/>
  <c r="I11" i="2"/>
  <c r="I7" i="2"/>
  <c r="I72" i="2"/>
  <c r="I52" i="2"/>
  <c r="I42" i="2"/>
  <c r="I32" i="2"/>
  <c r="I22" i="2"/>
  <c r="I12" i="2"/>
  <c r="I71" i="2"/>
  <c r="I61" i="2"/>
  <c r="I31" i="2"/>
  <c r="I50" i="2"/>
  <c r="I40" i="2"/>
  <c r="I30" i="2"/>
  <c r="I20" i="2"/>
  <c r="I10" i="2"/>
  <c r="I59" i="2"/>
  <c r="I19" i="2"/>
  <c r="I9" i="2"/>
  <c r="I58" i="2"/>
  <c r="I48" i="2"/>
  <c r="I38" i="2"/>
  <c r="I28" i="2"/>
  <c r="I18" i="2"/>
  <c r="I8" i="2"/>
  <c r="I37" i="2"/>
  <c r="I27" i="2"/>
  <c r="I66" i="2"/>
  <c r="I56" i="2"/>
  <c r="I46" i="2"/>
  <c r="I36" i="2"/>
  <c r="I6" i="2"/>
  <c r="I55" i="2"/>
  <c r="I45" i="2"/>
  <c r="I25" i="2"/>
  <c r="I15" i="2"/>
  <c r="I5" i="2"/>
  <c r="I64" i="2"/>
  <c r="I44" i="2"/>
  <c r="I34" i="2"/>
  <c r="I24" i="2"/>
  <c r="I14" i="2"/>
  <c r="I4" i="2"/>
  <c r="I63" i="2"/>
  <c r="I43" i="2"/>
  <c r="I33" i="2"/>
  <c r="I23" i="2"/>
  <c r="I13" i="2"/>
  <c r="I3" i="2"/>
  <c r="I2" i="2"/>
</calcChain>
</file>

<file path=xl/sharedStrings.xml><?xml version="1.0" encoding="utf-8"?>
<sst xmlns="http://schemas.openxmlformats.org/spreadsheetml/2006/main" count="965" uniqueCount="511">
  <si>
    <t>pipName</t>
  </si>
  <si>
    <t>idPipeline</t>
  </si>
  <si>
    <t>mapLabel</t>
  </si>
  <si>
    <t>belongs_to</t>
  </si>
  <si>
    <t>curOperNam</t>
  </si>
  <si>
    <t>curPhase</t>
  </si>
  <si>
    <t>curPhDate</t>
  </si>
  <si>
    <t>fromFacili</t>
  </si>
  <si>
    <t>toFacility</t>
  </si>
  <si>
    <t>mainGrp</t>
  </si>
  <si>
    <t>dimension</t>
  </si>
  <si>
    <t>WaterDepth</t>
  </si>
  <si>
    <t>medium</t>
  </si>
  <si>
    <t>idBelongTo</t>
  </si>
  <si>
    <t>idFrmFacil</t>
  </si>
  <si>
    <t>idToFacili</t>
  </si>
  <si>
    <t>idOperator</t>
  </si>
  <si>
    <t>dtUpdated</t>
  </si>
  <si>
    <t>FactUrl</t>
  </si>
  <si>
    <t>MapUrl</t>
  </si>
  <si>
    <t>geometry</t>
  </si>
  <si>
    <t>Capacity</t>
  </si>
  <si>
    <t>Source Lon</t>
  </si>
  <si>
    <t>Source Lat</t>
  </si>
  <si>
    <t>Dest Lon</t>
  </si>
  <si>
    <t>Dest Lat</t>
  </si>
  <si>
    <t>42" Gas ÅSGARD ERB, KÅRSTØ</t>
  </si>
  <si>
    <t>Åsgard Transport</t>
  </si>
  <si>
    <t>GASSLED</t>
  </si>
  <si>
    <t>Gassco AS</t>
  </si>
  <si>
    <t>IN SERVICE</t>
  </si>
  <si>
    <t>2000-10-04</t>
  </si>
  <si>
    <t>ÅSGARD ERB</t>
  </si>
  <si>
    <t>KÅRSTØ</t>
  </si>
  <si>
    <t>Transportation</t>
  </si>
  <si>
    <t>Gas</t>
  </si>
  <si>
    <t>2024-01-02</t>
  </si>
  <si>
    <t>https://factpages.sodir.no/factpages/default.aspx?nav1=tuf&amp;nav2=PageView|Pipeline|All&amp;nav3=307674</t>
  </si>
  <si>
    <t>https://factmaps.sodir.no/factmaps/3_0/?run=PipelineByNPDID&amp;NPDID=307674</t>
  </si>
  <si>
    <t>LINESTRING (4.686853131474261 62.302302667129126, 4.718448369792201 62.33153457574122, 4.688439971644288 62.3037851068389, 4.686853131474261 62.302302667129126)</t>
  </si>
  <si>
    <t>40" Gas ZEEPIPE-SCP, ZEEBRUGGE</t>
  </si>
  <si>
    <t>Zeepipe I</t>
  </si>
  <si>
    <t>1993-10-01</t>
  </si>
  <si>
    <t>ZEEPIPE-SCP</t>
  </si>
  <si>
    <t>ZEEBRUGGE</t>
  </si>
  <si>
    <t>https://factpages.sodir.no/factpages/default.aspx?nav1=tuf&amp;nav2=PageView|Pipeline|All&amp;nav3=310326</t>
  </si>
  <si>
    <t>https://factmaps.sodir.no/factmaps/3_0/?run=PipelineByNPDID&amp;NPDID=310326</t>
  </si>
  <si>
    <t>LINESTRING (3.298404019965438 54.78877631323162, 3.28085414095209 54.628432771002274, 3.209498703522583 54.17824208553879, 3.1353648208748073 53.69755557799866, 3.090372769814031 53.26262708949295, 3.09036527384928 53.24679858434184, 3.091426591254613 53.237629304027244, 3.0945071241043154 53.22320687943221, 3.1204078736011764 53.12453703463878, 3.1961029755918693 52.82767850072616, 3.204087151153907 52.795869589368316, 3.206159634617467 52.7818331710049, 3.206452062389697 52.768212745686036, 3.205333416984055 52.75586234445874, 3.1728838967025257 52.51931556371773, 3.1726122500297187 52.50749619169142, 3.1733405370255374 52.498628923231855, 3.1838063372182033 52.41448241952888, 3.1834988247411724 52.39812090696865, 3.1552000473017046 52.16870747677852, 3.151361374159261 52.15472400173724, 3.146761612184605 52.1431125915034, 3.1257142393792057 52.10544719266412, 3.120998458998452 52.0943407972862, 3.1176786902232076 52.083940439521804, 3.114874015501233 52.07077400252987, 3.0810803156475903 51.83035425008762, 3.020509736976767 51.63031447988052, 3.0175880503974843 51.61716104808776, 3.016710310459683 51.60747774461323, 3.0168295284413094 51.6000415205279, 3.0184939240700643 51.58769616508144, 3.024041556111355 51.57026869942282, 3.033214577303187 51.553133333998424, 3.0466623614122517 51.53659399699194, 3.0572999042959186 51.526149808606895, 3.216901291690337 51.39470273250931, 3.2326830466986243 51.3807805002686, 3.2358993117496877 51.374083339192644, 3.2359664645167823 51.36883318524507, 3.2284748483936863 51.34967653644988)</t>
  </si>
  <si>
    <t>30" Gas STAT-SSTC, KÅRSTØ</t>
  </si>
  <si>
    <t>Statpipe</t>
  </si>
  <si>
    <t>1985-10-01</t>
  </si>
  <si>
    <t>STAT-SSTC</t>
  </si>
  <si>
    <t>https://factpages.sodir.no/factpages/default.aspx?nav1=tuf&amp;nav2=PageView|Pipeline|All&amp;nav3=313556</t>
  </si>
  <si>
    <t>https://factmaps.sodir.no/factmaps/3_0/?run=PipelineByNPDID&amp;NPDID=313556</t>
  </si>
  <si>
    <t>LINESTRING (1.844167218716536 61.185321420985844, 1.8544151797612212 61.1735100969537, 1.8601436158227025 61.16870998569168, 1.8677831156663394 61.16376589379229, 1.8784257044334849 61.15879884018001, 1.9441950483914874 61.13333471109721, 1.9639551818155145 61.12335958211587, 2.0909597393781514 61.05407255159421, 2.4005142023408426 60.88234292174657, 2.5515011949876376 60.79771860187375, 2.779058755965756 60.668639548750185, 2.7890594407361387 60.661255392556534, 2.9244341651343384 60.533063194350795, 3.149525616405527 60.40116999724175, 3.1585510903064153 60.39710895606737, 3.1687875628614512 60.39375595734497, 3.1902244269381446 60.38915905282618, 3.354615878428507 60.37671865524025, 3.3710385274755503 60.373457737649346, 3.385151259102972 60.3672766789666, 3.4086797400927153 60.35187938599911, 3.4390375777920257 60.33340406122959, 3.4447909881866883 60.3286869531259, 3.4597031826819347 60.31389557475976, 3.4904714346095225 60.28747495110002, 3.5101709484271386 60.26911049647158, 3.544373096910258 60.24658306508891, 3.562490298057159 60.233387788310935, 3.5779504086774683 60.22042648711208, 3.585336834139601 60.21630142222688, 3.6099461162467286 60.20521830765332, 3.6599022472856326 60.172222673829225, 3.6805834520096097 60.16034447943186, 3.7104474224089334 60.138583022709945, 3.7542220869460685 60.11105552001942, 3.7901524646681186 60.08459595992801, 3.8264673673568357 60.0677987730315, 3.834526828712713 60.063284701549435, 3.882376974972347 60.02826696389474, 3.909942562075824 60.01257270957484, 4.100443356836905 59.88659828396718, 4.123527918103729 59.86853088346314, 4.183228633702968 59.828252092697, 4.2091033213928215 59.809157687785735, 4.236809925545285 59.79284341106092, 4.289135153660181 59.75786473013443, 4.319620944867454 59.73927840137284, 4.347808750744626 59.71896397870245, 4.412281783734146 59.6761248922683, 4.467359690040704 59.6481104906598, 4.474347088577124 59.643907415203905, 4.481827588957691 59.63781527437096, 4.530253229900562 59.58958603160386, 4.538264791457011 59.58246985858145, 4.550690493351881 59.57509172805898, 4.6031300549374645 59.55260850291716, 4.615066756740915 59.54489935403915, 4.637445358721813 59.52418783935917, 4.672934636530157 59.497001236260395, 4.678498110833904 59.49016804501143, 4.694166793058012 59.46330622014112, 4.702103381898934 59.455453018706116, 4.711759952932388 59.449082893339515, 4.938799360061654 59.34300658382575, 4.950051890704025 59.33849054652712, 4.961166354946383 59.335359559549396, 4.972238775580322 59.33317060739415, 4.995328567568457 59.33050177820411, 5.031068770127716 59.326896062054814, 5.044164174472908 59.32638519638624, 5.065453734364789 59.327730496335306, 5.1157678329327 59.33594239374459, 5.127435123479551 59.33705357201233, 5.145680665213971 59.33684577769815, 5.1727196174210786 59.33320895739473, 5.184846127768808 59.33300779164941)</t>
  </si>
  <si>
    <t>36" Gas TROLL A, KOLLSNES</t>
  </si>
  <si>
    <t>Troll Gassrør P10</t>
  </si>
  <si>
    <t>TROLL I</t>
  </si>
  <si>
    <t>Equinor Energy AS</t>
  </si>
  <si>
    <t>1996-10-01</t>
  </si>
  <si>
    <t>TROLL A</t>
  </si>
  <si>
    <t>KOLLSNES</t>
  </si>
  <si>
    <t>https://factpages.sodir.no/factpages/default.aspx?nav1=tuf&amp;nav2=PageView|Pipeline|All&amp;nav3=314542</t>
  </si>
  <si>
    <t>https://factmaps.sodir.no/factmaps/3_0/?run=PipelineByNPDID&amp;NPDID=314542</t>
  </si>
  <si>
    <t>LINESTRING (4.834238521222291 60.54968220275004, 4.796252481265164 60.52720488562328, 4.727624594915522 60.50323114581592, 4.713218333486176 60.49974383993818, 4.696566945290574 60.497470553877314, 4.675773358011589 60.49672627704479, 4.659030814723211 60.497565109319424, 4.642365197769645 60.499953001951205, 4.608662832250567 60.507181876809234, 4.458190873288199 60.53665020694836, 4.105440338024752 60.60456184539873, 3.862912751959646 60.6306188148198, 3.776500455422564 60.64453026642707, 3.7620739849172034 60.645323115687674, 3.733946999028355 60.64517934425418)</t>
  </si>
  <si>
    <t>Troll Gassrør P11</t>
  </si>
  <si>
    <t>1997-10-01</t>
  </si>
  <si>
    <t>https://factpages.sodir.no/factpages/default.aspx?nav1=tuf&amp;nav2=PageView|Pipeline|All&amp;nav3=314576</t>
  </si>
  <si>
    <t>https://factmaps.sodir.no/factmaps/3_0/?run=PipelineByNPDID&amp;NPDID=314576</t>
  </si>
  <si>
    <t>LINESTRING (3.733514481908561 60.64376957063067, 3.7373323613382174 60.64317172161721, 3.7696834737354608 60.640288017104105, 3.8120160225276494 60.63473433470958, 4.108999525970256 60.60298282892029, 4.641325172582125 60.4998309848373, 4.666486134153414 60.49561212334185, 4.682102623126969 60.49519229368774, 4.693318922899099 60.49594045632634, 4.710865351154863 60.497943742699974, 4.720888525363506 60.50052596150751, 4.796564491043073 60.52719688903402, 4.834238521222291 60.54968220275004)</t>
  </si>
  <si>
    <t>30" Gas STATFJORD B, STAT-SSTC</t>
  </si>
  <si>
    <t>STATFJORD B</t>
  </si>
  <si>
    <t>https://factpages.sodir.no/factpages/default.aspx?nav1=tuf&amp;nav2=PageView|Pipeline|All&amp;nav3=318010</t>
  </si>
  <si>
    <t>https://factmaps.sodir.no/factmaps/3_0/?run=PipelineByNPDID&amp;NPDID=318010</t>
  </si>
  <si>
    <t>LINESTRING (1.8297556432426154 61.20193692457381, 1.844167218716536 61.185321420985844)</t>
  </si>
  <si>
    <t>16" Gas NORNE ERB, NORNE/HEIDRUN T</t>
  </si>
  <si>
    <t>Norne Gasstransport</t>
  </si>
  <si>
    <t>2001-02-05</t>
  </si>
  <si>
    <t>NORNE ERB</t>
  </si>
  <si>
    <t>NORNE/HEIDRUN T</t>
  </si>
  <si>
    <t>https://factpages.sodir.no/factpages/default.aspx?nav1=tuf&amp;nav2=PageView|Pipeline|All&amp;nav3=319132</t>
  </si>
  <si>
    <t>https://factmaps.sodir.no/factmaps/3_0/?run=PipelineByNPDID&amp;NPDID=319132</t>
  </si>
  <si>
    <t>LINESTRING (8.076739809297488 66.0290992001487, 8.049952275789764 66.03461122233705, 8.035274630789567 66.03578610056198, 8.020745093151788 66.03552691927945, 8.005136630697196 66.03362665528284, 7.9916243513180385 66.03027735399247, 7.980457256940544 66.02558502288387, 7.972929349330346 66.02022070578727, 7.969554515997286 66.01604748821262, 7.968156733270531 66.0122253088075, 7.96428376514426 65.98140094910526, 7.9653086077705195 65.97001747590772, 7.9644519857133345 65.9641962177665, 7.942484711062593 65.91358780424298, 7.937239044184883 65.906003419779, 7.896733556792352 65.86248309230324, 7.885406442938344 65.84367615932851, 7.8844501200532 65.83346771392577, 7.881150449543889 65.82695939843613, 7.878190546808611 65.82396023617277, 7.864722738061047 65.81391265092375, 7.837636371099828 65.80448193205186, 7.828952414651774 65.7991486033899, 7.792946698166718 65.7611895676376, 7.7632301135033455 65.7246886685379, 7.756237371962055 65.71716626704935, 7.751546688410944 65.71005491009879, 7.743322892885875 65.70263849870216, 7.738034904854274 65.69959430736218, 7.714613695874004 65.68989662049826, 7.6910600134438365 65.67252360651625, 7.665076124627933 65.65681363456532, 7.617081927697724 65.63362708656271, 7.551842006791016 65.59710977056594, 7.511467699108599 65.57969855702473, 7.465527269203192 65.5610662259892, 7.385117687556028 65.51147217787529, 7.287001952985897 65.46914122757471, 7.26798671189772 65.46238871704533, 7.260522735840396 65.45800944362855, 7.257023876196616 65.45407223588359, 7.242717150681102 65.42772695397366, 7.215395845411127 65.37347134086356, 7.208600948218103 65.33887780173625, 7.206963770594495 65.32587723438796, 7.202632686463978 65.31002251496722, 7.200227812604905 65.30685635306799, 7.156537079376469 65.26442704817285, 7.15054808814501 65.26104683484508, 7.1279918556371085 65.25224919695133, 7.109142767445553 65.24333059793251, 7.073263195053345 65.217534086688, 7.061720612881881 65.20507442560248, 7.024843484883916 65.17211360186565, 6.985108536241274 65.1497961918335, 6.9600837249260525 65.13341520619272, 6.950211905367923 65.12537275104032, 6.934112979023002 65.11554514688243, 6.903849653220438 65.10400130210719, 6.871178380308759 65.09037434117272, 6.862755247975175 65.08778813231534, 6.846844815577928 65.085628852136, 6.799674199493331 65.08422923098904)</t>
  </si>
  <si>
    <t>36" Gas NORPIPE Y, B-11</t>
  </si>
  <si>
    <t>Norpipe Gassledning</t>
  </si>
  <si>
    <t>1977-09-17</t>
  </si>
  <si>
    <t>NORPIPE Y</t>
  </si>
  <si>
    <t>B-11</t>
  </si>
  <si>
    <t>https://factpages.sodir.no/factpages/default.aspx?nav1=tuf&amp;nav2=PageView|Pipeline|All&amp;nav3=319166</t>
  </si>
  <si>
    <t>https://factmaps.sodir.no/factmaps/3_0/?run=PipelineByNPDID&amp;NPDID=319166</t>
  </si>
  <si>
    <t>LINESTRING (3.3290292860187574 56.489709742026285, 3.330676444777829 56.486726657455016, 3.3424942583349124 56.47371234349503, 3.3466835075679904 56.47010726739637, 3.3579143381240786 56.45623691671912, 3.3714012584881563 56.44155356452933, 3.3906724879526906 56.42276113772779, 3.500879958309773 56.30318627870742, 3.538557411491352 56.264666384736444, 3.6118027526864562 56.200712027635284, 3.617145022389291 56.197272971205486, 3.632026916265012 56.183916683072184, 3.6470438822864732 56.16872733304711, 3.6602286326813025 56.15796611503218, 3.6874852624572165 56.133601591060824, 3.6924105188970278 56.13020453122605, 3.732323963684818 56.092867706920444, 3.746171744326769 56.08168748240841, 3.7673570726015866 56.06098101441544, 3.7897775378020495 56.037433462847105, 3.7961808790999045 56.03276637649111, 3.8818753890969773 55.94471133785859, 3.90155955962649 55.92695895535068, 3.9354507273911428 55.89219915248219, 3.943859218329518 55.88482999659486, 4.000729775000716 55.82842871696599, 4.009163257640626 55.82126156848398, 4.0201009632657625 55.809786300960184, 4.059361351803726 55.77244947357689, 4.073331257970057 55.75759312533259, 4.083434855224062 55.74842992784704, 4.162088622104297 55.701162216958906, 4.181978616239381 55.688030996722, 4.189575955366003 55.68413095086749, 4.241700454113648 55.65257847170792, 4.544898599545277 55.46494113096292)</t>
  </si>
  <si>
    <t>36" Gas OSEBERG D, HEIMDAL HRP</t>
  </si>
  <si>
    <t>Oseberg Gasstransport</t>
  </si>
  <si>
    <t>2001-09-30</t>
  </si>
  <si>
    <t>OSEBERG D</t>
  </si>
  <si>
    <t>HEIMDAL HRP</t>
  </si>
  <si>
    <t>https://factpages.sodir.no/factpages/default.aspx?nav1=tuf&amp;nav2=PageView|Pipeline|All&amp;nav3=319676</t>
  </si>
  <si>
    <t>https://factmaps.sodir.no/factmaps/3_0/?run=PipelineByNPDID&amp;NPDID=319676</t>
  </si>
  <si>
    <t>LINESTRING (2.822343823006944 60.48637755543986, 2.819238625765153 60.48484800357955, 2.813665724976562 60.479857741189896, 2.808083035005395 60.4708353241696, 2.7743733532336714 60.426884210607554, 2.769288655486858 60.418266815857464, 2.7639560916682613 60.406940314340716, 2.763056340901885 60.40166010082124, 2.7637721686916965 60.36695678264522, 2.7410110002419406 60.24163470737024, 2.7377857592785984 60.20567229552815, 2.7361920219092952 60.19967204661943, 2.7335121839510212 60.1950178351767, 2.7171408357347637 60.173150793831624, 2.697875298776772 60.13380805114621, 2.6810709577248892 60.111498988650624, 2.616570054261434 59.99485473810632, 2.600937598949472 59.97532279851361, 2.5480828847363655 59.92017503629881, 2.539068154779294 59.90975652712506, 2.5158026657739625 59.88653535214452, 2.4323727999958678 59.79714091136518, 2.4096613258737816 59.773862743539425, 2.344849065194971 59.70257723063006, 2.22451758480264 59.60422599639641, 2.2207947473367002 59.5988577472748, 2.217991212273688 59.58792130090927, 2.2196314968334367 59.583118141585814, 2.2238303654890808 59.57899054577102)</t>
  </si>
  <si>
    <t>40" Gas SLEIPNER R, ZEEPIPE-SCP</t>
  </si>
  <si>
    <t>SLEIPNER R</t>
  </si>
  <si>
    <t>https://factpages.sodir.no/factpages/default.aspx?nav1=tuf&amp;nav2=PageView|Pipeline|All&amp;nav3=321002</t>
  </si>
  <si>
    <t>https://factmaps.sodir.no/factmaps/3_0/?run=PipelineByNPDID&amp;NPDID=321002</t>
  </si>
  <si>
    <t>LINESTRING (1.9142427095681973 58.36433032603462, 1.9325662409974538 58.35484203840274, 1.9383805703393375 58.35107197459627, 1.9424888806748513 58.34671386773139, 1.9449812056533624 58.341085694095156, 1.970671140474452 58.13787262731023, 1.9752390931634245 58.11947801762247, 1.981700928385055 58.10478856646904, 2.245581814718489 57.69117015492063, 2.3658071271879457 57.499570779190925, 2.3741999473645032 57.485356374850504, 2.3795475900494063 57.47343301513901, 2.384748472606545 57.45569144648078, 2.386056818606071 57.448269198077185, 2.386807334780063 57.436431785715754, 2.3879938720058878 57.11073225022503, 2.3896694363859385 57.0980398223435, 2.392008889227447 57.08848351336151, 2.397247609430104 57.07424207430163, 2.4029292093403565 57.06321075401834, 2.409104777729052 57.05325747783625, 2.501740509576659 56.922617998708745, 2.6511859669155684 56.70921231406008, 2.8622844625760844 56.4037601905823, 3.173341099334298 56.154666255428225, 3.256047779649187 56.087728921156234, 3.27241276731688 56.0728065993516, 3.2829104822914283 56.06106731816471, 3.293914347963523 56.04566691669549, 3.3926842547100544 55.87605124048241, 3.4034303067295473 55.85522565140453, 3.407505830773987 55.84395231217095, 3.411067525083488 55.82772479693309, 3.412093027230579 55.81489936883415, 3.411451470212081 55.80250093593298, 3.3610944256035946 55.35804419000616, 3.298404019965438 54.78877631323162)</t>
  </si>
  <si>
    <t>30" Gas SLEIPNER R, DRAUPNER S</t>
  </si>
  <si>
    <t>ZEEPIPE I</t>
  </si>
  <si>
    <t>DRAUPNER S</t>
  </si>
  <si>
    <t>https://factpages.sodir.no/factpages/default.aspx?nav1=tuf&amp;nav2=PageView|Pipeline|All&amp;nav3=321036</t>
  </si>
  <si>
    <t>https://factmaps.sodir.no/factmaps/3_0/?run=PipelineByNPDID&amp;NPDID=321036</t>
  </si>
  <si>
    <t>LINESTRING (1.9143993643152986 58.364468438442366, 1.9173904614043764 58.36293314114221, 2.002333380060846 58.32729991768154, 2.2304039685719563 58.251683041865476, 2.2683414693356005 58.241147135854945, 2.4627678978090968 58.19033356020892)</t>
  </si>
  <si>
    <t>36" Gas H-7 BP, EMDEN</t>
  </si>
  <si>
    <t>H-7 BP</t>
  </si>
  <si>
    <t>EMDEN</t>
  </si>
  <si>
    <t>https://factpages.sodir.no/factpages/default.aspx?nav1=tuf&amp;nav2=PageView|Pipeline|All&amp;nav3=321784</t>
  </si>
  <si>
    <t>https://factmaps.sodir.no/factmaps/3_0/?run=PipelineByNPDID&amp;NPDID=321784</t>
  </si>
  <si>
    <t>LINESTRING (6.039301167830125 54.50510521442703, 6.04343482142148 54.5020348229678, 6.069416034794971 54.48550955583884, 6.084983805487862 54.474250350345805, 6.102828607588238 54.463839198286756, 6.117974362229504 54.452713992650715, 6.13477813960399 54.4422088259877, 6.142297520862314 54.43647171675608, 6.2393021009702485 54.37271865069528, 6.263970230829005 54.357532413852404, 6.36868917207517 54.28828624888128, 6.411518815572208 54.24025711608296, 6.455716602766651 54.18861187908468, 6.471372466295029 54.1741785695788, 6.4953016272830375 54.1571162627455, 6.532534557694476 54.12657765287666, 6.541851068552621 54.11803847050697, 6.561061011429534 54.103927210582434, 6.567266364932028 54.09780707479565, 6.593451676482341 54.07769269141038, 6.6241972689033926 54.05235118420208, 6.629778533634648 54.04852311774389, 6.638859036225852 54.0399919332903, 6.650509597102145 54.03172578546046, 6.693986822268945 53.99658009153512, 6.699295186134762 53.989318908507926, 6.738751332391408 53.92095007321798, 6.769575828616295 53.86603759216567, 6.773168176681616 53.857768358013395, 6.781254715593925 53.84707909248904, 6.8111351374293925 53.793471647100766, 6.815213404218818 53.78821651787531, 6.818527704221049 53.78123032345002, 6.830414610418238 53.761690807986554, 6.855169663143446 53.71547555376438, 6.879996546110087 53.67473548162355, 6.899916670264981 53.65468803701827, 6.959918524930978 53.64468535132143, 6.98991990651654 53.624685015990714, 7.023203537569012 53.532822361582674, 7.023208907913416 53.35327650078332, 7.18802338147323 53.34547799895728)</t>
  </si>
  <si>
    <t>16" Gas HEIDRUN, TJELDBERGODDEN</t>
  </si>
  <si>
    <t>Haltenpipe</t>
  </si>
  <si>
    <t>HALTENPIPE</t>
  </si>
  <si>
    <t>1996-11-11</t>
  </si>
  <si>
    <t>HEIDRUN</t>
  </si>
  <si>
    <t>TJELDBERGODDEN</t>
  </si>
  <si>
    <t>https://factpages.sodir.no/factpages/default.aspx?nav1=tuf&amp;nav2=PageView|Pipeline|All&amp;nav3=321818</t>
  </si>
  <si>
    <t>https://factmaps.sodir.no/factmaps/3_0/?run=PipelineByNPDID&amp;NPDID=321818</t>
  </si>
  <si>
    <t>LINESTRING (7.318461614481368 65.32122893713415, 7.33375038472155 65.29709952234711, 7.342616905821159 65.26454325563815, 7.344963280655608 65.2602561028032, 7.367660621767677 65.23783942692732, 7.385516296886071 65.22264899819167, 7.401175107897205 65.20419340615602, 7.406209827507114 65.19619712904372, 7.40772828858302 65.19013189174659, 7.4088975774649715 65.141446857907, 7.410777959032364 65.13674668246688, 7.426424443487452 65.10796765719465, 7.427825752361944 65.10408351048218, 7.425443574304631 65.06012963610573, 7.425746043468031 65.0531933484176, 7.4277603980797915 65.04893619339387, 7.438773788007536 65.03395969431806, 7.452420012638636 65.00772875402608, 7.476404854147889 64.97776677911867, 7.507181895650361 64.94843091054678, 7.549120466610453 64.91710408964857, 7.60010138081955 64.87001371434754, 7.700126342589819 64.7874464280769, 7.730683778483152 64.76676991993347, 7.751961599436766 64.75038948313744, 7.756096006608244 64.74636836321, 7.765864182371249 64.73351293960609, 7.769806582593431 64.72948381712425, 7.8705285453406155 64.6458794964991, 7.875757208415027 64.63838724441732, 7.88062733940962 64.62327266996131, 7.878184772761367 64.56735430818667, 7.886951394030519 64.51464021220487, 7.898730482147897 64.48801323945713, 7.919053446953454 64.46823665147153, 7.9364767703431065 64.4570523877346, 7.955341975480427 64.4485912540606, 7.961147401576005 64.44509617579943, 7.97434892438393 64.42821262583018, 7.978707353155376 64.42382549368612, 7.984853819665085 64.41986540002168, 8.019306161912022 64.40204305699409, 8.02304548646333 64.39896797228431, 8.025299772604406 64.39564886024691, 8.026123042965356 64.39175070757322, 8.0241482885044 64.38662347141741, 8.010417888454105 64.36889957536586, 7.987659411679648 64.34714640756367, 7.976180357611858 64.32508135760904, 7.936844801135091 64.2786239725429, 7.9336560032435965 64.27346572145696, 7.932839184883897 64.27002456913378, 7.932525803723988 64.24338945995622, 7.928931163728447 64.21902040728779, 7.925838675596399 64.17597358649213, 7.910202589553781 64.11878103601508, 7.9018156373933275 64.07998333284952, 7.892640169997592 64.06576163824302, 7.891353380606096 64.06151244755924, 7.892085615901836 64.05804031238522, 7.898415776518347 64.04249874272394, 7.901770140128716 64.03843261333964, 7.910751920095415 64.03075739976117, 7.913635334608082 64.02556121822086, 7.9114545337311935 64.00430431422303, 7.911684834553827 63.99942511521379, 7.9271781199789615 63.953689404546616, 7.930276493915641 63.882088484832835, 7.9314948170773345 63.877369304218654, 7.9456583044739135 63.8438260843078, 7.9485754209819275 63.82668541136421, 8.014146328901868 63.73146724474912, 8.016867016750195 63.721350859713, 8.023995364445506 63.68545646503024, 8.023137971393066 63.674535006049084, 8.024584281366359 63.67008683977663, 8.027881609660923 63.6664357275623, 8.032304933759816 63.66353265904695, 8.064570850621257 63.65002047424687, 8.071871374258505 63.6454123686585, 8.074622661453931 63.64212826525954, 8.08267677825767 63.627749766792334, 8.088686479053655 63.602030779109846, 8.090759801750933 63.5977086253672, 8.095040184145413 63.593687509315515, 8.120231116193356 63.575502051381115, 8.137944832607504 63.556481473492774, 8.143763268761552 63.55244137431004, 8.169243961207581 63.538510094307675, 8.181821936657444 63.529186855669124, 8.204339130842309 63.52209482226327, 8.215482037530451 63.5130765796763, 8.22118644041582 63.5095254992079, 8.222504682554916 63.50610337389011, 8.220155815068441 63.50235719336815, 8.219334960262273 63.4993210594475, 8.222454590226812 63.490218721780444, 8.22249471732553 63.48802163213538, 8.22595911803635 63.48313047115122, 8.226366482697806 63.47700022443827, 8.225160691760237 63.47260503045262, 8.22135378250558 63.468690826475765, 8.215723814361628 63.46469359827076, 8.216969153636445 63.459512400119735, 8.213539450475835 63.45221506183149, 8.212537710879966 63.447037838210036, 8.216846189296055 63.441281651562925, 8.221750514206594 63.43858059691844, 8.223608693512942 63.43657053578532, 8.22445786593525 63.43406344276229, 8.22291410538334 63.428914214160336, 8.224226297491454 63.42634312381759, 8.227801569100036 63.42376005883688, 8.237751154758561 63.41956000041071, 8.239614306928777 63.41802595884608, 8.241980655089115 63.41335279444594, 8.25004618450378 63.40898170748901, 8.261956814227872 63.40520068856975, 8.275210364968512 63.403633775617074, 8.321824054625365 63.402489260252025, 8.364242678574907 63.39993763894423, 8.380554192771372 63.40090686434077, 8.426282751084656 63.40157541196985, 8.580092933470421 63.422734025411216, 8.605075485155812 63.428460543335675, 8.621436019493126 63.42915075697243, 8.635306614573272 63.42722083490548, 8.644621114941899 63.42413881397204, 8.650306483129674 63.421143755510485, 8.66359056544714 63.41019945709756, 8.663484714468837 63.40748734470943, 8.656598515467143 63.39855586322732)</t>
  </si>
  <si>
    <t>16" Gas HEIDRUN, NORNE/HEIDRUN T</t>
  </si>
  <si>
    <t>Heidrun Gasstransport</t>
  </si>
  <si>
    <t>HEIDRUN GASSTRANSPORT</t>
  </si>
  <si>
    <t>https://factpages.sodir.no/factpages/default.aspx?nav1=tuf&amp;nav2=PageView|Pipeline|All&amp;nav3=321852</t>
  </si>
  <si>
    <t>https://factmaps.sodir.no/factmaps/3_0/?run=PipelineByNPDID&amp;NPDID=321852</t>
  </si>
  <si>
    <t>LINESTRING (7.30529174068814 65.32450341419975, 7.283737651811677 65.33118841253551, 7.273684968921583 65.3327752744454, 7.262379175487817 65.33343892657577, 7.250969020613213 65.33308019434197, 7.242131075424988 65.33189748381434, 7.232185471584411 65.32960845151834, 7.224096314871682 65.3265717286911, 7.216041632783841 65.32143683384581, 7.156886937793015 65.26390044515261, 7.151290788605242 65.26068826855959, 7.119775422191403 65.24720618721375, 7.09995481299845 65.23525781718993, 7.073067683037729 65.2164197304961, 7.062554767117117 65.20494451304654, 7.025891635826097 65.17199896750274, 6.962672305985938 65.13447527750131, 6.951348568538194 65.1254797080535, 6.9360850909654514 65.11601868022859, 6.907900959890361 65.10363531797788, 6.870002008286876 65.08922996514312, 6.86183174642369 65.08680361900635, 6.84569703983327 65.08470525470928, 6.799675372884323 65.08422403378502)</t>
  </si>
  <si>
    <t>36" Gas HEIMDAL, DRAUPNER S</t>
  </si>
  <si>
    <t>1985-10-15</t>
  </si>
  <si>
    <t>HEIMDAL</t>
  </si>
  <si>
    <t>https://factpages.sodir.no/factpages/default.aspx?nav1=tuf&amp;nav2=PageView|Pipeline|All&amp;nav3=322464</t>
  </si>
  <si>
    <t>https://factmaps.sodir.no/factmaps/3_0/?run=PipelineByNPDID&amp;NPDID=322464</t>
  </si>
  <si>
    <t>LINESTRING (2.2328500878055273 59.57017269735443, 2.23985604363817 59.56336765873878, 2.244217542088986 59.5557764296348, 2.245650848274539 59.5504062464957, 2.244821296122599 59.540891879082615, 2.230474830359906 59.501735228287316, 2.229731228202462 59.49325390106795, 2.2377276344280794 59.40822882103771, 2.245642478762275 59.33415115434442, 2.258623104496853 59.163727969454506, 2.3315714689888742 58.84154795405019, 2.4294717557257828 58.3968938469033, 2.47123769269886 58.202565279912484, 2.471891052123577 58.194968011495014, 2.471877023541268 58.193846915382665)</t>
  </si>
  <si>
    <t>18" Gas HEIMDAL HRP, GRANE</t>
  </si>
  <si>
    <t>Grane Gassrør</t>
  </si>
  <si>
    <t>GRANE GASSRØR</t>
  </si>
  <si>
    <t>2003-09-23</t>
  </si>
  <si>
    <t>GRANE</t>
  </si>
  <si>
    <t>https://factpages.sodir.no/factpages/default.aspx?nav1=tuf&amp;nav2=PageView|Pipeline|All&amp;nav3=322498</t>
  </si>
  <si>
    <t>https://factmaps.sodir.no/factmaps/3_0/?run=PipelineByNPDID&amp;NPDID=322498</t>
  </si>
  <si>
    <t>LINESTRING (2.2335530002846897 59.5705101974623, 2.2423881391298455 59.562872672494805, 2.245681420660527 59.55905457129581, 2.3066871627643484 59.45705752671195, 2.311907682740358 59.44944730831283, 2.48597241329532 59.288177492300726, 2.496703205668375 59.27799924848552, 2.4998784866522508 59.274024140400456, 2.50221181584029 59.26856496628287, 2.5021631339348036 59.26195771917296, 2.488068608799875 59.2232680979675, 2.4851710170766546 59.213123683218605, 2.485689447922298 59.16914939567933)</t>
  </si>
  <si>
    <t>32" Gas HEIMDAL HRP, ST.FERGUS</t>
  </si>
  <si>
    <t>Vesterled</t>
  </si>
  <si>
    <t>ST.FERGUS</t>
  </si>
  <si>
    <t>https://factpages.sodir.no/factpages/default.aspx?nav1=tuf&amp;nav2=PageView|Pipeline|All&amp;nav3=322532</t>
  </si>
  <si>
    <t>https://factmaps.sodir.no/factmaps/3_0/?run=PipelineByNPDID&amp;NPDID=322532</t>
  </si>
  <si>
    <t>LINESTRING (2.2202473573918815 59.57783967183809, 2.213110145821148 59.586505185399375, 2.2090428595053697 59.58997326360567, 2.2036405609711798 59.59293330568482, 2.196248231438083 59.59539430359397, 2.1076767355094486 59.61577593579078, 1.892148383191021 59.662256916267815, 1.8686005693835466 59.66536973041592, 1.6975387338296093 59.665569865300974, 1.6831364283988641 59.66373461491118, 1.6598311441374147 59.65651605117658, 1.6453758509564007 59.65441078997169, 1.593876402048782 59.65512316535473, 1.3388839574971945 59.644319530452385, 1.3172924464504985 59.64274019732987, 1.3034661832042396 59.64044093600193, 1.2888270405125861 59.63526555721629, 1.275946993638028 59.62912716493873, 1.227021947491085 59.60316157647706, 1.1018826953811245 59.53954861931261, 1.0540187016902205 59.51317203041842, 0.9794605757691631 59.47487265955311, 0.9573386694100628 59.46085785803094, 0.9320746052027312 59.44833207170136, 0.920640634619756 59.44147667191718, 0.8589015465220349 59.409496700105336, 0.8229185508269315 59.3897395097975, 0.7851044617595276 59.37089433003002, 0.7497104930288491 59.35092914002913, 0.7241494152128038 59.33856435660639, 0.6901685166677063 59.31795216121357, 0.5770822616547027 59.2615266334141, 0.5542183226036714 59.24782883606125, 0.4936632942537729 59.215453868499694, 0.481207117030582 59.212312593249784, 0.4694242841062991 59.20247808048807, 0.385526289112243 59.156775324753, 0.3122402285417055 59.11823196923259, 0.2417153037520088 59.07842960397774, 0.2173042843230545 59.065597820145435, 0.170126331326679 59.039066242166136, 0.1330152750052743 59.020134072110984, 0.122082327754823 59.01312567512611, 0.0973822937674088 59.00046089420657, 0.062171334466901 58.980570714064996, 0.0378013142044246 58.96781193421993, 0.0154213978828332 58.95398014094601, -0.0210596252712475 58.9347459690009, -0.1035645520256901 58.888676225770865, -0.1279315703189976 58.875908446394696, -0.1405596001721058 58.86971705801825, -0.1541176895676767 58.86426368452727, -0.1696679120163416 58.860505347027235, -0.1866042816194448 58.859063075901496, -0.238566711430342 58.860806468203066, -0.2557420481727264 58.85856716476681, -0.2705122042891571 58.85387280306291, -0.2810261340049247 58.84676440857481, -0.2868728814544138 58.8383750278851, -0.2881913800601565 58.827240606003315, -0.2881159532070142 58.818399285591674, -0.2844744263507468 58.809388005157906, -0.2664202166116006 58.79389267541945, -0.2601226583915484 58.785639456957874, -0.2584101822872721 58.77662315161027, -0.2612988321109742 58.76775079213963, -0.2688686351587294 58.759552396756874, -0.2943871769998281 58.73620722004678, -0.3404255576303238 58.69840525474867, -0.3820307543170144 58.659108293886945, -0.3913326319190398 58.65151989901583, -0.3986804324318998 58.6433635088986, -0.4075992947129852 58.63565711481705, -0.4317377813943648 58.61183394128526, -0.4663431963769648 58.58083837385867, -0.4734679918011188 58.57267898705184, -0.4985645190484822 58.54915881345012, -0.5140471541792587 58.533094033599255, -0.5484795637698059 58.50202346794374, -0.5723430435823799 58.47812429817116, -0.5896767548371443 58.462646516567496, -0.6804219899920044 58.37614223164384, -0.6877357937522424 58.36801084496164, -0.6961886401020856 58.36017145408073, -0.7029634222609754 58.35186606825326, -0.7209651597740258 58.3365452854398, -0.7464507086123305 58.31314711631274, -0.762334370148448 58.297332343766456, -0.7769749805989323 58.28108757214901, -0.803288564892802 58.25797240363942, -0.8316332312040565 58.23551223274387, -0.8483049185722394 58.21979845474771, -0.8674767095817217 58.20495867582902, -0.9106149973982574 58.166347737522834, -0.9293727707086918 58.15133895865967, -0.9396846954952819 58.144152568556414, -0.9669593233325505 58.12140440358425, -1.009752596873753 58.082613466323004, -1.0379632658756004 58.06022830342417, -1.0560160132824972 58.04501652793785, -1.0639128430609064 58.03706614267347, -1.1364568482042594 57.97633004294208, -1.1523065118255988 57.960462273949055, -1.1714423042153155 57.94562049894077, -1.1886140206768858 57.930180728424446, -1.2246665202406826 57.899820184262, -1.250352092874894 57.87663302952878, -1.3043513404642826 57.83105071545151, -1.311811832857413 57.81590308307419, -1.321379053371838 57.81557794730331, -1.3293618885994363 57.8076605638179, -1.3576309639108244 57.78533900220265, -1.3653897929060732 57.777352618738234, -1.4013863053338729 57.74700407745753, -1.435749754615652 57.71614154011591, -1.453965522418392 57.701090771770154, -1.4886269854933374 57.67034423598293, -1.4968377416767902 57.66048278139606, -1.50647873777079 57.655138467553265, -1.5156266230475965 57.64761508333423, -1.5324263347914897 57.632081317359294, -1.5763916919416878 57.593876400001776, -1.58702264551911 57.58705102147636, -1.6127367551497698 57.57546427918638, -1.6293090606958565 57.57320898412036, -1.6462534776693738 57.57322476403093, -1.6793153934165583 57.575527414314244, -1.7613957871039314 57.583943640017424, -1.7778851767285884 57.58362341359304, -1.7943885140631364 57.58214314615699, -1.8269691252251694 57.5780205758784)</t>
  </si>
  <si>
    <t>28" Gas KÅRSTØ, DRAUPNER S</t>
  </si>
  <si>
    <t>https://factpages.sodir.no/factpages/default.aspx?nav1=tuf&amp;nav2=PageView|Pipeline|All&amp;nav3=323042</t>
  </si>
  <si>
    <t>https://factmaps.sodir.no/factmaps/3_0/?run=PipelineByNPDID&amp;NPDID=323042</t>
  </si>
  <si>
    <t>LINESTRING (5.184843019862938 59.332944946012596, 5.1721116061208035 59.33306494487901, 5.144263628879562 59.33673375691488, 5.124668074497887 59.336345513048634, 5.1123957957468855 59.33457830306812, 5.100981592434936 59.33168906099436, 5.092434488491649 59.32844983934513, 5.084326445327226 59.324141582720564, 5.011221030543739 59.263552454404476, 4.983416078637286 59.2444064113127, 4.944027402122258 59.211565720125634, 4.937121562006698 59.20349333711618, 4.909381863374926 59.15623324477502, 4.904403954942874 59.150935988453654, 4.898064995936392 59.14589072560349, 4.884033921157646 59.13844828298742, 4.59043624892652 59.030818817201904, 4.222598904595299 58.89439846347256, 4.1198924828060655 58.8616759869584, 4.107117378932639 58.85602061994826, 4.076039320786786 58.838013569270025, 4.064622221192284 58.83311324704139, 3.9369955361262035 58.79098311454787, 3.881601019441824 58.768067583074156, 3.8710728912129406 58.76437531659266, 3.857342672732184 58.7606860107883, 3.812813821495397 58.751868135503386, 3.7849104369265576 58.74309546660859, 3.759860304463947 58.730564693706114, 3.733454011337372 58.72073000393956, 3.7239709692063836 58.715815705065225, 3.7176270188369536 58.71082144197623, 3.69724138621323 58.690206427808896, 3.6909634569632295 58.68478714992594, 3.6203387198985566 58.63553445799982, 3.606141673311473 58.6278249979919, 3.375629924075715 58.54693916387834, 3.0363966599579015 58.412026993851455, 2.7495043400351014 58.31157773939249, 2.589499556574674 58.254562656641916, 2.574057461424373 58.247371201014936, 2.4784758508557214 58.19158092983042)</t>
  </si>
  <si>
    <t>40" Gas KOLLSNES, SLEIPNER R</t>
  </si>
  <si>
    <t>Zeepipe II A</t>
  </si>
  <si>
    <t>https://factpages.sodir.no/factpages/default.aspx?nav1=tuf&amp;nav2=PageView|Pipeline|All&amp;nav3=323076</t>
  </si>
  <si>
    <t>https://factmaps.sodir.no/factmaps/3_0/?run=PipelineByNPDID&amp;NPDID=323076</t>
  </si>
  <si>
    <t>LINESTRING (4.837005844956142 60.54485553637879, 4.795850487918225 60.52682286614312, 4.686804118520753 60.48796707228162, 4.674613046217023 60.48198569702206, 4.665468092189737 60.47545533706807, 4.657699296478629 60.4665349018217, 4.649790792570581 60.451565232811284, 4.645554948502338 60.44578696049628, 4.611286597477308 60.41154123770174, 4.465852309758188 60.28737374569085, 4.426457931495699 60.250443863299445, 4.379121407267921 60.21265018021663, 4.301686453516901 60.14574966033689, 4.262572814435279 60.115298011393826, 4.221062716990422 60.072511862448735, 4.186763039599055 60.04565841222037, 4.143177652817658 60.007419413277454, 4.121650075688167 59.98609633357808, 4.081192502454091 59.95345058818797, 4.015473742331071 59.889288331569276, 3.9597130758262993 59.84941412401974, 3.8511367913467915 59.74996200259428, 3.8210041361559113 59.72501868327119, 3.7105140745527105 59.619608323156974, 3.6993843344704875 59.60764373292337, 3.681831486103405 59.594096003066966, 3.6606117985380537 59.575050020318415, 3.622996013686165 59.54827654228619, 3.618001118850998 59.54313728637788, 3.6078465014972076 59.529192634486535, 3.6007626138551805 59.52266130019604, 3.586174609658584 59.51408879552411, 3.5420962276229564 59.49585155930575, 3.5307120942248122 59.49186526726899, 3.4905533737398677 59.48299743240007, 3.43352416964436 59.47419338892111, 3.3795343938290343 59.45835911874315, 3.3069670452149658 59.44347965163291, 3.2764666697412266 59.43328488683194, 3.266221607660197 59.428536580229235, 3.257349615971988 59.423139266479275, 3.203269919203551 59.38500715820529, 3.096108994359974 59.29956661410607, 3.0101937397097114 59.23345406434842, 2.884989049518236 59.13235772054264, 2.4740776566508633 58.793230970703654, 2.135442585118323 58.50987227341342, 2.037537313522119 58.436609353552484, 1.9597761898816142 58.39368780062553, 1.9167101890031402 58.37189828757291)</t>
  </si>
  <si>
    <t>40" Gas KOLLSNES, DRAUPNER E</t>
  </si>
  <si>
    <t>Zeepipe II B</t>
  </si>
  <si>
    <t>DRAUPNER E</t>
  </si>
  <si>
    <t>https://factpages.sodir.no/factpages/default.aspx?nav1=tuf&amp;nav2=PageView|Pipeline|All&amp;nav3=323110</t>
  </si>
  <si>
    <t>https://factmaps.sodir.no/factmaps/3_0/?run=PipelineByNPDID&amp;NPDID=323110</t>
  </si>
  <si>
    <t>LINESTRING (4.837025274409104 60.54484442710732, 4.79600849605688 60.52675386537289, 4.690991214533179 60.48857014542534, 4.6821241479705815 60.48450388340246, 4.673907149960307 60.47943759074207, 4.668573217985461 60.47478734849486, 4.66269036747969 60.46813802296197, 4.652342027056966 60.44833413928146, 4.649158154338903 60.443783926664466, 4.643041280999307 60.437450610633384, 4.466644359831789 60.286826734256806, 4.428376969158718 60.25084090142899, 4.385823400967716 60.2167524203511, 4.354990974265948 60.18698489851258, 4.346875196419158 60.17771844327391, 4.34214141714632 60.1704851077982, 4.33862569450566 60.16283677157122, 4.324577184049836 60.12458113436963, 4.319476461062018 60.115978742349824, 4.310644715260088 60.10561423685227, 4.252128572150049 60.05355952400782, 4.217262219292567 60.019759802454665, 4.182745985828416 59.98372400097168, 4.10426452481343 59.90580506165865, 4.049182120887763 59.86089967140761, 4.007965963559841 59.819183575907054, 3.9553672099143466 59.76238076865995, 3.843169399478807 59.65057714348066, 3.8118697620802036 59.62445676754688, 3.7794875792224025 59.58828799948678, 3.7712536862200463 59.581169628505464, 3.7331379958438973 59.552054056336736, 3.6605392860544788 59.482031515384385, 3.6499055231216375 59.47076595911007, 3.613140732566613 59.42366373029706, 3.565774565640968 59.37802642638211, 3.5358253363229917 59.3440397781186, 3.5020587040709485 59.31619131331672, 3.4735430737724835 59.29142503003164, 3.442843638941023 59.26123751712624, 3.415627017542261 59.237035272272855, 3.408494200763847 59.22892187989936, 3.386511036561653 59.1981854568201, 3.3802952074974892 59.19086810590249, 3.2365810797353984 59.0441928431422, 3.2144813545966504 59.02514185831441, 3.1563155348216227 58.96522490460437, 3.1489326981461896 58.95732451895713, 3.1331331773149595 58.937639590736126, 3.047051935534112 58.84848220946802, 3.029035216554176 58.83166636164083, 3.0150684984097227 58.81724965346932, 2.7397912445553745 58.527867541119114, 2.6696427329639922 58.4532489247847, 2.6523601942368003 58.43276695773868, 2.4603803281927266 58.22634000965597, 2.4572644715163023 58.22128878655949, 2.455714634636524 58.21673760134398, 2.4553308374927534 58.212003424109895, 2.4560150533702836 58.20762027307384, 2.457598285939934 58.20340513944662, 2.460565572392319 58.19882300982814, 2.4662345008783793 58.193068517562985)</t>
  </si>
  <si>
    <t>42" Gas KÅRSTØ, EMDEN</t>
  </si>
  <si>
    <t>Europipe II</t>
  </si>
  <si>
    <t>1999-10-01</t>
  </si>
  <si>
    <t>https://factpages.sodir.no/factpages/default.aspx?nav1=tuf&amp;nav2=PageView|Pipeline|All&amp;nav3=323212</t>
  </si>
  <si>
    <t>https://factmaps.sodir.no/factmaps/3_0/?run=PipelineByNPDID&amp;NPDID=323212</t>
  </si>
  <si>
    <t>LINESTRING (7.32514696267687 53.678990373954015, 7.4018391191549755 53.6736910140084, 7.457720037063928 53.69159219597222, 7.3912040184029255 53.80023307253265, 7.385839745862257 53.804597159626695, 7.376585359132399 53.80937321896535, 7.207379156798347 53.86794435123968, 7.196257682974817 53.873948430963466, 7.189033325096543 53.87948353680844, 7.1828019512158905 53.88638469845168, 7.179239668743901 53.892571865029815, 7.07287915992026 54.238568222291235, 6.954123952986654 54.618748694382255, 6.951744735480611 54.62355083050632, 6.9475274407248255 54.629238976605, 6.91435341083016 54.66494882157537, 6.844013037278041 54.77318271501995, 6.82572387531898 54.79395421902926, 6.822869642321458 54.798776351217526, 6.82105105899166 54.81517188666376, 6.817557502901281 54.82935532914016, 6.8184742056092515 54.83919367254637, 6.822799022993953 54.84828902798043, 6.851084508911495 54.88695264766349, 6.853805318302932 54.89497494962288, 6.853867156811409 54.8999491191781, 6.852907985843898 54.90438225926019, 6.762586539463472 55.14724854526278, 6.732610119020615 55.225489892557896, 6.7192063448907815 55.2675981877146, 6.659437622153171 55.41888172462993, 6.55948781700785 55.68425977905299, 6.376442937430352 56.163945446675825, 6.366990912207593 56.18532809009322, 6.29007689498581 56.37653394351937, 6.2266440960601335 56.5419370636239, 6.153750360678373 56.72334266488432, 6.144533402332305 56.742187229560564, 6.136373445064696 56.76175383205678, 6.124713422188593 56.78046136477, 6.117670442948578 56.801375028289215, 6.112261406836086 56.82496880591513, 6.045868384363048 56.988414877144784, 6.029937475492769 57.0268990706172, 6.027259235876948 57.03122819487978, 6.019634679573686 57.04025043069543, 6.0164003707718985 57.045980598748336, 6.01129617661792 57.073485524093144, 6.006053392813598 57.090137060133635, 5.882265323070877 57.389813406797785, 5.843181573649857 57.48274231021467, 5.787723210177421 57.578864147378475, 5.744195143467337 57.70012603894833, 5.743078892679234 57.70559322438704, 5.7430824558562765 57.71647661920235, 5.74153615304275 57.72293083557926, 5.713664200236187 57.776762469129466, 5.705743181431557 57.8094292930658, 5.702134676544558 57.81916460592942, 5.671704604767221 57.87246119397898, 5.666207992134112 57.88345153086098, 5.663974538366843 57.8928358476163, 5.661309827761735 57.91690221334874, 5.659574547773731 57.92263240230303, 5.634282228764614 57.962359561519165, 5.626826441051245 57.97661599626146, 5.6015447869922745 58.04900234957891, 5.498052523352002 58.276132480791766, 5.44886896626917 58.400045469897265, 5.33373284953689 58.63294373411097, 5.27303743191979 58.76560394442499, 5.255784732723547 58.83989350175517, 5.253779094368541 58.85331797723998, 5.253486657785566 58.86321034148343, 5.256935376568359 58.964048133727054, 5.260937900080833 58.97762868624936, 5.3341410520985 59.13667047515026, 5.336396470526604 59.15135705078712, 5.337335211527728 59.1805031525413, 5.338832006547012 59.18612938060962, 5.341812890901496 59.19071158688051, 5.346003841716669 59.194587780810494, 5.351645846687613 59.19819598159988, 5.359979924926262 59.20192321817846, 5.45263349810432 59.22752925491493, 5.460363677174937 59.228590384492115, 5.49151883392187 59.245650386055004, 5.495891764726569 59.250106603985515, 5.500656462097981 59.260094034013406, 5.511409601642026 59.27158221781404)</t>
  </si>
  <si>
    <t>36" Gas B-11, H-7 BP</t>
  </si>
  <si>
    <t>https://factpages.sodir.no/factpages/default.aspx?nav1=tuf&amp;nav2=PageView|Pipeline|All&amp;nav3=324844</t>
  </si>
  <si>
    <t>https://factmaps.sodir.no/factmaps/3_0/?run=PipelineByNPDID&amp;NPDID=324844</t>
  </si>
  <si>
    <t>LINESTRING (4.555543700984773 55.458301808769356, 4.650384162399258 55.39868748851234, 4.8079166879876665 55.30126396665721, 4.8192652574455925 55.29343082925558, 4.936497867206868 55.22004066589839, 5.034094569035456 55.15764765311913, 5.045064058330728 55.1517475770384, 5.115123448024602 55.1062918272438, 5.124404923711334 55.09948070115307, 5.178745507185681 55.06540515960004, 5.191610074909951 55.05860507429792, 5.2905348748623675 54.99341198121595, 5.345942518048307 54.958061408333, 5.363632327437174 54.947769259017264, 5.3856224342494965 54.93198597237713, 5.414015721189716 54.91578274335029, 5.435746821952378 54.89993245156406, 5.463482103050209 54.883346202176995, 5.483977127802918 54.86875193897939, 5.529157276279768 54.839806467663415, 5.5381547380845335 54.8330203393477, 5.580245669092001 54.80807796844945, 5.6045830002358406 54.78720253654166, 5.631781399446805 54.766480141792954, 5.673997750851817 54.72883234475741, 5.694370789990234 54.71350105569486, 5.718775089698997 54.693448652761596, 5.727820610078458 54.68483946389196, 5.741073303883913 54.67428925655231, 5.750004819224051 54.66572806808691, 5.7835066402528605 54.636955473548426, 5.831677707560235 54.6122221773034, 5.867968296463304 54.59259392057246, 5.887686107724785 54.58350183376937, 5.98067607740759 54.536121272780754, 5.9987348705370165 54.526215140109315, 6.028643076035905 54.51153546562834)</t>
  </si>
  <si>
    <t>8.625" Gas BRAGE, BRAGE-T</t>
  </si>
  <si>
    <t>BRAGE</t>
  </si>
  <si>
    <t>OKEA ASA</t>
  </si>
  <si>
    <t>1993-09-23</t>
  </si>
  <si>
    <t>BRAGE-T</t>
  </si>
  <si>
    <t>https://factpages.sodir.no/factpages/default.aspx?nav1=tuf&amp;nav2=PageView|Pipeline|All&amp;nav3=325524</t>
  </si>
  <si>
    <t>https://factmaps.sodir.no/factmaps/3_0/?run=PipelineByNPDID&amp;NPDID=325524</t>
  </si>
  <si>
    <t>LINESTRING (2.8963509232204276 60.56011387499288, 3.0081770764843703 60.54330065370974, 3.0361264151934804 60.54281098835386)</t>
  </si>
  <si>
    <t>16" Gas DRAUGEN, DRAUGEN T</t>
  </si>
  <si>
    <t>Draugen Gasseksport</t>
  </si>
  <si>
    <t>DRAUGEN GASSEKSPORT</t>
  </si>
  <si>
    <t>2000-10-10</t>
  </si>
  <si>
    <t>DRAUGEN</t>
  </si>
  <si>
    <t>DRAUGEN T</t>
  </si>
  <si>
    <t>https://factpages.sodir.no/factpages/default.aspx?nav1=tuf&amp;nav2=PageView|Pipeline|All&amp;nav3=326068</t>
  </si>
  <si>
    <t>https://factmaps.sodir.no/factmaps/3_0/?run=PipelineByNPDID&amp;NPDID=326068</t>
  </si>
  <si>
    <t>LINESTRING (6.439513710701037 64.2329284780315, 6.449055151210916 64.23122552146818, 6.9889691272997645 64.16618923704642, 7.002129636522198 64.1654333609896, 7.062959750852773 64.16582309393723, 7.079793180607852 64.1684484007406, 7.315588528377448 64.21648815910106, 7.404876944904599 64.22853570382964, 7.7111336534916886 64.26379673831497, 7.742816609118542 64.26662022380145, 7.7583349842149065 64.26951952443925, 7.768576121988894 64.27321979697747, 7.777126085464185 64.27877412682054, 7.794889263285606 64.30243431539115, 7.799528206240841 64.30605051942663, 7.814497208966536 64.31468805195007, 7.818431088596768 64.31892227349209, 7.822468792099478 64.3260716173518, 7.822654557749491 64.32997778178854, 7.820946211228841 64.33460195407923, 7.813834552501298 64.34114814350907, 7.803842909263228 64.34577121958141, 7.789322217253073 64.35026182872208)</t>
  </si>
  <si>
    <t>40" Gas DRAUPNER E, EUROPIPE-SCP</t>
  </si>
  <si>
    <t>Europipe I</t>
  </si>
  <si>
    <t>1995-10-01</t>
  </si>
  <si>
    <t>EUROPIPE-SCP</t>
  </si>
  <si>
    <t>https://factpages.sodir.no/factpages/default.aspx?nav1=tuf&amp;nav2=PageView|Pipeline|All&amp;nav3=326340</t>
  </si>
  <si>
    <t>https://factmaps.sodir.no/factmaps/3_0/?run=PipelineByNPDID&amp;NPDID=326340</t>
  </si>
  <si>
    <t>LINESTRING (2.4628033065972583 58.187535644407276, 2.4552520524712187 58.184953438321706, 2.4452049867077155 58.180375145706634, 2.436617995005262 58.175027843433966, 2.429810080350187 58.16903554003433, 2.4242352589667133 58.16170720354026, 2.4216804587721366 58.15572095378309, 2.420763668776968 58.150490752095145, 2.426013302961221 57.79197297830305, 2.4273683651050777 57.744652296305, 2.4307660116249323 57.731640871117875, 2.5189763662906746 57.54282418963404, 2.525334834467185 57.53571501317608, 2.533882330387126 57.52932388902057, 2.626753808075191 57.48140630803102, 2.634996253186544 57.476003215383955, 2.6416436818262556 57.469978081185985, 2.892508614943398 57.19726841667463, 3.1808761081020624 56.87852461127476, 3.3815273271602124 56.652408055910364, 3.3877327714301955 56.645227877927695, 3.3940302923778023 56.63614363434331, 3.407040228398652 56.62094625631261, 3.488556990884267 56.527907966634345, 3.5023358534307882 56.514987678083074, 3.5316709132669435 56.48164286007732, 3.7483611486674855 56.23177571073057, 3.7531254465816257 56.227200607773526, 3.7643760649266835 56.218642442647905, 3.7697814095819724 56.21326931952618, 3.790266850389006 56.18931372836613, 3.839064504651688 56.126131109314514, 3.934679180445567 56.01437035940241, 4.162862090050761 55.74384669140317, 4.169082473425813 55.737766554617956, 4.174770772717963 55.73361347786694, 4.22120097485071 55.70629307727897)</t>
  </si>
  <si>
    <t>42" Gas DRAUPNER E, DUNKERQUE</t>
  </si>
  <si>
    <t>Franpipe</t>
  </si>
  <si>
    <t>1998-07-01</t>
  </si>
  <si>
    <t>DUNKERQUE</t>
  </si>
  <si>
    <t>https://factpages.sodir.no/factpages/default.aspx?nav1=tuf&amp;nav2=PageView|Pipeline|All&amp;nav3=326374</t>
  </si>
  <si>
    <t>https://factmaps.sodir.no/factmaps/3_0/?run=PipelineByNPDID&amp;NPDID=326374</t>
  </si>
  <si>
    <t>LINESTRING (2.462793932626184 58.187564308871586, 2.4407347681738827 58.18254916875378, 2.426581608721842 58.17758981075382, 2.4141335463681033 58.171497432927865, 2.4037985870977585 58.164382044429516, 2.3958257278646333 58.15645865623247, 2.3905159669324467 58.14794428002664, 2.3878312920834315 58.13908592432718, 2.3942545139056106 57.74391486502216, 2.387481133220786 57.46549682910719, 2.3888157116288666 57.11516541679584, 2.390744497161882 57.09724380729154, 2.396017361690176 57.07950824522029, 2.3998048184557836 57.07076898278174, 2.4097907794122495 57.05365550019906, 2.63990297551028 56.7267347917067, 2.8607632624317807 56.40789431612352, 2.867710756570045 56.39981411825243, 3.061844761120804 56.24502205988923, 3.24525613774847 56.09731012445693, 3.2632701670217603 56.082428823517695, 3.2789201643187957 56.06675446732257, 3.2857666484025527 56.0586242675889, 3.2971025757273944 56.04181282137616, 3.4010379791351397 55.86237586888284, 3.408059811401045 55.844858349797924, 3.410425202336356 55.83597407256406, 3.4120395757060216 55.82703578471101, 3.4127432600317906 55.809071176508034, 3.3431789865448183 55.19035530975019, 3.282337974893751 54.63431698371356, 3.1851965057591403 54.01682552402704, 3.135769926735322 53.694618487704055, 3.0911947458113174 53.26400114276598, 3.091156317275986 53.24603256896663, 3.0942339600355293 53.22816003421934, 3.2037699603857526 52.80179077223789, 3.2071115923871907 52.783934247959635, 3.207720884431341 52.77495397222961, 3.2074711561753078 52.765962686469784, 3.205415660530116 52.7480320991446, 3.174522790252268 52.5240867312607, 3.1739213229452417 52.506119163544994, 3.18474229895764 52.41647849224174, 3.184623839880268 52.39849993148289, 3.1584716876897474 52.183331965428664, 3.1555421524577936 52.16545238011896, 3.1498395442142417 52.14781977147627, 3.141337856629478 52.130630145252326, 3.1267442708620528 52.10520119669943, 3.1198786288976716 52.08774058135959, 3.117578838818818 52.078859281936154, 3.0872904764791085 51.86391334551881, 3.0871567363904235 51.854948069918784, 3.0909870791640435 51.84630384878643, 3.0890822929111246 51.83749555821743, 3.080738311574879 51.83022124217935, 3.0608402312024108 51.817139618953796, 3.0517792256296037 51.81012430290981, 2.9980102156698405 51.76771440474135, 2.9809162426556606 51.75320277034245, 2.8184741674922567 51.626732099228725, 2.8031982578395813 51.61149546550424, 2.7205786636528777 51.51668869826472, 2.7104296225124846 51.51038639641104, 2.6460147788171158 51.490312068927075, 2.623609610011189 51.479092482289715, 2.6099223823597675 51.47649424938388, 2.595557080088606 51.47593306874132, 2.581872851999604 51.47335883653051, 2.5705497621159252 51.46785754506058, 2.53871559060467 51.44962964446193, 2.5289405669249545 51.443045338935626, 2.520946608594902 51.43557602778169, 2.4738328880111853 51.39038916096986, 2.4678189927197107 51.38225585339655, 2.443803698849599 51.33988033575361, 2.436647766224928 51.33215202744673, 2.425260671340582 51.326791740203085, 2.412102485705382 51.32320948480792, 2.401068407625747 51.317544192701256, 2.3832054235947027 51.303486576859704, 2.3756774805384007 51.295837266918205, 2.3693475758917097 51.2877729586066, 2.311210966950842 51.195854609782266, 2.2945163201719656 51.17100869498148, 2.2815557795434653 51.14530079847652, 2.2727493489165576 51.11890593020748, 2.2667172274891216 51.08385184294803, 2.263658413378572 51.075073553186826, 2.255355726345203 51.05789195982969, 2.251373994112591 51.04555455657972)</t>
  </si>
  <si>
    <t>36" Gas DRAUPNER S, NORPIPE Y</t>
  </si>
  <si>
    <t>https://factpages.sodir.no/factpages/default.aspx?nav1=tuf&amp;nav2=PageView|Pipeline|All&amp;nav3=326408</t>
  </si>
  <si>
    <t>https://factmaps.sodir.no/factmaps/3_0/?run=PipelineByNPDID&amp;NPDID=326408</t>
  </si>
  <si>
    <t>LINESTRING (2.4721325354982553 58.18379583685691, 2.4725476073516663 58.16074077414816, 2.47752170530007 57.74459990713223, 2.4788890891010507 57.73646563198972, 2.550930569192368 57.58188297432267, 2.6215309049224587 57.42791533762265, 2.701351268730091 57.253015086063286, 2.81255329463184 57.00573267797487, 2.817267711966899 56.99847947882871, 2.822012034388426 56.993590363468535, 2.9982147512125095 56.842065142629686, 3.0696525763318827 56.76793039256551, 3.076317165207713 56.75748810563184, 3.1626038735164483 56.593800400073135, 3.168918359822925 56.585597188438214, 3.171165499697498 56.583525142754546, 3.228211007442319 56.58317880970515, 3.2381493436037427 56.581240860166325, 3.246246692586636 56.57773883401469, 3.252767078954243 56.57221871853683, 3.3290292860187574 56.489709742026285)</t>
  </si>
  <si>
    <t>36" Gas EKOFISK J, NORPIPE Y</t>
  </si>
  <si>
    <t>1998-08-18</t>
  </si>
  <si>
    <t>EKOFISK J</t>
  </si>
  <si>
    <t>https://factpages.sodir.no/factpages/default.aspx?nav1=tuf&amp;nav2=PageView|Pipeline|All&amp;nav3=326918</t>
  </si>
  <si>
    <t>https://factmaps.sodir.no/factmaps/3_0/?run=PipelineByNPDID&amp;NPDID=326918</t>
  </si>
  <si>
    <t>LINESTRING (3.3290292860187574 56.489709742026285, 3.305546804781628 56.51203524273058, 3.284842350708143 56.5354888160289, 3.2749758273122316 56.542294936603795, 3.261916303978955 56.54694794399001, 3.2445327335121013 56.549902840591834, 3.2366435192292764 56.55009975366412, 3.227394481609175 56.54814556522217)</t>
  </si>
  <si>
    <t>40" Gas EUROPIPE-SCP, EMDEN</t>
  </si>
  <si>
    <t>https://factpages.sodir.no/factpages/default.aspx?nav1=tuf&amp;nav2=PageView|Pipeline|All&amp;nav3=327394</t>
  </si>
  <si>
    <t>https://factmaps.sodir.no/factmaps/3_0/?run=PipelineByNPDID&amp;NPDID=327394</t>
  </si>
  <si>
    <t>LINESTRING (7.32514696267687 53.678990373954015, 7.4011991596642055 53.6717909446933, 7.457720037063928 53.69159219597222, 7.459880117479199 53.690792192525514, 7.392222039507814 53.80041408933186, 7.385774700403287 53.806039206561145, 7.376466304590163 53.81106727365384, 7.328866404808301 53.83265948047898, 7.288392929172429 53.8464035035132, 7.278673552321244 53.8504395333066, 7.262380893760357 53.85808161218755, 7.228824429980407 53.87731789016703, 7.198848206644844 53.891721046428636, 7.074762247452948 53.94774357279723, 7.057455583514114 53.95463561550292, 6.935184657906649 54.01079416322335, 6.913802682890788 54.024247379246496, 6.899254985907223 54.03447256177636, 6.723974812853038 54.149766498876836, 6.711057289384026 54.15570555657124, 6.682101245030956 54.16490554899234, 6.669647722687629 54.17118562296475, 6.656208075879919 54.1805967904066, 6.6363099722722305 54.199142191830155, 6.626373370356491 54.21000044551771, 6.614460706207759 54.221186688736346, 6.5628532775701665 54.255379267317224, 6.308824390950888 54.42001799284584, 6.070030196798607 54.57315649992453, 5.825662722185294 54.72824000985346, 5.538138196814379 54.90863989146273, 5.192243895422825 55.12265125287183, 4.842733392057502 55.33561553316483, 4.433070006211278 55.58123923441443, 4.22120097485071 55.70629307727897)</t>
  </si>
  <si>
    <t>30" Gas KVITEBJØRN, KOLLSNES</t>
  </si>
  <si>
    <t>Kvitebjørn Gassrør</t>
  </si>
  <si>
    <t>2004-09-26</t>
  </si>
  <si>
    <t>KVITEBJØRN</t>
  </si>
  <si>
    <t>https://factpages.sodir.no/factpages/default.aspx?nav1=tuf&amp;nav2=PageView|Pipeline|All&amp;nav3=357492</t>
  </si>
  <si>
    <t>https://factmaps.sodir.no/factmaps/3_0/?run=PipelineByNPDID&amp;NPDID=357492</t>
  </si>
  <si>
    <t>LINESTRING (2.505334724239661 61.07707774169544, 2.5156455681055907 61.071997878159074, 2.5377977279092474 61.062647978419804, 2.5646782087413573 61.055777788606115, 2.5935935079498407 61.0428191329123, 2.6304754065886806 61.03267211951432, 2.6736810405753033 61.0142813077769, 2.691757822526383 61.00430190560882, 2.724656463325102 60.99193841544909, 2.7895566473072657 60.965345963761706, 2.913002584879702 60.9191345135096, 3.0241658483214495 60.87601292793791, 3.1000395791199953 60.84453761159612, 3.172550595707477 60.81665202010422, 3.3402050598966624 60.75399914125977, 3.4108706043382027 60.72244745743365, 3.4877486817090713 60.693158054533534, 3.5033281260282663 60.68867962360441, 3.594309140523922 60.67182678982449, 3.6199527070745785 60.66853871729266, 3.671705600727987 60.65977667129293, 3.8279352729208194 60.6449427054429, 3.9666037675743664 60.6243633591868, 4.106784461393816 60.60645441721475, 4.49082348304984 60.543371875521764, 4.57487746809513 60.52691946001078, 4.594357104033375 60.52176202389192, 4.638453194429097 60.50789177918331, 4.660990819612634 60.5039169817447, 4.675405125324347 60.50311603612439, 4.689631966698213 60.503573987585554, 4.720515491488312 60.508407762922886, 4.737185003204646 60.51374492891444, 4.7556554022336295 60.5227901439113, 4.779853432830677 60.528390623758156, 4.7989680591442845 60.53742821614213, 4.817711490441821 60.54090757731105, 4.824484073357435 60.543738272883424, 4.8354464342204535 60.54606225557832)</t>
  </si>
  <si>
    <t>42" Gas NYHAMNA, SLEIPNER R</t>
  </si>
  <si>
    <t>Langeled</t>
  </si>
  <si>
    <t>2007-09-13</t>
  </si>
  <si>
    <t>NYHAMNA</t>
  </si>
  <si>
    <t>https://factpages.sodir.no/factpages/default.aspx?nav1=tuf&amp;nav2=PageView|Pipeline|All&amp;nav3=369461</t>
  </si>
  <si>
    <t>https://factmaps.sodir.no/factmaps/3_0/?run=PipelineByNPDID&amp;NPDID=369461</t>
  </si>
  <si>
    <t>LINESTRING (6.944126203226062 62.851181615233024, 6.958395523951621 62.86029927747193, 6.959437244320278 62.86393865781273, 6.9570327642936345 62.86726899544155, 6.951934588436433 62.8697485892215, 6.921528053263533 62.87815616721939, 6.899386123315378 62.89035198884869, 6.886777842767185 62.8953836300255, 6.877956384860074 62.898088257304074, 6.866665841970104 62.89970943684877, 6.83570513329627 62.90083445610842, 6.793422846264172 62.90430929058319, 6.784754991596397 62.90599916839668, 6.776374110964865 62.909314176300974, 6.770653550753617 62.91340362970615, 6.76783554845767 62.9183133113238, 6.767935965344757 62.921849679595034, 6.771996710328848 62.93271442488213, 6.769980083879582 62.941404632985616, 6.76733956506815 62.94464722628713, 6.763156912161753 62.94771813255899, 6.7510231137718995 62.95249799976163, 6.7421721503336025 62.95411539341296, 6.732601671465161 62.954748545754484, 6.66374699991203 62.95367576380796, 6.645619018729286 62.9524738731098, 6.612273046705815 62.9544190547306, 6.550780152010196 62.951316856424924, 6.459188607203072 62.934301539519794, 6.436844037625559 62.92923133783547, 6.2005430893532365 62.89161792298806, 6.171018100836043 62.88602500007172, 6.096305416462524 62.86645392639351, 5.841660615074013 62.809678282241926, 5.192750669676527 62.653437105178334, 5.179054745778569 62.64927875317483, 5.168065967344774 62.644197239808406, 5.161009295330372 62.63946674097722, 5.141530320079816 62.623131317043836, 4.978638417356975 62.472305442665856, 4.960700515785536 62.457911797772326, 4.947616128029106 62.441595527969056, 4.924426817586714 62.42423768153443, 4.900299455459889 62.399883390834034, 4.893937102167241 62.394756156317406, 4.882526842824044 62.38867896282539, 4.787859027736522 62.350121134033316, 4.659694523144031 62.30671041013584, 4.649196899707808 62.301716644888145, 4.640969617538731 62.29586456608697, 4.386800200301029 62.05731660282345, 4.344596452933942 61.99795702500478, 4.331978453627834 61.97310312695476, 4.312378293852157 61.949851377941584, 4.304935303551111 61.93804432811713, 4.296090688329816 61.928999211186444, 4.290280306466911 61.91951923933059, 4.284526071151988 61.91219084348436, 4.279965704523582 61.90785330319081, 4.263948932725386 61.89570280908999, 4.234825690039018 61.878516550479596, 4.20494980972435 61.85583690118129, 4.1858528843090435 61.83818917221627, 4.181106630707915 61.83232569146734, 4.174332658602673 61.82054916939476, 4.16149276505776 61.80677740603877, 4.153950028858588 61.79639329452358, 4.146609219179174 61.78214474499531, 4.141779098870773 61.75823321677975, 4.139030309714342 61.75356762390407, 4.127781706248229 61.73913591233521, 4.121785130033305 61.733547084116445, 4.0794075301593695 61.703920441550636, 4.014854046984061 61.655223097072806, 4.01100086725725 61.65054986033026, 4.004321738780614 61.63960116278898, 3.9908766863041434 61.62634439799704, 3.9843833160585347 61.61492647855347, 3.9745948550849732 61.5914574134949, 3.970326636309154 61.58571601473945, 3.962803048038805 61.57820067011437, 3.629607258110459 61.34867237440673, 3.5752092436308605 61.30916132071472, 3.494087609241543 61.25485213912258, 3.4597742196430663 61.230654135216966, 3.4462868956168147 61.21859523561273, 3.4216982246851844 61.202263567473395, 3.4093542306531215 61.193119224210825, 3.3995006317451986 61.18327298233412, 3.397093442024004 61.17968699604514, 3.393819791372758 61.17213737438463, 3.3900507889606226 61.140908998705584, 3.389776202126317 61.13067757906042, 3.391300162378597 61.1097913188949, 3.388695423088713 61.09106420854371, 3.3892034290231026 61.07052127145189, 3.3862908686188864 61.052000159780484, 3.386362031653565 61.041101147310734, 3.3853111305414125 61.030797236791564, 3.3855537990687727 61.00959814382851, 3.382780905819289 60.9697634940148, 3.384481065935622 60.952997271426035, 3.381848548125957 60.92743396013548, 3.383092846115363 60.88817922032942, 3.38124857775132 60.87563980145837, 3.3803649341987922 60.854005804957886, 3.3827216333948305 60.83870067770924, 3.382445159220309 60.82787414445291, 3.3802421990845675 60.81266814554372, 3.3820061365706895 60.7709871741128, 3.382273086189696 60.74561464662316, 3.3785967067959195 60.72934810312221, 3.3788071556994534 60.70830160864621, 3.3779709834892895 60.69950838184881, 3.37592077600572 60.69018487629203, 3.376504560987115 60.67432657520458, 3.3753646170917464 60.66132175647101, 3.3714182916589293 60.64587921742628, 3.3715713883183196 60.6226391881461, 3.370418808309397 60.60499933435139, 3.369268180546799 60.600181171316635, 3.3597410039294595 60.5760025693117, 3.356536744401816 60.56340591320805, 3.3532057786795852 60.557344083931305, 3.345279347989877 60.5476504659061, 3.3240438579901035 60.531559185660484, 3.300682079642526 60.515635731140485, 3.282358438439253 60.50493486214748, 3.2609818019447743 60.488809247282354, 3.2298410553365464 60.470119933555196, 3.170495063566217 60.42807960522853, 3.1233680792447562 60.396446326663835, 3.1166119253331637 60.38970159767318, 3.079377328322243 60.34205754789581, 3.077626587173248 60.33710204413744, 3.0322829970271283 60.07278245829359, 2.664302445883573 59.239975130681586, 2.289287471492959 58.75941515474237, 2.034339921087082 58.43834759060378, 2.030182684178442 58.43442970075392, 2.023888448104477 58.43041259822925, 1.9164397893768848 58.37203959978089)</t>
  </si>
  <si>
    <t>28" Gas SNØHVIT PLEM-1, MELKØYA</t>
  </si>
  <si>
    <t>Snøhvit Gassrør</t>
  </si>
  <si>
    <t>SNØHVIT</t>
  </si>
  <si>
    <t>2007-08-21</t>
  </si>
  <si>
    <t>SNØHVIT PLEM-1</t>
  </si>
  <si>
    <t>MELKØYA</t>
  </si>
  <si>
    <t>https://factpages.sodir.no/factpages/default.aspx?nav1=tuf&amp;nav2=PageView|Pipeline|All&amp;nav3=370369</t>
  </si>
  <si>
    <t>https://factmaps.sodir.no/factmaps/3_0/?run=PipelineByNPDID&amp;NPDID=370369</t>
  </si>
  <si>
    <t>LINESTRING (23.585933125302276 70.68557133539633, 23.572907815844914 70.68916119102441, 23.550569287758734 70.69376938619921, 23.541014618117686 70.69701195401376, 23.53446411670406 70.70128456155858, 23.523903644371522 70.71262991350392, 23.52360023155918 70.71442290190926, 23.524616806335473 70.71581915321286, 23.527649543131712 70.71745957237692, 23.565294083510835 70.73145281816514, 23.597269859721717 70.74276034994182, 23.62783616227491 70.75215280420996, 23.64357211738798 70.75993526676233, 23.64855407483068 70.76438344752934, 23.64980313060201 70.76901471302186, 23.64637653564024 70.78036012062509, 23.639867790541658 70.7875167730583, 23.631598613520914 70.79255997230915, 23.61287250414214 70.80126536910683, 23.558224289258977 70.82262060882407, 23.535200753762354 70.8302730673712, 23.52668749326759 70.83427098922445, 23.522275313765885 70.8375517456656, 23.498834869824215 70.86023480232284, 23.45710695592049 70.89238623375289, 23.44146847298388 70.90840858201051, 23.427892425020623 70.91784647387028, 23.419505063744065 70.921668911404, 23.406352880007567 70.92545316409286, 23.390310987080785 70.92804715320445, 23.28364928702415 70.93601940683739, 23.268523029263974 70.93784279887343, 23.19478145950847 70.95464292406963, 23.172557156585622 70.96189864016259, 23.1648641462354 70.96516411075315, 23.15693632818933 70.97100843573857, 23.13849328334635 70.99482836141864, 23.137594592738868 70.99858218998118, 23.137531679880663 71.02385191346193, 23.135326298262036 71.02872730468145, 23.12727224496136 71.03911895813081, 23.0763920200986 71.07450532591987, 23.038486742278412 71.10396348334109, 23.016481232977 71.11843694051477, 22.993390194057636 71.13532902000017, 22.966224873389503 71.15158016744726, 22.9533777052822 71.15747023141118, 22.935735218563153 71.16297876862788, 22.823778729434448 71.19084934844206, 22.75442950112709 71.21333366166402, 22.717217731271774 71.22760862345959, 22.66031518905793 71.2429394670675, 22.519081816938616 71.29559135261928, 22.492308066887674 71.30621940049687, 22.43103915668242 71.32782640963971, 22.2994271699544 71.37652614752695, 22.284649812673102 71.38093603641269, 22.268712800127165 71.38419382666439, 22.213025932733487 71.39315075809334, 22.073371640188984 71.42002173956853, 22.019159226500978 71.42897867823582, 21.982707117455845 71.43813411365278, 21.94017984233813 71.4460916373979, 21.868712464612173 71.4566888474053, 21.82241975411989 71.46627910772348, 21.734999978106327 71.48172108852286, 21.68914408584569 71.49106719806367, 21.46202247133403 71.53007645489589, 21.438316256024574 71.53505850651264, 21.40194443792617 71.54136041333796, 21.348222040518348 71.55268256624103, 21.316378613142284 71.55768744854127, 21.261285095731978 71.56421048110306, 21.246319000487276 71.56694182075115, 21.227307051163574 71.57160345624149, 21.225014298092965 71.57148136408948)</t>
  </si>
  <si>
    <t>30" Gas ORMEN LANGE A, NYHAMNA</t>
  </si>
  <si>
    <t>Ormen Lange PL-A</t>
  </si>
  <si>
    <t>ORMEN LANGE</t>
  </si>
  <si>
    <t>A/S Norske Shell</t>
  </si>
  <si>
    <t>ORMEN LANGE A</t>
  </si>
  <si>
    <t>https://factpages.sodir.no/factpages/default.aspx?nav1=tuf&amp;nav2=PageView|Pipeline|All&amp;nav3=371254</t>
  </si>
  <si>
    <t>https://factmaps.sodir.no/factmaps/3_0/?run=PipelineByNPDID&amp;NPDID=371254</t>
  </si>
  <si>
    <t>LINESTRING (5.385026841800048 63.52771352080978, 5.385139834378202 63.51604773682606, 5.388026859190845 63.509061987177425, 5.388172881668789 63.50514681945144, 5.378218650591668 63.48636071378721, 5.377352205374424 63.48270043424778, 5.3806179926604285 63.47384846336836, 5.387063051704126 63.46795743155446, 5.395662378659577 63.46421458326474, 5.4161596421511655 63.45908625250339, 5.431006240227388 63.45214024932756, 5.4511596509956775 63.444173748724516, 5.479271956717393 63.4353907209537, 5.499461854977371 63.43140808270337, 5.5222930121273 63.42447323609101, 5.537946037736988 63.422597208620815, 5.5600006462318605 63.42139456569343, 5.588861956881375 63.41427727399151, 5.611646338657861 63.410013385001605, 5.620280431311801 63.4073532307487, 5.6384828386759365 63.399646676345235, 5.6463130754072015 63.39425992143213, 5.667356718059981 63.37420580886264, 5.690395965185813 63.36093885636479, 5.70350220862278 63.33505680159911, 5.7066888145609616 63.332731635375325, 5.733992581235468 63.31886335967167, 5.7363080288767065 63.31628375263916, 5.741433634690754 63.3053250888667, 5.74344720003422 63.30301512918177, 5.764360463013253 63.2890475927011, 5.776693178531299 63.28267522178736, 5.787728748624203 63.27090332600102, 5.792154964631033 63.267213199208335, 5.893657694852646 63.19950231604897, 6.026820320658352 63.11699983024003, 6.158103893230328 63.05567002778803, 6.176327961677209 63.04862436893469, 6.299550360331841 63.007030716259614, 6.423505233769268 62.979325040808355, 6.451972416089946 62.97373162053802, 6.502224777430908 62.96664992674438, 6.602576801967038 62.9578746535206, 6.624084757916514 62.95453003114442, 6.637940737085322 62.95329342401721, 6.733614758924942 62.95509346060611, 6.7435828710271615 62.95442699057837, 6.752622089653981 62.95268826621979, 6.764323919921913 62.94793735111823, 6.768320877415628 62.94494049666481, 6.770992012255779 62.941609423139106, 6.772855042489777 62.932601510374, 6.768891678054969 62.92215683122717, 6.76874598616065 62.918700079645625, 6.771278938818727 62.914058061514176, 6.776911564799459 62.90977870439287, 6.784844980782754 62.906564237311215, 6.794614773628248 62.904586051742456, 6.834806455240972 62.900993047006054, 6.865647123595031 62.89992649471489, 6.878703934077648 62.8980502315073, 6.901920784932177 62.89021710601631, 6.9242144199696645 62.877753342305276, 6.954354647397771 62.87023533015834, 6.960491221555395 62.86681849358636, 6.961651837356998 62.86365747928695, 6.959871952010969 62.86071894967475, 6.942172147944282 62.849943187350355)</t>
  </si>
  <si>
    <t>30" Gas ORMEN LANGE B, NYHAMNA</t>
  </si>
  <si>
    <t>Ormen Lange PL-B</t>
  </si>
  <si>
    <t>ORMEN LANGE B</t>
  </si>
  <si>
    <t>https://factpages.sodir.no/factpages/default.aspx?nav1=tuf&amp;nav2=PageView|Pipeline|All&amp;nav3=371292</t>
  </si>
  <si>
    <t>https://factmaps.sodir.no/factmaps/3_0/?run=PipelineByNPDID&amp;NPDID=371292</t>
  </si>
  <si>
    <t>LINESTRING (5.3847792228295965 63.52770813759151, 5.383520330741603 63.51758537986363, 5.387348093561592 63.50889554217794, 5.387797712558682 63.50517232594802, 5.37739909475502 63.48491529500453, 5.376258144235391 63.47608842178124, 5.377950775023709 63.47150976586393, 5.382748078394162 63.467610635205226, 5.389054686735123 63.46495808356089, 5.41768041295159 63.45706796874281, 5.424231913594676 63.453764403513205, 5.433750352602124 63.44674569294226, 5.43997761859121 63.44401512709988, 5.471440160572476 63.43517783768079, 5.4971969511317 63.43164179486705, 5.514804066921007 63.42584704161141, 5.524086938240296 63.42370682655227, 5.573762294067051 63.41809615739274, 5.586684608756496 63.414297578577035, 5.616553542949372 63.408246392206664, 5.637091000267969 63.39996046235687, 5.644771292515153 63.394748742762644, 5.667345394936351 63.37338113518495, 5.689266272695471 63.3607489450605, 5.702421944521433 63.33490495244569, 5.705773038204871 63.33249163461647, 5.733054321310529 63.31855256577464, 5.735089092253947 63.316264427218165, 5.740393789429597 63.30513108850133, 5.742399876525762 63.30282106872522, 5.7639679661479 63.28843535312159, 5.775957874858292 63.28227120655753, 5.791133661040733 63.267051720406656, 5.897358287942377 63.19625393850598, 6.025824167429856 63.11684481208543, 6.15805152437147 63.05508273338211, 6.175643060712751 63.04826204612913, 6.299150219364935 63.00660523429876, 6.4209851427866775 62.97935620230633, 6.451725534368909 62.97337146304886, 6.502845793449991 62.96625893824315, 6.60160364881864 62.957708475345115, 6.624086559365265 62.95438214518012, 6.637893157049222 62.953160138063225, 6.733110048736171 62.95500970129278, 6.742740640654133 62.95439373935135, 6.7521078510726085 62.95260568684483, 6.764173076568039 62.94771258024999, 6.767964517789399 62.94479311652044, 6.770605071296374 62.9414497521393, 6.77245804838413 62.93266866843834, 6.768397527390573 62.92194587689828, 6.768294047879579 62.91841874296439, 6.77091065067415 62.91377073557247, 6.776664473855666 62.909506540486234, 6.784834955289511 62.90630073653367, 6.795055063069698 62.904325266350014, 6.8351561168987525 62.900923128269966, 6.852048724230437 62.90074869889666, 6.874780509657834 62.8987583142743, 6.897643913445266 62.891820180882775, 6.902963241847916 62.88950549941118, 6.923456551218415 62.87781265585187, 6.953575033577553 62.86983622491534, 6.959279822599673 62.86668099388668, 6.960641537553374 62.863655777427326, 6.959054840636531 62.86034279492654, 6.942125378462677 62.849959527465046)</t>
  </si>
  <si>
    <t>32" Gas STATFJORD B, FLAGS-T</t>
  </si>
  <si>
    <t>Tampen Link</t>
  </si>
  <si>
    <t>2007-10-12</t>
  </si>
  <si>
    <t>FLAGS-T</t>
  </si>
  <si>
    <t>https://factpages.sodir.no/factpages/default.aspx?nav1=tuf&amp;nav2=PageView|Pipeline|All&amp;nav3=377106</t>
  </si>
  <si>
    <t>https://factmaps.sodir.no/factmaps/3_0/?run=PipelineByNPDID&amp;NPDID=377106</t>
  </si>
  <si>
    <t>LINESTRING (1.8212863257780907 61.20380475710424, 1.8209631769263472 61.20323097829491, 1.8366340800707561 61.192126168418724, 1.851723087077361 61.17497482258146, 1.8531525868750693 61.17249137699074, 1.8531638563135522 61.169237314027306, 1.8469327194398473 61.15226498707672, 1.8243535782614093 61.12884917347858, 1.8152578449172525 61.11029746359552, 1.7957541593819484 61.088926448070495, 1.78444105955216 61.06620126950183, 1.7657078041124847 61.045536011107124, 1.7586724987705151 61.04059951048421, 1.7500593498457067 61.03681125763887, 1.698425223783683 61.021501611747546)</t>
  </si>
  <si>
    <t>26" Gas SKARV ERB, ÅSGARD T</t>
  </si>
  <si>
    <t>Skarv Gassrør</t>
  </si>
  <si>
    <t>SKARV</t>
  </si>
  <si>
    <t>Aker BP ASA</t>
  </si>
  <si>
    <t>2012-11-10</t>
  </si>
  <si>
    <t>SKARV ERB</t>
  </si>
  <si>
    <t>ÅSGARD T</t>
  </si>
  <si>
    <t>https://factpages.sodir.no/factpages/default.aspx?nav1=tuf&amp;nav2=PageView|Pipeline|All&amp;nav3=406393</t>
  </si>
  <si>
    <t>https://factmaps.sodir.no/factmaps/3_0/?run=PipelineByNPDID&amp;NPDID=406393</t>
  </si>
  <si>
    <t>LINESTRING (7.654035990483208 65.69349295920264, 7.659109859173847 65.67591677535411, 7.65167028483807 65.65827411965985, 7.647545841538488 65.6541322234978, 7.618473743075376 65.63520183369496, 7.58955858938353 65.62185113025252, 7.569938210959107 65.61113514498884, 7.5464651565717356 65.60185683318768, 7.511275922951121 65.58483606326142, 7.458729617380289 65.56222120756979, 7.422131815828707 65.54001720366878, 7.406924201635836 65.52814319666864, 7.369756521374377 65.50618088148265, 7.309325897369682 65.48059734798188, 7.275632838333707 65.46945663519654, 7.257442626497447 65.45839410636718, 7.253688052216189 65.45419724962348, 7.240527763418302 65.42786382579855, 7.219997299426817 65.40715766550373, 7.209795400306328 65.38514548385695, 7.192627711077902 65.36393251163072, 7.181826772736803 65.35618515886705, 7.168701655673612 65.3439121397856, 7.1122643880123375 65.30059616484046, 7.0939925866580555 65.28437454173697, 7.070315515678131 65.25939416990381, 7.051762653743019 65.24323033127222, 7.016467984720919 65.22084285299398, 6.992592434232378 65.20080153434708, 6.978629196541233 65.18871589721067, 6.9701836742711585 65.17576092426535, 6.9521114447066825 65.15952102888224, 6.9413816336884295 65.1517787119523, 6.930543351337684 65.13914525434035, 6.924672692404415 65.13541431878176, 6.909751906121547 65.12900719611015, 6.8924213819762254 65.1238279972808, 6.845873924841699 65.10541218667058, 6.801872447329369 65.09418517487843)</t>
  </si>
  <si>
    <t>28" Gas GJØA, GJØA-T</t>
  </si>
  <si>
    <t>Gjøa Gassrør</t>
  </si>
  <si>
    <t>GJØA GASSRØR</t>
  </si>
  <si>
    <t>2010-10-10</t>
  </si>
  <si>
    <t>GJØA</t>
  </si>
  <si>
    <t>GJØA-T</t>
  </si>
  <si>
    <t>https://factpages.sodir.no/factpages/default.aspx?nav1=tuf&amp;nav2=PageView|Pipeline|All&amp;nav3=406790</t>
  </si>
  <si>
    <t>https://factmaps.sodir.no/factmaps/3_0/?run=PipelineByNPDID&amp;NPDID=406790</t>
  </si>
  <si>
    <t>LINESTRING (1.6982214376200755 61.020280858941206, 1.7267241024355358 61.01867899645538, 1.9533834732742261 61.02446144091837, 1.9676713033607358 61.02551833868281, 2.475536995079691 61.100532402847996, 2.5882319493584895 61.11812410778957, 2.699230403180186 61.13339636279034, 2.765852863112952 61.143968155992596, 2.837880759365112 61.15298737553409, 2.8800554702923673 61.16038871739836, 2.93533902956544 61.16841967650518, 2.982565622870697 61.173715287520345, 3.075739225350611 61.18785048287746, 3.167216554147966 61.19981882275721, 3.352669818545554 61.225838437091355, 3.3990620645763547 61.23310630886401, 3.565645582030296 61.24688001949014, 3.60659091584716 61.25130194534965, 3.6695369910996143 61.25571652029352, 3.907631304462643 61.27483572447029, 3.9206718871854447 61.27700272164218, 3.9323717189576364 61.28069945568047, 3.9422882694509385 61.286124291789626, 3.9484376698595773 61.291942010785526, 3.951360929082193 61.29779402147878, 3.951413266386852 61.30429452037035, 3.948732327272709 61.310115942268915, 3.9432351281962514 61.315460473018405, 3.936496508861485 61.31963764544855, 3.9284201247871104 61.32302512710385, 3.9032744896393186 61.32971726093207)</t>
  </si>
  <si>
    <t>Troll Gassrør P12</t>
  </si>
  <si>
    <t>2011-10-01</t>
  </si>
  <si>
    <t>https://factpages.sodir.no/factpages/default.aspx?nav1=tuf&amp;nav2=PageView|Pipeline|All&amp;nav3=414837</t>
  </si>
  <si>
    <t>https://factmaps.sodir.no/factmaps/3_0/?run=PipelineByNPDID&amp;NPDID=414837</t>
  </si>
  <si>
    <t>LINESTRING (4.836975333189276 60.54487298223805, 4.797375375731224 60.5277003450566, 4.759494896831108 60.5153893921985, 4.727153039701023 60.50327306280108, 4.711905887388076 60.49971744626307, 4.702266393295266 60.498530914640114, 4.681759929948239 60.49737095728983, 4.666868793399878 60.49775607926894, 4.642549206191149 60.50107470223864, 4.403311479050303 60.54802111924173, 4.1080396206412875 60.604775901120576, 4.01022298539398 60.61608187763858, 3.985965690577144 60.61806910774137, 3.948945697769558 60.62484762271283, 3.9105580920726273 60.627086455058645, 3.8772823632076183 60.633346198306825, 3.844200168264267 60.636317546848375, 3.8031657194023523 60.64469442979172, 3.7745025224261273 60.64736064551072, 3.733910491609754 60.64554067208917)</t>
  </si>
  <si>
    <t>14" Gas GUDRUN, SLEIPNER A</t>
  </si>
  <si>
    <t>Gudrun Gassrør</t>
  </si>
  <si>
    <t>GUDRUN</t>
  </si>
  <si>
    <t>2014-04-07</t>
  </si>
  <si>
    <t>SLEIPNER A</t>
  </si>
  <si>
    <t>https://factpages.sodir.no/factpages/default.aspx?nav1=tuf&amp;nav2=PageView|Pipeline|All&amp;nav3=425280</t>
  </si>
  <si>
    <t>https://factmaps.sodir.no/factmaps/3_0/?run=PipelineByNPDID&amp;NPDID=425280</t>
  </si>
  <si>
    <t>LINESTRING (1.748853694830363 58.84180861413989, 1.7570418929767202 58.83730810784387, 1.7595569656928067 58.83502797978119, 1.7609330663120362 58.83250012639844, 1.760536980370099 58.82820812923682, 1.7561922231784262 58.823166453243985, 1.755046574285578 58.82041673021808, 1.757188364624366 58.80813579235503, 1.7705785933422062 58.75898624342778, 1.8169386452633574 58.60912447281071, 1.8406736156500592 58.55663757906912, 1.8701136519019812 58.44297070707488, 1.880384690599085 58.38237242695622, 1.8830699124805093 58.377900554872326, 1.8882537136716968 58.37370757166951, 1.8939604854430843 58.370959984827216, 1.8971415293764529 58.369919946952315)</t>
  </si>
  <si>
    <t>24" Gas MARTIN LINGE A, FRIGG TP1-Y</t>
  </si>
  <si>
    <t>Martin Linge Gassrør</t>
  </si>
  <si>
    <t>MARTIN LINGE GASSRØR</t>
  </si>
  <si>
    <t>2021-06-30</t>
  </si>
  <si>
    <t>MARTIN LINGE A</t>
  </si>
  <si>
    <t>FRIGG TP1-Y</t>
  </si>
  <si>
    <t>https://factpages.sodir.no/factpages/default.aspx?nav1=tuf&amp;nav2=PageView|Pipeline|All&amp;nav3=438653</t>
  </si>
  <si>
    <t>https://factmaps.sodir.no/factmaps/3_0/?run=PipelineByNPDID&amp;NPDID=438653</t>
  </si>
  <si>
    <t>LINESTRING (2.0158205937851323 59.89440622107269, 2.015826966102272 59.89440352105264, 2.0717590136534745 59.9284717929583, 2.0943589835565954 59.95516871264985, 2.0967119929738187 59.95939894086962, 2.0973894242988402 59.963583271840015, 1.9989481993541087 60.46535418773628, 1.99950001166334 60.46917089773931, 2.009715195425002 60.49066237145234, 2.0096610076405046 60.501502547346135)</t>
  </si>
  <si>
    <t>16" Gas EDVARD GRIEG, SAGE-T</t>
  </si>
  <si>
    <t>Utsirahøyden Gassrør</t>
  </si>
  <si>
    <t>UTSIRAHØYDEN GASSRØR</t>
  </si>
  <si>
    <t>2015-11-28</t>
  </si>
  <si>
    <t>EDVARD GRIEG</t>
  </si>
  <si>
    <t>SAGE-T</t>
  </si>
  <si>
    <t>https://factpages.sodir.no/factpages/default.aspx?nav1=tuf&amp;nav2=PageView|Pipeline|All&amp;nav3=442969</t>
  </si>
  <si>
    <t>https://factmaps.sodir.no/factmaps/3_0/?run=PipelineByNPDID&amp;NPDID=442969</t>
  </si>
  <si>
    <t>LINESTRING (1.3894806370448922 59.47739543438233, 1.387269981347984 59.46310044185164, 1.387656489575908 59.459772560266465, 1.4644627324646178 59.269661377855265, 1.472857514320964 59.25471811368228, 1.5496071621083614 59.16072702118833, 1.560534015751243 59.149280987753976, 1.5794347053685092 59.126813219514204, 2.1213090033187703 58.880457290362635, 2.1318583188457243 58.876523209049076, 2.142443459669605 58.87044783208548, 2.155275278741098 58.86568651815848, 2.165447928684977 58.85976509861348, 2.1782681954569694 58.8549989343082, 2.1886156633091995 58.84900560029669, 2.2012698481628026 58.844306184296535, 2.2114370883082186 58.83838662469359, 2.2213364290022213 58.83467134504878, 2.2279930246820676 58.83099928388236, 2.2346450756073546 58.82871849400314, 2.239898645986905 58.82803300327474, 2.2459902781049035 58.828583788788706, 2.2509963532176234 58.830455594304425, 2.2537943288440183 58.833047147415925, 2.2543184752252095 58.83608096505366, 2.253058288684787 58.83832858806645, 2.2525132586021783 58.83881352741476)</t>
  </si>
  <si>
    <t>36" Gas AASTA HANSTEEN PLEM, NYHAMNA</t>
  </si>
  <si>
    <t>Polarled</t>
  </si>
  <si>
    <t>POLARLED</t>
  </si>
  <si>
    <t>2017-01-01</t>
  </si>
  <si>
    <t>AASTA HANSTEEN PLEM</t>
  </si>
  <si>
    <t>https://factpages.sodir.no/factpages/default.aspx?nav1=tuf&amp;nav2=PageView|Pipeline|All&amp;nav3=444927</t>
  </si>
  <si>
    <t>https://factmaps.sodir.no/factmaps/3_0/?run=PipelineByNPDID&amp;NPDID=444927</t>
  </si>
  <si>
    <t>LINESTRING (7.105308240859343 67.0554108391106, 7.134766163082987 66.982195031646, 7.138671293377076 66.96973354074339, 7.185695332782664 66.72183142434629, 7.215043574671465 66.56258993388656, 7.215851893625795 66.51893707061639, 7.222434152042567 66.49223400418416, 7.222048531389839 66.4869757741286, 7.2163591328904175 66.46266266392038, 7.222230243837732 66.42402107844482, 7.221910520140291 66.40672033364423, 7.214328068948014 66.38197718364334, 7.213592406271841 66.37705496414996, 7.21443586303515 66.37133672946668, 7.222508135363708 66.34484869235818, 7.2207607645877445 66.26764036988473, 7.219003201506514 66.26078405589311, 7.206104410608492 66.23761691208148, 7.204304764711607 66.23185364441115, 7.201934476354856 66.13871664047606, 7.202231779639783 66.13470147275203, 7.2036791726929215 66.13005029162855, 7.214303089633546 66.10919952912353, 7.2141457040621955 66.07301598479216, 7.21323102945376 66.06803576165336, 7.200438353992062 66.02911795121499, 7.197330304042189 66.00038969093235, 7.2012311843245715 65.9762527100675, 7.203057898968023 65.95328375452927, 7.203040745656326 65.91343705967918, 7.206216242054989 65.79540308342581, 7.204962613114407 65.78948181720905, 7.1900828280279 65.75015097155449, 7.189211200729326 65.7443897168462, 7.190611892607573 65.72105374402449, 7.2004656226307935 65.70162803777079, 7.202204097594486 65.69577281028815, 7.200415182286797 65.6650074855117, 7.2008275531400665 65.65991627475918, 7.208922294088053 65.63927649685193, 7.223401444346234 65.58731846953287, 7.232068098607066 65.53916153548991, 7.227364202559904 65.46247823922101, 7.231109948702259 65.43902329324139, 7.2303212746536465 65.43383606490261, 7.228029547804377 65.42860681698613, 7.19126690934535 65.37415808370035, 7.188228201944738 65.36822079727676, 7.1863515853374444 65.36157649484998, 7.178917119793023 65.30552204421151, 7.180010552998804 65.2997218128378, 7.189674657341678 65.27386683849322, 7.190407090583747 65.26785259393688, 7.1891174804090054 65.26137930611407, 7.180453479425588 65.24186138186118, 7.17905678439487 65.23657714292246, 7.181603875575531 65.19200529802426, 7.179662710761875 65.16357807980731, 7.18663112341827 65.08630691608045, 7.195962037587098 65.06262203223083, 7.205735236596331 64.95908780576374, 7.207737732195936 64.92221328465271, 7.2201902925844825 64.8287125186417, 7.219143330108759 64.78137052716895, 7.220891783672369 64.77534529602016, 7.229788253354683 64.75759765946682, 7.2312576873736 64.75170543066328, 7.232126305971144 64.69609711913476, 7.231635114728985 64.683250577265, 7.232982969941484 64.63951676897582, 7.239636210287465 64.60822754301553, 7.2455292376047735 64.54834511790435, 7.24625041613317 64.53019837092832, 7.248430929378599 64.52333811104522, 7.250010639148637 64.51303470083471, 7.254325489674769 64.50204129415783, 7.256458389875685 64.48901977751832, 7.256383112762422 64.46170764074643, 7.254668171282377 64.44395388248886, 7.258144415928638 64.42615518360559, 7.2614567577085944 64.39076075208916, 7.261189656253194 64.37627914755939, 7.262670346569167 64.36609874226798, 7.261673653905872 64.36062350325724, 7.257051103889371 64.35080704148018, 7.256608403522247 64.3457638269668, 7.259933256664802 64.31797671305183, 7.271960334460756 64.27538708806736, 7.2727257642823 64.26890482833535, 7.24963163247166 64.16083808186059, 7.222605456134267 64.06675887531361, 7.185654012522898 63.92127343953286, 7.178419940481979 63.90174855030666, 7.166505449837964 63.85325341383511, 7.165512101625046 63.84184693276746, 7.159947663268231 63.82928335061378, 7.139245249830269 63.757440154142714, 7.135012724264268 63.7302909892635, 7.123605098916051 63.70059063612572, 7.123189320164778 63.696631468741415, 7.12474785552273 63.67171246438991, 7.124376142599517 63.66666125280001, 7.11273989322408 63.630351627379525, 7.097490005106894 63.56877192545703, 7.097458216092896 63.5481910823525, 7.096802459469152 63.543670889624835, 7.092887227898755 63.52830921501375, 7.076166378161941 63.48185811901274, 7.061732131289159 63.426281678557984, 7.060606502276626 63.40209267743288, 7.055003161547754 63.3874670147126, 7.052747140247337 63.369299246757706, 7.043035190890258 63.32821545708817, 7.029097364470248 63.282391426072685, 7.017157116321628 63.22755505308305, 7.000243336070783 63.16138616334834, 6.995486685459882 63.15245574466353, 6.989586933010771 63.14462535738432, 6.982254107531941 63.137220970704846, 6.972426214994462 63.129509542406794, 6.9621162433164105 63.12289815319633, 6.802335010544371 63.03229660465944, 6.760116437453619 62.99978579170201, 6.75420365592483 62.992435424516096, 6.751279969391252 62.985178096210184, 6.751029407180286 62.97730777447891, 6.755173405297388 62.9621422089243, 6.752966217494982 62.94647654878644, 6.754055768498082 62.93737419312225, 6.758653439319472 62.92822587679049, 6.769220597380009 62.913977424125484, 6.77318392925125 62.910446327716585, 6.78145042671008 62.9065342663236, 6.792739946875198 62.90401629673016, 6.835532565616294 62.90074366541554, 6.865647632264544 62.899736977053074, 6.882964388593891 62.896616053300214, 6.898772272234861 62.89032498358139, 6.921220709264583 62.87813275268204, 6.949677120353883 62.86998675550149, 6.9545734109854696 62.86772972136956, 6.957714707099064 62.86432162019672, 6.957591903426241 62.86073847385415, 6.95493097877148 62.8577953237784, 6.947465981059591 62.85327705394408)</t>
  </si>
  <si>
    <t>18" Gas JOHAN SVERDRUP RP, JOHAN SVERDRUP STATPIPE PLEM</t>
  </si>
  <si>
    <t>Johan Sverdrup Gassrør</t>
  </si>
  <si>
    <t>JOHAN SVERDRUP</t>
  </si>
  <si>
    <t>2019-10-05</t>
  </si>
  <si>
    <t>JOHAN SVERDRUP RP</t>
  </si>
  <si>
    <t>JOHAN SVERDRUP STATPIPE PLEM</t>
  </si>
  <si>
    <t>https://factpages.sodir.no/factpages/default.aspx?nav1=tuf&amp;nav2=PageView|Pipeline|All&amp;nav3=456695</t>
  </si>
  <si>
    <t>https://factmaps.sodir.no/factmaps/3_0/?run=PipelineByNPDID&amp;NPDID=456695</t>
  </si>
  <si>
    <t>LINESTRING (5.052648426736198 59.3262712915409, 5.033053937438196 59.302158157380525, 5.02759198408168 59.297569921312366, 5.020670964262904 59.293517688254596, 4.99728874844768 59.28315502566964, 4.8919904773744225 59.24326829590808, 4.874472188743006 59.23837290689208, 4.862877930449605 59.236638705766374, 4.851029620796167 59.23588953849703, 4.801411107422143 59.23760601931793, 4.767481199889027 59.23595255818535, 4.619384958329398 59.21287494968954, 4.052397587915658 59.1210858289414, 4.030028153288409 59.11670838971955, 3.9635067324858464 59.10648718764104, 3.9302700986332475 59.0997735267509, 3.9040365022093995 59.09654708241233, 3.869797792507216 59.09087744783898, 3.8476623853809824 59.08611299646096, 3.8184657514331937 59.08191747895933, 3.769809803819088 59.07262053022576, 3.7444942499980685 59.06909908555294, 3.712776635892829 59.06299146503518, 3.675814836741347 59.057680809112085, 3.5840479903334264 59.041633072977035, 3.4754897594887626 59.02380306052803, 2.7770859357162228 58.90187980343675, 2.67081077157894 58.885233850512655, 2.6119980120051167 58.86676442654716, 2.571878271970075 58.858919630873345, 2.5654711865436597 58.8569714780742, 2.559608183737319 58.85358427892615, 2.556260284298428 58.849474084765205, 2.5555374231481762 58.84609095058822, 2.556143175679374 58.8413428550527)</t>
  </si>
  <si>
    <t>Baltic Pipe</t>
  </si>
  <si>
    <t>POLAND</t>
  </si>
  <si>
    <t>BALTIC ENTRANCE</t>
  </si>
  <si>
    <t>LINESTRING (15.258841934268462 53.799371683397865, 15.265341996423901 53.804371910696176, 15.069529087597179 54.0883798631647, 15.0356200888729 54.39639014419518, 14.997121051972654 54.53539076029571, 14.99121715879742 54.653394645247246, 14.988212809415957 54.787399111343845, 15.000109619765205 54.89740294284443, 14.95570639639115 54.9584045270985, 14.85210213395644 54.99940480277982, 14.686496600936602 55.02540390214883, 14.520791723293643 55.03140231760456, 14.305984285531643 55.07340141028423, 13.933072207201317 55.1213989660898, 13.709265298208098 55.14039715118643, 13.501459185573452 55.149395163030256, 13.128448287152343 55.164391529434724, 12.878041443112426 55.16138863055466, 12.819440026315307 55.155387771378095, 12.480828957005206 55.205385646989754, 12.324825319261171 55.18638324137793, 12.117819567166602 55.18838095850464, 11.850910234580022 55.24637986725071, 11.76090788031322 55.243378735264315, 11.661904650567571 55.25837810454365, 11.511899042114306 55.3013778278447, 11.403894181859696 55.35537840310444, 11.208987699041675 55.388377260075295)</t>
  </si>
  <si>
    <t>Cap 2</t>
  </si>
  <si>
    <t>LINESTRING (10.79388011885061 55.286368989345874, 10.743178106255938 55.30436900190291, 10.682376288978503 55.30936845834846, 10.645975309356023 55.309368031843036, 10.603374235670925 55.30736746506849, 10.566872677067275 55.323367574785536, 10.540571897933582 55.325367333201406, 10.534471625589266 55.32836736244413, 10.522370649344895 55.34636782581958, 10.51626990595621 55.36236829261592, 10.502069270438142 55.36936836131065, 10.467568197927822 55.37336809012607, 10.467568887024816 55.35436745060885, 10.439268996740388 55.330366310272304, 10.374367038417814 55.33636574769954, 10.317665300907096 55.342365280888146, 10.275062157187168 55.397366628450875, 10.0278531919811 55.46136585622288, 9.794745005683897 55.51436486796232, 9.725142331883513 55.536364778773326, 9.663939955430543 55.55636472164552, 9.554235724942519 55.591364588703776, 9.482533553341405 55.59836396447529, 9.448832469017304 55.60336372838686, 9.3095282775057 55.61636249087426)</t>
  </si>
  <si>
    <t>LINESTRING (8.40599954145113 55.744355829654246, 8.177592315602979 55.77635410385294, 6.518139759559453 55.71135025950466, 6.502439404798719 55.70935001634503)</t>
  </si>
  <si>
    <t>FLAGS</t>
  </si>
  <si>
    <t>MURCHISON</t>
  </si>
  <si>
    <t>LINESTRING (-1.8273011906041736 57.57928561600082, -1.8096498543132042 57.58140292090443, -1.803059720727481 57.58201702852837, -1.7830563592613837 57.58485738948573, -1.7751621843828451 57.58526750692933, -1.7657679622990274 57.58544763584898, -1.755433691704192 57.585065757255805, -1.7379301869350425 57.58339392679538, -1.7267628780674675 57.58262004522197, -1.7179636145438062 57.58156512286518, -1.705243259353352 57.5806112551612, -1.697012054703014 57.58055236038408, -1.6909399202235287 57.580874450852484, -1.684449794885975 57.58162656188416, -1.6799707227357548 57.58246364969206, -1.6757286707113954 57.58361774555851, -1.6696576192038934 57.585777900641, -1.6642585824186589 57.58789904559639, -1.6607375824003545 57.58981315880267, -1.6535926316970475 57.59478942695588, -1.6439006728550054 57.600970770716586, -1.6356137241329445 57.606612077200694, -1.630022737571981 57.60995026752481, -1.612618855603057 57.62202691937807, -1.6030679033103528 57.62827726387671, -1.6011399222337672 57.62974434065543, -1.5994649513259258 57.63129841720569, -1.5966530295579289 57.63455656859075, -1.5948311411110139 57.63801171403358, -1.5939412392366443 57.640662819022815, -1.5936623133884793 57.642451885689, -1.5936693949123226 57.644247948879894, -1.5938804813360115 57.646041009310984, -1.5946506208729587 57.648702093051625, -1.5992892522549287 57.66010943466787, -1.601487586479281 57.66628362367493, -1.6025088138458297 57.670739767472526, -1.6029049863749152 57.67432588875263, -1.602962110085702 57.67701998300581, -1.6028882305432097 57.67971307893706, -1.6014794792676301 57.68595431740799, -1.5994006674884673 57.691225530428234, -1.5970228044431676 57.695529713255254, -1.593446945113667 57.700564937505746, -1.587112076724046 57.70689724350781, -1.5826991414138012 57.71071443573101, -1.575442187121322 57.715657704775374, -1.5697461964762596 57.718954895388656, -1.5660551885866203 57.7207850080905, -1.5553511214277034 57.72512030061572, -1.5462630781260185 57.72910355966559, -1.5415200766011798 57.7316457112291, -1.5372930991185065 57.734435864836065, -1.5345251331246952 57.736685980369856, -1.5303542073984087 57.74058217233321, -1.5283672710282585 57.74305828569227, -1.5242074359544626 57.748937547608314, -1.513198937062066 57.76590729078214, -1.5097250818142034 57.77096651489945, -1.507678187210212 57.77438766253011, -1.5035933550670304 57.78028292421491, -1.500669518058861 57.7854401447055, -1.4914999077481497 57.79894774201755, -1.4879176559077454 57.804929405066744, -1.4866126998827316 57.806591480746285, -1.4794460282390358 57.81761696343919, -1.4753381971868822 57.8235132252085, -1.4738602787004624 57.826087335391385, -1.4710474033551393 57.830319521548226, -1.466828611977409 57.8371388174549, -1.4546491238043615 57.85484060178626, -1.4466465129529373 57.867617157816866, -1.441653740404138 57.87525049284838, -1.432380131694709 57.888743091025226, -1.4310142177258007 57.89134820101022, -1.4271963967462826 57.897290461055185, -1.4258044816337583 57.899883570975604, -1.4242045594422608 57.902433682089175, -1.4212926813681843 57.90664586914232, -1.4193007462991345 57.909124982864, -1.417523818830991 57.91165409556213, -1.4092182430894462 57.92532468791584, -1.4048914054602897 57.93116895131441, -1.401114586416412 57.937121211410044, -1.3953548335880601 57.94557058587063, -1.3887621404151715 57.95575703283363, -1.384616309424329 57.961641295466286, -1.3784715880429241 57.970969706320176, -1.3764066945539128 57.97438285427917, -1.3746598058453376 57.97772899573065, -1.3723149956032572 57.983094216616, -1.370696160038274 57.98752139478701, -1.369450248377028 57.99010050253575, -1.368790313832695 57.99187057394684, -1.3669294278030701 57.99533272105659, -1.362980646841341 58.00218401567632, -1.3562469936396853 58.01328449749057, -1.3534181190451469 58.017507684307034, -1.347748457371964 58.02784912546317, -1.3453985553041723 58.03122027583047, -1.3383248922728708 58.04227576078674, -1.336459962084217 58.04477887403444, -1.331546237994817 58.053357242942646, -1.3232696234082704 58.066088803404845, -1.3203697907454457 58.07124402450836, -1.3124731447556313 58.083086548612826, -1.3114211977623627 58.08478962290553, -1.3091603429601408 58.08912280652875, -1.3056454907460922 58.09418003227154, -1.3041395730550593 58.096755143530615, -1.3029086641505039 58.099372252708235, -1.3006977673530178 58.10277240253045, -1.2987998802498497 58.10621354974557, -1.2974919255460748 58.107885626307926, -1.2964199780047507 58.1095857007952, -1.29510906677127 58.11219381072694, -1.2919672268390792 58.117311033859565, -1.2899572929952592 58.119805148857886, -1.2881814101154716 58.123269295359194, -1.2842835899845344 58.12921255781803, -1.281870730474158 58.13351674257398, -1.2780229118954334 58.13946400458271, -1.276045022841145 58.14290015278368, -1.274198093912736 58.14541026629029, -1.272110201934468 58.14884141576596, -1.269886347860833 58.15315759856855, -1.2686033938347625 58.15482767480987, -1.26713347764772 58.157408785964385, -1.262105708533378 58.16503912348952, -1.2573279481808954 58.17272145966789, -1.2554520625591863 58.17617160714926, -1.252012213882521 58.181245832946615, -1.249904321289026 58.184668982515966, -1.2491403837840849 58.18641405472138, -1.2462285083128126 58.19063124311219, -1.2442376194936307 58.1940713917946, -1.2426397427761127 58.197560537116225, -1.24070085539833 58.2010026852153, -1.2373680105330274 58.206095910418064, -1.2343041301803834 58.21028609990564, -1.2279424061420854 58.219572514330096, -1.225366542226613 58.22385170069159, -1.220805745321228 58.230618001760504, -1.219224825937277 58.23318111390668, -1.2180279190481922 58.23580622327024, -1.2133441629648087 58.2435055593545, -1.2044335770234103 58.257080160544, -1.2015427475238807 58.26225338312179, -1.1963759755334817 58.26986172244208, -1.1944680897868636 58.2733108706267, -1.1883213745975756 58.2826462845653, -1.1839286287492017 58.29039261888526, -1.1768519718874884 58.301456106929784, -1.1727141903450342 58.308301405818646, -1.162160685429708 58.32443212078129, -1.1592858570329154 58.32960434344881, -1.1510302956930543 58.34330194163097, -1.138301898145106 58.36283880755395, -1.1343481232841888 58.369709105343624, -1.1320662256934655 58.37309025629435, -1.1170399766655141 58.396963308268106, -1.110261287628459 58.407136761621096, -1.1076893805025512 58.41046491457053, -1.1047935075720827 58.41468710383996, -1.096985963409898 58.42845769991938, -1.0957590122026002 58.43013877626817, -1.0921432051747706 58.4361300385276, -1.08822938821664 58.442068302801665, -1.0862715019787863 58.445506451811056, -1.08014979006798 58.45482786646077, -1.0776009296253293 58.45912105393778, -1.071543220633519 58.46846446866524, -1.0695163325698647 58.471896618444845, -1.063836591962615 58.48036899704336, -1.0614937381803473 58.48468818287482, -1.05991582024245 58.48725129560542, -1.0590058796459263 58.48898336975089, -1.055911134443701 58.49598266181107, -1.0482676869454144 58.51164532489679, -1.0464718506580246 58.51603550628093, -1.0447229719773103 58.51950965410337, -1.0383254762586722 58.533482240447846, -1.0374765814445626 58.53613834714214, -1.0366946450929326 58.537887420311066, -1.0344107938651586 58.54221660596865, -1.0313040491858982 58.549213898463975, -1.0265853867795316 58.55878530474957, -1.0256074882594404 58.561428412720204, -1.024368581968095 58.564046523199465, -1.023830653097555 58.565820594133896, -1.0198829265614278 58.573633927157616, -1.0172891542401559 58.57977018213557, -1.0144813312695342 58.584958405763274, -1.0124575326897431 58.59024062258306, -1.007726870698501 58.59980702921471, -1.005184100405699 58.60595028393086, -1.0001594737837016 58.61640272650333, -0.9915921792673547 58.635647532708184, -0.989408332024962 58.63998571778572, -0.9873514443762977 58.64341386836995, -0.9831826214845067 58.64930613547926, -0.9827536524205652 58.650177172525616, -0.9808688584776575 58.65546438803604, -0.9801729692509378 58.6581384936877, -0.979011065774971 58.6607616035814, -0.9780831695013705 58.663410711368854, -0.9762342892390887 58.66687886076117, -0.9721776055588638 58.67560122879484, -0.9701768089290118 58.68088644587101, -0.9667090998480631 58.688763775793376, -0.9653802359890994 58.69229392072686, -0.9586356905285099 58.705292478644395, -0.9571768228407124 58.70880862482189, -0.9542280412727289 58.714896883471674, -0.9524492082023406 58.719298065868074, -0.948595487367149 58.72711939908293, -0.9436159101912482 58.73850787613161, -0.9407320865465213 58.74368110098341, -0.9380632699326498 58.748885324177756, -0.9369323683270977 58.75151843425188, -0.9347645227213491 58.755856619592784, -0.9325597212172294 58.76112583914675, -0.9273601377215821 58.772479318160045, -0.9256002609840815 58.77595446700016, -0.9245913633939654 58.77860257609241, -0.9236744235487 58.78032865058714, -0.9207586887780373 58.787343942804185, -0.9198447497727991 58.789085017817456, -0.9184719301654644 58.793533196924166, -0.9153011879246581 58.80052349164843, -0.9076106603303365 58.81431709205627, -0.9050468932860944 58.82046934860452, -0.8952966160765712 58.84048920204134, -0.8936827891238993 58.844900383162646, -0.8918309101733871 58.84836553307594, -0.8893511009467893 58.85359475522122, -0.8819076288636273 58.868363388493464, -0.8768740539457914 58.87974286742107, -0.8749781737265108 58.8831990176947, -0.8740042778178809 58.88584812663056, -0.8708464927091869 58.89191838836226, -0.8697575935282674 58.8945594985299, -0.8678427125088465 58.898006648772395, -0.8660038791925737 58.90239183212123, -0.8636951211911339 58.90856708668115, -0.8602813732949939 58.91552738423661, -0.8592754768418364 58.918177493705855, -0.8579195687572739 58.92077260575067, -0.8565937071029901 58.924302751406906, -0.8550328380449148 58.92780389908776, -0.8536259287161617 58.93039901182161, -0.8519161001518692 58.93480619441831, -0.8509961608448384 58.936531269167986, -0.849488293499868 58.94003741637858, -0.8482514353346896 58.94358856169977, -0.8466095629571463 58.94706070944564, -0.845981633538179 58.948833782149315, -0.8395461066315407 58.96188134093615, -0.8364233689062125 58.96887763634814, -0.8345165803936013 58.97419685487549, -0.8302558511061392 58.98195719304453, -0.82933895774721 58.98461430176951, -0.8273381203801884 58.988981486929944, -0.8248803591867961 58.99514074334692, -0.8239734208666516 58.996873818315215, -0.8217576225568578 59.002147039338844, -0.8202737107495436 59.004722152529226, -0.8186938416366731 59.00821730050072, -0.8177569475104434 59.0108654092232, -0.8145032521886095 59.018775739974785, -0.8130493417502896 59.021360853177804, -0.8098076469559305 59.02927118384942, -0.8064099013668881 59.03622648179432, -0.8016403850727573 59.048558993804576, -0.7997055506735746 59.05293717876283, -0.7975717105113262 59.05730136582704, -0.7942538769304646 59.06241759580904, -0.7914769677568652 59.06571475237527, -0.7876760688680813 59.06975594947519, -0.7751373281801505 59.08157754467573, -0.7719374029741781 59.08476870295438, -0.7673764740927579 59.08859690227218, -0.7631215576048415 59.092516100930105, -0.7595036157891906 59.09558826035278, -0.7461868952094292 59.10821689546706, -0.7426519568212465 59.11131405476249, -0.7359190419160255 59.116559334303034, -0.7251011104970349 59.12360673305118, -0.7221121425316616 59.125818852914286, -0.7193941861665148 59.128123972643145, -0.7067194410753094 59.139912569030294, -0.6946246686157903 59.150841126518614, -0.688293770892864 59.156220405893734, -0.6844218697931318 59.16024460363069, -0.6685672014957067 59.17523835914832, -0.6616153301795673 59.18147267804014, -0.6285869932066007 59.21212123127449, -0.6241440699446152 59.21599143102303, -0.618329193584299 59.22152370958419, -0.6078033834261957 59.230852188756785, -0.6047864147747749 59.23306130908237, -0.5962195290148534 59.23984166937927, -0.5916705466409776 59.24257582895358, -0.5795496693149381 59.25138431003063, -0.5624577908425943 59.262769950533105, -0.5563618508766847 59.26716619130569, -0.5509118839934464 59.270683391416775, -0.5382269811834969 59.279273872048265, -0.5295040891539168 59.28600723291532, -0.5259381499626065 59.289094392731336, -0.5119874586756277 59.30259107015908, -0.5075075339860127 59.30644627014277, -0.4998667375281343 59.31452666654884, -0.496492806642298 59.317677826291785, -0.4788222219424982 59.33524570218171, -0.4753872886482601 59.33837886211651, -0.4697234193946231 59.343960141109896, -0.4481038822397417 59.364532179376305, -0.4457129397625835 59.3669332988592, -0.4421420516067798 59.371037496379145, -0.4382541512291129 59.37506269513837, -0.4303482947299526 59.38206605586182, -0.4263003883197819 59.38605325534703, -0.4236464354705274 59.38838337568974, -0.4188785514003988 59.3931926148389, -0.4103187202964999 59.401042015345645, -0.4047498553061716 59.40664929437227, -0.3953690426133418 59.415292734915084, -0.3913431375579708 59.41929193467417, -0.3891832040310664 59.42174705325515, -0.3860262820306082 59.424953212499254, -0.382377341009821 59.42803737366634, -0.3793724248331505 59.43127953227506, -0.3723125519551072 59.43750485365243, -0.3701456186637708 59.43996697262301, -0.3582489102877199 59.45199557099367, -0.3488710983745176 59.46064301199336, -0.3258476116446474 59.482889132453835, -0.3195087679506254 59.48930945192291, -0.285174496505132 59.52172309571839, -0.2741937751598373 59.5329886548495, -0.2634731140415978 59.54530724962875, -0.2532675698914271 59.55966591326662, -0.2434448937751905 59.57120646788087, -0.2412049580791476 59.573648587359465, -0.2314801855977057 59.58322806829298, -0.2278772467963407 59.586320229588566, -0.2229343573527943 59.591087470314086, -0.2200783967724004 59.593358591525686, -0.217969413983651 59.594800672339446, -0.2133014271279365 59.59749983298155, -0.19849936059665 59.60392326335292, -0.1932633445291536 59.60634342107162, -0.19082734607299 59.60764750104393, -0.1874213606288456 59.60971562192425, -0.1774434722236747 59.61713502645383, -0.1590268666794103 59.63454391083952, -0.1519019928132805 59.64075523365043, -0.1398841794943312 59.650716759122695, -0.1349392904804986 59.655488000285565, -0.1254755796574827 59.66612851784308, -0.1223276593621557 59.66934267796221, -0.1047810388604191 59.68597952319213, -0.1015971175967215 59.68919168376161, -0.0931362943529444 59.69708808676758, -0.0891213912449742 59.701090287492896, -0.0865844440393566 59.70345340818145, -0.081092532918566 59.70806965092518, -0.0749975958265816 59.712490894288024, -0.0670626310805184 59.7173311771453, -0.0607416837954063 59.72167042043321, -0.0496397453985189 59.72868382519445, -0.0358468552266564 59.738050352378764, -0.0291068885063889 59.74222759516207, -0.0194459595562349 59.748672960196, -0.0116590017258943 59.75357224345043, -0.0042690631685746 59.75864152788295, 0.0002619167180608 59.761405689500215, 0.0143568202668254 59.770668216973476, 0.0331927134269044 59.782614905922976, 0.043829629851353 59.789816311953516, 0.0602905279091259 59.80042492043701, 0.0699014541543493 59.80689728610821, 0.122585127611732 59.84085823458945, 0.143718953058252 59.85533204815018, 0.1514759086868577 59.86026033247946, 0.1698127772568405 59.87242802398179, 0.1818777015316685 59.880224471213246, 0.1910186641200772 59.885742795590495, 0.1976066225221413 59.89000504002183, 0.2113995706936092 59.898242526216436, 0.2496513230292097 59.923111950404596, 0.2553783001637122 59.92655915335644, 0.2695802073562308 59.935809682899674, 0.2845261507634301 59.94474721045284, 0.3020290379733806 59.95611786211607, 0.3098719974252602 59.961019146908264, 0.3174069422692082 59.966042432288084, 0.3308718736646788 59.974437920579476, 0.3405308013646792 59.98090828763288, 0.3539237289316345 59.989340776464864, 0.3724696061660778 60.00145346976537, 0.38152156404827 60.007020795293705, 0.4056404104045958 60.02265769282229, 0.4136203763907326 60.027505977635286, 0.4223163170030152 60.03322130420075, 0.4577611106341163 60.05582760969692, 0.4767790098240276 60.06776630316145, 0.4865859440290018 60.07418967080726, 0.490109933907689 60.076236793136, 0.4979158913598648 60.08116007869178, 0.5032338485873157 60.084780283222194, 0.5199087542164371 60.09536489584057, 0.5346406860461638 60.10442342615684, 0.5668855036678726 60.12489161116408, 0.574095432701652 60.13004989801023, 0.5784614034563957 60.13290906178968, 0.5935233509981945 60.14184059183654, 0.6025833085077185 60.14742391861444, 0.638341115119186 60.16995622719425, 0.6458150563126038 60.17501951404902, 0.6547450072469819 60.180661841494775, 0.6571920054640038 60.18198392280161, 0.663785963729564 60.18625616859079, 0.6875148490468806 60.2009490275642, 0.6973877857172557 60.20736239629375, 0.7034587200085098 60.21181964237097, 0.7053376919788193 60.21334672408851, 0.7086676174923361 60.21652888682292, 0.710907551134224 60.21898100802143, 0.716459358159297 60.225604328980154, 0.7210501289443447 60.232414644615886, 0.7248349197089425 60.23841591942616, 0.7281567929617022 60.24259211956117, 0.7317336258147463 60.24767535716434, 0.7554585051407576 60.2815929413184, 0.7700177932767315 60.30284293040554, 0.778062440024761 60.31381144792887, 0.7880059565179713 60.32825512119498, 0.7990524630978456 60.343457837530785, 0.801905317931446 60.34772003524776, 0.8062711284041025 60.3536203143536, 0.8157836854788667 60.36704094392424, 0.8179256063537191 60.36967007086879, 0.8211955278158648 60.37288023432234, 0.8239134800044017 60.375216357642586, 0.8278954319694025 60.37822052251416, 0.8310354030266975 60.38041964611246, 0.8354983772887518 60.38325281073978, 0.8452563672141529 60.38857013755378, 0.8760944194339921 60.40378311031924, 0.8852484432673423 60.408142393177066, 0.8966284530259041 60.41393975912551, 0.9162485044890935 60.4232803653291, 0.9497435658693355 60.43973641961267, 0.9874816550333037 60.4579095936808, 1.015736702399985 60.471891487033986, 1.035338753140691 60.481257094183576, 1.054635787161395 60.49078170347071, 1.1144469262516505 60.51968756886304, 1.1263409640021835 60.52524893276822, 1.166503050175057 60.544817191603066, 1.1875181103779575 60.55477683974719, 1.1964701234916013 60.55925712488102, 1.2122901719408967 60.566699610748735, 1.2488262642072216 60.584266747328186, 1.2603392811166267 60.59003411431288, 1.2644363010655604 60.59182423494391, 1.2867833661606565 60.60241492436107, 1.3060453988332943 60.611988535560506, 1.3140954309037933 60.61564377785526, 1.327116462395598 60.62194118442483, 1.3377955020681196 60.62684650801052, 1.3506305234782874 60.63323791579969, 1.3652885766099079 60.639999361064724, 1.3859756191719912 60.65015501284096, 1.3901376427099723 60.65191713327537, 1.3965976556901267 60.655095337080006, 1.4138077124726043 60.663146864231564, 1.421478723543489 60.66700410943017, 1.4281727496071641 60.670062311682, 1.4319887541618854 60.671999434360146, 1.4559098381498876 60.68310416385609, 1.4583818368595791 60.68443924639018, 1.4766668841108554 60.69324981632559, 1.5069849776108133 60.70758075080412, 1.516003994578036 60.71204903662967, 1.520961993747158 60.71469620103707, 1.5255289729530708 60.71751036681359, 1.5296439306731509 60.72048753302807, 1.5333538704682055 60.723585698681944, 1.5365857899954412 60.72680986303329, 1.5394236935982275 60.73012302574691, 1.5418415809591037 60.73351718618588, 1.5521799042479523 60.7516760114704, 1.5553296678691115 60.757770284414484, 1.5574145429850215 60.761212442505986, 1.5581444693692308 60.76297651919834, 1.5611202762712328 60.76816575541677, 1.5633541567499565 60.77158491456761, 1.566134956823015 60.776796149169506, 1.5721935743340008 60.78715362232071, 1.5818309197994151 60.80447840760332, 1.5878485351627356 60.81483988063044, 1.5891494316315335 60.817458997396535, 1.590781339959134 60.82003211664582, 1.5920962368953704 60.82264923352636, 1.5957340167438916 60.82867751056538, 1.598087850851299 60.833013706497944, 1.6041152181252343 60.84798135609924, 1.6060949895563943 60.85328058416039, 1.6074028858787894 60.85590070114099, 1.6085347270830839 60.85945185149846, 1.609782621379437 60.862076967916394, 1.622359271287089 60.89379534301052, 1.6249217028588245 60.89996153082894, 1.6282513127347296 60.90878691427547, 1.6316009731172194 60.91670226298825, 1.6353705468388648 60.92640468610824, 1.6489840921654808 60.959865153944584, 1.64990497191797 60.96252126841494, 1.6511418623933525 60.96514838590353, 1.6539735545249572 60.97219369466512, 1.6559153677867613 60.97658288936609, 1.6579211325026826 60.98188111999208, 1.6603009097292882 60.9871473542963, 1.66209382026061 60.989699476214355, 1.664197742664649 60.99219960019673, 1.66888066332973 60.9960788111201, 1.6711326490842064 60.99751289590524, 1.6802586664921326 61.00196918719035, 1.6839066595021392 61.00400231334931, 1.6881226183538849 61.00694848218146, 1.6899535849788303 61.00850756630001, 1.6915455412883342 61.01012764965224, 1.6929034880903933 61.01179673184046, 1.6940284257999374 61.01350781260777, 1.6958032839800605 61.01699197033646, 1.6997817101362913 61.029409501892204, 1.7004695817566058 61.03208061405664, 1.7010335199143505 61.03348867581704, 1.7032485579759278 61.03396072299909)</t>
  </si>
  <si>
    <t>Cap 3</t>
  </si>
  <si>
    <t>CATS</t>
  </si>
  <si>
    <t>TEESSIDE</t>
  </si>
  <si>
    <t>CATS PLATFORM</t>
  </si>
  <si>
    <t>LINESTRING (-1.106095943833066 54.62382372978179, -1.0392610041032484 54.6399780901311, -1.0153186721320568 54.64590858206126, -1.0069915499751043 54.64779274732804, -0.9968214135557727 54.65043996044925, -0.9896883356168055 54.65277612556046, -0.9817382710572415 54.65598232923288, -0.976852257161801 54.658648477101316, -0.9732602557703909 54.66084659357837, -0.9695102688298624 54.66353272795031, -0.9660962948036714 54.6663578626765, -0.9605273556122035 54.67146309867482, -0.9566544213183054 54.67564428340208, -0.9551604601868598 54.677621366552344, -0.9543684869542522 54.678835416050624, -0.9518276125428399 54.68379960976965, -0.9507796982086595 54.686758719439105, -0.9502437650428681 54.68889179576449, -0.9497688658012287 54.69189989990647, -0.9496139420959497 54.69404997204838, -0.9498894455296427 54.70742340542104, -0.9495895831126189 54.71130953612094, -0.9494790298335732 54.72338493209743, -0.9495810481986795 54.72381494487969, -0.9494540934665774 54.725109988790656, -0.9494373501730554 54.73201521471982, -0.9496655962279994 54.7384794232177, -0.9495157535038182 54.74279356615729, -0.9494578260733477 54.77158650884244, -0.9492560548452756 54.77783871600362, -0.9493970903802028 54.77870274252745, -0.9493451656719772 54.780750810221114, -0.9491362252695845 54.78247586930314, -0.9486062887204532 54.7845029422818, -0.9480033397266744 54.78624200674557, -0.946431425913017 54.789523133798944, -0.9445924843998706 54.79222824533201, -0.9407195465605108 54.79629242676781, -0.9382565651801124 54.798317523833504, -0.9345815763814673 54.8008956541438, -0.9309285667758405 54.802903765512056, -0.9279225451672816 54.804189845155115, -0.9195065034388089 54.808293084606866, -0.9102034432678252 54.81245433703877, -0.8893503258158814 54.82225191832296, -0.8699922060912639 54.83106644879077, -0.8586391454749623 54.83649476841121, -0.8486610776388963 54.84087803662231, -0.8430000517202613 54.84370119983195, -0.8183468985340668 54.854923875476956, -0.8107748726683082 54.85893810163681, -0.8047718768592703 54.86278030260639, -0.8026218869361091 54.864385382106725, -0.799610920091163 54.86714151013982, -0.7910999779530848 54.873974840641864, -0.7764670915905418 54.88610042137427, -0.7725391134840873 54.889125569736805, -0.7654081799155507 54.89532886248441, -0.7606032087519614 54.899084045802795, -0.7556722498864955 54.90324524405493, -0.7483503285954558 54.90989355390691, -0.7330615146670677 54.9243522200173, -0.712717743982017 54.94310009052429, -0.7079148058578139 54.947731302846094, -0.7058348248168028 54.94952838793496, -0.6810041186027183 54.97277146295124, -0.676084156661931 54.97684065834784, -0.6728762060657292 54.98014680728366, -0.6690652459187932 54.98357396773105, -0.6629823235544272 54.98941623612138, -0.6599073916642894 54.993135397063845, -0.6578434113767525 54.99494148233392, -0.6542984291484508 54.99761661471627, -0.6516404553381592 54.999963725238395, -0.6479075041036977 55.003577890953146, -0.6368846240644567 55.01361135928797, -0.6323346810515919 55.01795055915762, -0.6294297062259531 55.0204236769638, -0.6198488239446276 55.02949909588161, -0.6155768672238672 55.03330127462679, -0.5943721241583277 55.05328619882861, -0.5603944992483395 55.08432864815123, -0.553838573786331 55.09037392975149, -0.5508386164494256 55.09336606609543, -0.5452336710711949 55.09829329891318, -0.5359837827842786 55.1069937020215, -0.5289308581949876 55.11336900087493, -0.5271388886215441 55.11528608665601, -0.5234999224947186 55.11844223646183, -0.5180139589428754 55.12281444954222, -0.5126640153555126 55.12762867559013, -0.5103890609182777 55.130244790567794, -0.5071481087064156 55.13351993941018, -0.5022701590963567 55.13788114462496, -0.4853423596572404 55.15369087930934, -0.4639815938741831 55.173138790099955, -0.4625096164000816 55.174646858447396, -0.4564816771061977 55.17999211080651, -0.4477617819767563 55.18817249078601, -0.4405648529954624 55.19451479086277, -0.4379898926674705 55.19715891068372, -0.4280540013488555 55.20619333429831, -0.4224350726129116 55.21155958243709, -0.4167981286997083 55.216537817939106, -0.4030322886544507 55.22929741317755, -0.3969323468089494 55.23461666586445, -0.3923744046951717 55.23896986728007, -0.3871904536683506 55.24347808165664, -0.3777215704324873 55.252428497092545, -0.3696106507927431 55.25957883583237, -0.3568718010269071 55.27143738886696, -0.3506688603533453 55.27684864612394, -0.3406159753359015 55.28611107951554, -0.3350520489177133 55.291497328072545, -0.3314240787260393 55.29453347430802, -0.330747092137869 55.29530550844078, -0.3292830956824376 55.29630856005628, -0.3290631071135786 55.29674457731496, -0.3267631376025602 55.2989726801345, -0.3187522170980528 55.30603401500148, -0.3047253780055971 55.31896462034368, -0.3010504106695968 55.32210377068098, -0.2988774412285008 55.32425386937819, -0.2892085415529961 55.33288827749668, -0.2839726083152178 55.33788850935652, -0.2771746753156268 55.34386579325557, -0.2764866884181167 55.34463582749742, -0.2751306960329178 55.34567787912, -0.269044770778654 55.35141414617153, -0.2652808049683231 55.354647300854644, -0.2626088414597749 55.35726142131251, -0.2573528978160528 55.362000644832406, -0.2560059058421754 55.36304769652801, -0.2541139324974358 55.36491978254066, -0.2495639714312007 55.3687649674718, -0.2437840405481051 55.37416221953286, -0.2389920882974275 55.37838742019886, -0.2371701161024325 55.3802455049028, -0.2341871408455606 55.38274562548679, -0.2339231505430289 55.383162642697314, -0.2333761496561188 55.383479660085776, -0.2327391646112647 55.384265694259255, -0.2232732780930747 55.393110107392836, -0.220223300177049 55.39558222790627, -0.2132623758482361 55.40188252497342, -0.2094594087950608 55.405105679970674, -0.1836956967052708 55.42862278653547, -0.1760017741813639 55.43542310965062, -0.1715538419303831 55.43995131644076, -0.1673288786837698 55.44353448885328, -0.1646989152433472 55.44612060808711, -0.1486630822304012 55.46043328649615, -0.1457351237317968 55.46333241995896, -0.1452321195053822 55.46353543300742, -0.1401571682835518 55.467958644200365, -0.1381711914998098 55.46979673044081, -0.1379402024487505 55.4702247476474, -0.1373992018931266 55.47054676515536, -0.1339652439644788 55.47377491595635, -0.1301742777990584 55.477011071471566, -0.1286822998381419 55.47851114026605, -0.1254133286563749 55.48129227406454, -0.1227183643726057 55.48389539477416, -0.1076685182527944 55.497248029289985, -0.098988612914024 55.50510140043185, -0.0983546282528761 55.50589343486716, -0.0978686247338032 55.50610444798053, -0.0939996653052152 55.50956261201449, -0.0913796991217848 55.51206872861292, -0.0912637097256401 55.51241574169288, -0.090707703252831 55.512593754570176, -0.0874997346168426 55.51540188861103, -0.0872187436165267 55.515809905788124, -0.0851937603104014 55.51750198770334, -0.0756778776384609 55.526460406468445, -0.0714779157807698 55.53006057944988, -0.0713359254600085 55.53039959259087, -0.0703299265160776 55.53105262700219, -0.066018978643317 55.53508381584569, -0.0541860921213758 55.54538130850541, -0.0474661645198829 55.551434595230106, -0.0439912100406067 55.554773750530444, -0.0316803307916611 55.5655542655562, -0.0239114295782388 55.57294061022657, -0.0111275482087433 55.583958139288306, -0.0061556111698782 55.58867735968576, -0.0013086545812977 55.59281355894793, 0.0034022870679842 55.59725076666192, 0.0115802119874198 55.60427610450032, 0.018449125138074 55.61079040894169, 0.0332579822689242 55.62368802683826, 0.0414128861912716 55.63123838225152, 0.0504017999661959 55.639052756965334, 0.0522687744467616 55.64087184140316, 0.0524577620897779 55.6413078584339, 0.0529847670494985 55.64150787171174, 0.057451723840568 55.645400058254204, 0.06088468178237 55.64861920930452, 0.0674456187031959 55.65432548298579, 0.068993598276071 55.65581455237214, 0.0692455882092366 55.656230569517696, 0.0715515765764066 55.657964656571195, 0.078534505453227 55.664139951350364, 0.0827294518624541 55.66812913787399, 0.0842904368273796 55.66948720302608, 0.0848654391853706 55.669784220174556, 0.0857374132850182 55.670993271754575, 0.0882483992178258 55.67291736778303, 0.0916123686961272 55.6757955065674, 0.0939203376694391 55.6780296105387, 0.1005842789887491 55.68368488394411, 0.1085121841014975 55.69105723098634, 0.1177870954834264 55.69910561760719, 0.1357149045797281 55.71516438203996, 0.1525287362215348 55.729948089842146, 0.1605446449995086 55.737276436828104, 0.1768504839740577 55.751552121481176, 0.190795332186958 55.764119719296275, 0.1985812559755999 55.770917045718775, 0.2041392361119338 55.77488424882659, 0.2063282196762405 55.77666733628636, 0.2086391883985259 55.77890644068803, 0.2125561588465884 55.782100597321694, 0.2185890517789058 55.7885958919041, 0.223925001461754 55.79320411402012, 0.243843788309289 55.81105196521214, 0.2484467476810896 55.81495515446416, 0.2602576205098741 55.82555565996453, 0.2637325939119803 55.82839779933737, 0.269294527490684 55.833556043072996, 0.2727414993410423 55.83642018286645, 0.2850913682358952 55.847453709952084, 0.3152770703157645 55.87384097905122, 0.3188380278832392 55.877139135097224, 0.3229349936649702 55.88056130200568, 0.3303429125367732 55.88723962048016, 0.334945873788002 55.891091808291286, 0.3379878353297753 55.893964943531444, 0.345045770732159 55.900003236022776, 0.3498267138137091 55.904428445548184, 0.3612096046296315 55.91429292167109, 0.3624875802067581 55.91570998564928, 0.3650435676241481 55.917621082250406, 0.4134040775867478 55.96018212843041, 0.4200560170848381 55.965859403997264, 0.422383985856683 55.968101509130165, 0.4229059884919612 55.96835952437639, 0.4260839524975311 55.97125166216598, 0.4283539394574888 55.97299574964212, 0.442389790939468 55.985502349239034, 0.50262520341168 56.03789088037258, 0.5135030888182083 56.04756334497278, 0.5305799313625997 56.062178055070014, 0.5340798897535625 56.06540920868181, 0.5549526813789595 56.08367109057075, 0.5562656766871061 56.0846071387914, 0.5651665964212593 56.09217650751298, 0.5753684955739325 56.10107493780588, 0.5812824281841085 56.106458194964844, 0.5876413739417572 56.11178645577882, 0.5978072668928711 56.120816890308475, 0.6081021694567643 56.12968432093816, 0.6207960586473199 56.140381843936915, 0.629292967191379 56.147977208956355, 0.6334239512084768 56.15095236188197, 0.6337649436776088 56.15135437985967, 0.6353459450496571 56.152304431934645, 0.6391269301027405 56.15503557218981, 0.6474518680411319 56.161782906154045, 0.6493988420406153 56.16364999416289, 0.6577017715881274 56.170594334657004, 0.6614147198556366 56.17420850436112, 0.6653256350073937 56.17877870927528, 0.6668406126817502 56.18028377957053, 0.6981093085976258 56.20740209564722, 0.7273810382375256 56.23242231574811, 0.7347419634538618 56.238883628476934, 0.7498778294998254 56.251671254538024, 0.7648616743444281 56.26489389381697, 0.77042763147907 56.26943511860124, 0.7810085238358051 56.27872256846195, 0.7832005123924766 56.280374652322564, 0.7833664975501464 56.28084967069722, 0.7851504914519941 56.282113736184435, 0.7881554659244187 56.284624859620564, 0.7959303863125972 56.29146119067983, 0.8241251334630959 56.315351360607735, 0.8375019968955187 56.32709893007623, 0.861732771523864 56.347824942885836, 0.9090323446998434 56.38794390941908, 0.9099623256959867 56.38899695721018, 0.9112213250755742 56.38979700034198, 0.9365650945929188 56.41133105600523, 0.9683147952096864 56.43856638803753, 0.9961005531201123 56.461900537034495, 1.0103594202632131 56.47408713420058, 1.018214356884338 56.48055645478996, 1.0191503385232392 56.48159550226594, 1.021311316677592 56.48348459425202, 1.0280562602958068 56.48908787125021, 1.0374921672611186 56.497277270938554, 1.0461030989583222 56.5043386214804, 1.0557060074907838 56.51259202556194, 1.078291813570444 56.53147595792527, 1.0947466564555668 56.545623650912496, 1.1008526131555176 56.55050189523432, 1.1098805836768488 56.55686022690626, 1.1154635351493876 56.56154145799983, 1.1181024996935893 56.564063577965214, 1.122444424130703 56.56863879011167, 1.1292333507235226 56.57468608349497, 1.1340633190153773 56.5784812746558, 1.1404962518985802 56.58415055059439, 1.1650050344779783 56.60480156925598, 1.1696860018917117 56.60852475618659, 1.1790329099335748 56.616622152503396, 1.180007907339328 56.61729418785425, 1.1893158243844555 56.625144575178915, 1.193115767700084 56.628911752848644, 1.196868670612508 56.63364496350848, 1.1988985759972075 56.63724211348647, 1.200118489152809 56.64014222927646, 1.2008964082373659 56.64262032496351, 1.201473318727317 56.645184421167116, 1.201887071401493 56.651531646834954, 1.2017734088883851 56.71686191775553, 1.2018401862756567 56.722359109955555, 1.2019561716276914 56.72279012639273, 1.2018440813063374 56.74941305223493, 1.202092074192171 56.74974106672328, 1.2018440548531388 56.750060074776954, 1.2018667645015686 56.75717432294304, 1.202027406799865 56.766016633085925, 1.2019383352018196 56.767710691033464, 1.202141114938908 56.77321688547415, 1.2019460208348547 56.77539395896287, 1.2021300079810426 56.77582197615601, 1.2018310637707021 56.798675769453595, 1.202019701502028 56.807623083931404, 1.2018801005608264 56.82217358998788, 1.2020798086659752 56.82940184477415, 1.2018997687004518 56.830262872609715, 1.2018746971632264 56.83198793252553, 1.2019396301325793 56.85796684062432, 1.2017841199989359 56.87025626811069, 1.2019272318240817 56.891885025938805, 1.2018631262391226 56.89440411323103, 1.2016691035065605 56.89483512590453, 1.2019220967885953 56.895154140187124, 1.201796457096209 56.910568677764175, 1.20198729280166 56.91466282335325, 1.201995994383572 56.92188807626555, 1.2018616743489727 56.92954434254031, 1.2020535544347875 56.932561450512715, 1.2021110828379833 56.943991851364636, 1.201969833870665 56.94991705708479, 1.2021385992682527 56.95568426113667, 1.2020380762742964 56.96823969967953, 1.2021716287605604 56.97911008220684, 1.201889949645617 56.995293645951676, 1.2021838538749632 56.99777973674598, 1.2021256955235686 57.00155486838524, 1.2022535959265255 57.00402995675335, 1.2020204153671095 57.008230101151625, 1.2022580581241227 57.01696641049386, 1.2021058481514701 57.02191958235798, 1.2022917856133035 57.023536641387686, 1.2019713239487426 57.0344290195965, 1.2021710642063337 57.040787245205635, 1.2027769190700337 57.04464238801701, 1.2038048084990356 57.04792651602273, 1.205754675431181 57.05231569424918, 1.208703574738787 57.056540879105754, 1.24231174671049 57.09700371673613, 1.2444366845585288 57.09979484116035, 1.2495395712334147 57.1056371097341, 1.2620002573318738 57.12078779681226, 1.2666551539951236 57.12611304176896, 1.2710750391057395 57.13156928845309, 1.2775828867679961 57.13919963752505, 1.2831827414859938 57.14610294982097, 1.2911545527065884 57.155497379232614, 1.298102371243985 57.16408676770163, 1.3085961242421726 57.176410331682504, 1.3164789265226264 57.185954765552516, 1.3185038853573197 57.18817686892537, 1.3310815637683215 57.20354456630749, 1.3357234629674835 57.2087888086706, 1.3405453382673578 57.21471107720021, 1.3458892177250652 57.22085335998481, 1.3479201569798163 57.22354247998093, 1.359397889457996 57.23693509456966, 1.371169592490639 57.25120174382523, 1.4179214591574698 57.30671028356294, 1.4514786544212663 57.346290099035556, 1.4548425821739626 57.350056273976264, 1.4587424821344592 57.3548064904025, 1.4641673633636323 57.36093177441014, 1.475231088258192 57.3741963811022, 1.489999741668958 57.39140817368426, 1.5046993820507226 57.4088759747729, 1.50616035452798 57.41041804752722, 1.5219799650816785 57.42926291164202, 1.5427154769476783 57.453423025591555, 1.5489433258575958 57.46078136389058, 1.549440299538939 57.46170340277997, 1.5509152805922672 57.463050468859294, 1.5722317734643356 57.487987618382554, 1.577928622879824 57.49500193812875, 1.5794895638109063 57.49734104057693, 1.581539444478041 57.50139120990539, 1.5822893778379374 57.5034112909969, 1.5829892869193778 57.50596939060289, 1.5918513714127125 57.556188286883476, 1.5924322536225388 57.559293404616135, 1.592662243700806 57.559665420706295, 1.5924732135331936 57.56025443933875, 1.592931161123367 57.56175749851961, 1.5973891687554762 57.5876254750039, 1.5980750629896434 57.59050858621446, 1.5991969514414164 57.59379171708199, 1.6009918424095602 57.59742586879706, 1.6061106453885352 57.605134206870794, 1.627748860456454 57.636579595957514, 1.6328926634181236 57.64429193477091, 1.6368515290293062 57.649825181210346, 1.6388404446042182 57.652997319031094, 1.6444812618572833 57.660675662901674, 1.6465282176742335 57.662947769342196, 1.6496171685937313 57.66596791538793, 1.6554091308798218 57.67037014423719, 1.6804401462926881 57.68525798563963, 1.6973981657225157 57.69513854841603, 1.7055621654244437 57.7001198273999, 1.7732952327762967 57.73984908552808, 1.776342226514208 57.741852194862425, 1.7810951801158943 57.74582439575165, 1.7832591684739187 57.747413479366074, 1.789098181441979 57.750674668244066, 1.7979672396146682 57.75473892331505, 1.8002292415079395 57.75607499909329, 1.8010122516967255 57.7563170174316, 1.8012482275228026 57.75702004551634, 1.801762223091953 57.75743606676091)</t>
  </si>
  <si>
    <t>Cap 4</t>
  </si>
  <si>
    <t>44" Co2 injection SLEIPNER R, EASINGTON</t>
  </si>
  <si>
    <t>2006-10-01</t>
  </si>
  <si>
    <t>EASINGTON</t>
  </si>
  <si>
    <t>Co2 injection</t>
  </si>
  <si>
    <t>2024-05-25</t>
  </si>
  <si>
    <t>https://factpages.sodir.no/factpages/default.aspx?nav1=tuf&amp;nav2=PageView|Pipeline|All&amp;nav3=369498</t>
  </si>
  <si>
    <t>https://factmaps.sodir.no/factmaps/3_0/?run=PipelineByNPDID&amp;NPDID=369498</t>
  </si>
  <si>
    <t>LINESTRING (1.899695221113172 58.36436527043758, 1.8784147277470742 58.35608339708614, 1.850138658654632 58.341038489896164, 1.8409389688885731 58.32889193053247, 1.8254206604383028 58.316987892258354, 1.817204956533934 58.30553737567446, 1.799309087369085 58.29205066522481, 1.7869555250903297 58.27498589443389, 1.764993670007685 58.25877703540146, 1.749683217143433 58.23750107623741, 1.7358973286119976 58.22686252056317, 1.6188505027315663 58.10889481118326, 1.6125886598478378 58.10165547269084, 1.6101848864723851 58.09512920791515, 1.6102523595573162 58.08450582652492, 1.6000687353883531 58.047421366318446, 1.5013792065167715 57.84171876517869, 1.4040590209838884 57.63632581368914, 1.3179819853842516 57.51537844049209, 1.29433545304512 57.44339959195478, 1.1896400889962824 57.223380512825265, 1.187218640410845 57.208822969644636, 1.1685140002338135 57.04565799932774, 1.1688008648754984 56.807433667010045, 1.1680780376993984 56.80277649561659, 1.166123156518566 56.79867132827492, 1.1590063798473484 56.788821896865095, 1.1120108933437145 56.747194865586714, 1.107709988244552 56.74221363897368, 0.9372868461785486 56.44282315190418, 0.9361600473351338 56.43712394120704, 0.9374433255271666 56.43100874594434, 0.9404375971719453 56.42611961415787, 0.9562207131693672 56.40818519010667, 0.9584770060263339 56.402298014848355, 0.9582082510818832 56.396023795107276, 0.8252127156613631 55.972768641740736, 0.7029410893581942 55.57533666453199, 0.6506142793224539 55.05845672177157, 0.5901340949215869 54.44661982830093, 0.5385180611860005 54.329051369838716, 0.3965376078347606 54.16261624745859, 0.2969573911825778 53.959658493290895, 0.2740877003561589 53.90673851599404, 0.266623964650687 53.89413602111301, 0.1891298583283023 53.72956281570764, 0.1795411137006649 53.71570425739035, 0.1712915183957134 53.69839260535605, 0.1678125985223448 53.69372441440906, 0.162787629415652 53.68945121737258, 0.1283854800068933 53.67071220389232, 0.1225264955098541 53.666328993356274, 0.1145815833180996 53.65843864590715)</t>
  </si>
  <si>
    <t>Node</t>
  </si>
  <si>
    <t>Lon</t>
  </si>
  <si>
    <t>Lat</t>
  </si>
  <si>
    <t>POINT (4.6885411271899065 62.30272863854942)</t>
  </si>
  <si>
    <t>POINT (3.299816000000021 54.78949400000005)</t>
  </si>
  <si>
    <t>POINT (1.8459360000000515 61.18583000000007)</t>
  </si>
  <si>
    <t>POINT (4.835830000000044 60.55017500000008)</t>
  </si>
  <si>
    <t>POINT (1.8315257775840799 61.20244504760155)</t>
  </si>
  <si>
    <t>POINT (8.078544117903403 66.02933089940893)</t>
  </si>
  <si>
    <t>POINT (3.3305030000000215 56.490369000000044)</t>
  </si>
  <si>
    <t>POINT (2.824046186979235 60.48690045360807)</t>
  </si>
  <si>
    <t>POINT (1.9158663969962255 58.36494417383748)</t>
  </si>
  <si>
    <t>POINT (6.040633553887061 54.505801334185605)</t>
  </si>
  <si>
    <t>POINT (7.320245423867133 65.32149957863246)</t>
  </si>
  <si>
    <t>POINT (2.2345225779689404 59.57073787274495)</t>
  </si>
  <si>
    <t>POINT (2.235225487493093 59.5710753512132)</t>
  </si>
  <si>
    <t>POINT (5.186367036651123 59.33347985679702)</t>
  </si>
  <si>
    <t>POINT (4.838597003381002 60.545348486364595)</t>
  </si>
  <si>
    <t>POINT (4.556947118161138 55.4589823716383)</t>
  </si>
  <si>
    <t>POINT (2.8980550000000562 60.56063300000005)</t>
  </si>
  <si>
    <t>POINT (6.441258000000062 64.23325500000004)</t>
  </si>
  <si>
    <t>POINT (2.464404166053633 58.18814901741251)</t>
  </si>
  <si>
    <t>POINT (2.47373297460288 58.18440922901476)</t>
  </si>
  <si>
    <t>POINT (7.3264200000000415 53.67970000000008)</t>
  </si>
  <si>
    <t>POINT (2.507078083409305 61.077581935633745)</t>
  </si>
  <si>
    <t>POINT (6.945771217000072 62.85155868500004)</t>
  </si>
  <si>
    <t>POINT (23.587347985795937 70.68544371752996)</t>
  </si>
  <si>
    <t>POINT (5.3867635720000635 63.52808167000006)</t>
  </si>
  <si>
    <t>POINT (5.386515961000043 63.52807629000006)</t>
  </si>
  <si>
    <t>POINT (7.655832819801682 65.69374389912147)</t>
  </si>
  <si>
    <t>POINT (1.6999852660000556 61.02079773000003)</t>
  </si>
  <si>
    <t>POINT (1.7504700744273958 58.84241056287069)</t>
  </si>
  <si>
    <t>POINT (2.017515481000032 59.89496197300008)</t>
  </si>
  <si>
    <t>POINT (1.391137079000032 59.47797846900005)</t>
  </si>
  <si>
    <t>POINT (7.107227000000023 67.05561000000006)</t>
  </si>
  <si>
    <t>POINT (5.054176000000041 59.32680800000003)</t>
  </si>
  <si>
    <t>POINT (15.2599 53.8)</t>
  </si>
  <si>
    <t>POINT (-1.825651 57.579971)</t>
  </si>
  <si>
    <t>POINT (-1.104584 54.6246)</t>
  </si>
  <si>
    <t>POINT (3.229797000000076 51.35050800000005)</t>
  </si>
  <si>
    <t>POINT (6.801461000000074 65.08451600000006)</t>
  </si>
  <si>
    <t>POINT (7.189290000000028 53.34620000000007)</t>
  </si>
  <si>
    <t>POINT (8.658215539468927 63.39889096256076)</t>
  </si>
  <si>
    <t>POINT (2.4873353005609316 59.169726343631226)</t>
  </si>
  <si>
    <t>POINT (3.037825494927695 60.54332899789745)</t>
  </si>
  <si>
    <t>POINT (7.7910261052919605 64.3505675912103)</t>
  </si>
  <si>
    <t>POINT (2.2527090000000385 51.04640600000005)</t>
  </si>
  <si>
    <t>POINT (21.226541519000023 71.57133483900003)</t>
  </si>
  <si>
    <t>POINT (1.700189114000068 61.02201843300003)</t>
  </si>
  <si>
    <t>POINT (6.803659836000065 65.09447150000005)</t>
  </si>
  <si>
    <t>POINT (3.9049897926673562 61.33019377628744)</t>
  </si>
  <si>
    <t>POINT (1.898765933579508 58.370533807718)</t>
  </si>
  <si>
    <t>POINT (2.0113876660283125 60.50203530704454)</t>
  </si>
  <si>
    <t>POINT (2.254149831737414 58.83940567535009)</t>
  </si>
  <si>
    <t>POINT (2.5577715130093033 58.84193107233506)</t>
  </si>
  <si>
    <t>POINT (6.5038 55.71)</t>
  </si>
  <si>
    <t>POINT (1.705013 61.034477)</t>
  </si>
  <si>
    <t>POINT (1.803328 57.758069)</t>
  </si>
  <si>
    <t>POINT (0.1160310000000209 53.659231000000034)</t>
  </si>
  <si>
    <t>NO_NN</t>
  </si>
  <si>
    <t>Ruud</t>
  </si>
  <si>
    <t>NO_SG</t>
  </si>
  <si>
    <t xml:space="preserve"> </t>
  </si>
  <si>
    <t>UKE12</t>
  </si>
  <si>
    <t>UKM50</t>
  </si>
  <si>
    <t>NO_BG</t>
  </si>
  <si>
    <t>Facility start</t>
  </si>
  <si>
    <t>Facility end</t>
  </si>
  <si>
    <t>NO074</t>
  </si>
  <si>
    <t>NO060</t>
  </si>
  <si>
    <t>NO0A3</t>
  </si>
  <si>
    <t>NO0A2</t>
  </si>
  <si>
    <t>NO0A1</t>
  </si>
  <si>
    <t>Duplicate</t>
  </si>
  <si>
    <t>ERROR in the map: Snøhvit is the offshore terminal; Melkøya/Hammerfest the onshore facility</t>
  </si>
  <si>
    <t>DK_WW</t>
  </si>
  <si>
    <t>NO_AD</t>
  </si>
  <si>
    <t>NO_OL</t>
  </si>
  <si>
    <t>NO_KV</t>
  </si>
  <si>
    <t>L_NOR</t>
  </si>
  <si>
    <t>NO_TR</t>
  </si>
  <si>
    <t>NO_BO</t>
  </si>
  <si>
    <t>NO_ML</t>
  </si>
  <si>
    <t>NO_AE</t>
  </si>
  <si>
    <t>NO_JS</t>
  </si>
  <si>
    <t>NO_GS</t>
  </si>
  <si>
    <t>NO_DE</t>
  </si>
  <si>
    <t>NO_DS</t>
  </si>
  <si>
    <t>NO_CP</t>
  </si>
  <si>
    <t>NO_EV</t>
  </si>
  <si>
    <t>FRE12</t>
  </si>
  <si>
    <t>BE251</t>
  </si>
  <si>
    <t>DE947</t>
  </si>
  <si>
    <t>norpipe</t>
  </si>
  <si>
    <t>NOB11</t>
  </si>
  <si>
    <t>comment</t>
  </si>
  <si>
    <t>FLAGS from Brent to St Fergus</t>
  </si>
  <si>
    <t>NO_FT</t>
  </si>
  <si>
    <t>NO_BR</t>
  </si>
  <si>
    <t>Start of Flags, with Brent, add node to NUTS3 overview</t>
  </si>
  <si>
    <t>Brent, add node to NUTS3 overview</t>
  </si>
  <si>
    <t>Connection from Martin Linge field, to Pipeline Frigg UK (FUKA) which goes on to St. Fergus</t>
  </si>
  <si>
    <t>NO_SA</t>
  </si>
  <si>
    <t>NO_SR</t>
  </si>
  <si>
    <t>Primary function is to mix gas</t>
  </si>
  <si>
    <t>Coastal processing facility</t>
  </si>
  <si>
    <t>Connection to Statpipe, towards Kårstø</t>
  </si>
  <si>
    <t>UKE22</t>
  </si>
  <si>
    <t>Connection point</t>
  </si>
  <si>
    <t>Norpipe H-7
person NORWEGIAN PETROLEUM MUSEUM
platform - pumping/compressor station Norpipe from Ekofisk to Emden</t>
  </si>
  <si>
    <t>DE_H7</t>
  </si>
  <si>
    <t>Sleipner Vest  two platforms:  production/wellhead  Sleipner B and  processing  treatment  Sleipner T.</t>
  </si>
  <si>
    <t>Sleipner area fields Sleipner Øst, Gungne and Sleipner Vest. Sleipner installations also process from tie-in fields Sigyn, Volve, Gudrun, Gina Krog.
Sleipner consists of the following installations:
Sleipner A - Processing, drilling and Living quarter platform
Sleipner R - Riser platform for gas export and condensate export
Sleipner T - Processing and CO2 removal platform
Sleipner B - Unmanned production platform</t>
  </si>
  <si>
    <t>https://www.equinor.com/energy/sleipner</t>
  </si>
  <si>
    <t>Cap</t>
  </si>
  <si>
    <t>Type</t>
  </si>
  <si>
    <t>Processing</t>
  </si>
  <si>
    <t>export riser base</t>
  </si>
  <si>
    <t>Import hub</t>
  </si>
  <si>
    <t>Platform</t>
  </si>
  <si>
    <t>These are not fields!</t>
  </si>
  <si>
    <t>Grane, Mariner, Vesterled, St. Fergus</t>
  </si>
  <si>
    <t>NO_?</t>
  </si>
  <si>
    <t>SCP</t>
  </si>
  <si>
    <t>#</t>
  </si>
  <si>
    <t>X1</t>
  </si>
  <si>
    <t>X2</t>
  </si>
  <si>
    <t>Z_check_ruud</t>
  </si>
  <si>
    <t>EUROPIPE-SCP - check coordinates see #24 &amp; #28</t>
  </si>
  <si>
    <t>EUROPIPE-SCP - check coordinates see #24 &amp; #28; coordinates reversed?</t>
  </si>
  <si>
    <t>BE_ZP</t>
  </si>
  <si>
    <t>DE_EP</t>
  </si>
  <si>
    <t>SKIP</t>
  </si>
  <si>
    <t>Platform - Note: Frigg  field - Norwegian block 25/1 i North Sea, on the boundary with UKD. Production closed 2004.</t>
  </si>
  <si>
    <t>Denmark 1</t>
  </si>
  <si>
    <t>Denmark 2</t>
  </si>
  <si>
    <t>Z1</t>
  </si>
  <si>
    <t>Z2</t>
  </si>
  <si>
    <t>DK_1?</t>
  </si>
  <si>
    <t>DK_2?</t>
  </si>
  <si>
    <t>Berend, do you have an exact map or location for this pipeline? Then I can check NUTS3 regions</t>
  </si>
  <si>
    <t>Denmark 3</t>
  </si>
  <si>
    <t>Denmark 4</t>
  </si>
  <si>
    <t>Z3</t>
  </si>
  <si>
    <t>Z4</t>
  </si>
  <si>
    <t>DK_3?</t>
  </si>
  <si>
    <t>DK_4?</t>
  </si>
  <si>
    <t>PL_??</t>
  </si>
  <si>
    <t>Melkoya en Snohvit coordinaten omgewisseld.</t>
  </si>
  <si>
    <t>Coordinaten DK_1 tm DK_4 toegevoegd</t>
  </si>
  <si>
    <t>Foutje met Europipe-SCP en Emden opgelost.</t>
  </si>
  <si>
    <t>Question: Norpipe</t>
  </si>
  <si>
    <t>EMDEN 2</t>
  </si>
  <si>
    <t>Tijdelijke node voor visualisatie.</t>
  </si>
  <si>
    <t>Added Emden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</si>
</sst>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9" x14ac:knownFonts="1">
    <font>
      <sz val="11"/>
      <color theme="1"/>
      <name val="Calibri"/>
      <family val="2"/>
      <scheme val="minor"/>
    </font>
    <font>
      <b/>
      <sz val="11"/>
      <name val="Calibri"/>
      <family val="2"/>
    </font>
    <font>
      <b/>
      <sz val="11"/>
      <name val="Calibri"/>
      <family val="2"/>
    </font>
    <font>
      <b/>
      <sz val="11"/>
      <color theme="1"/>
      <name val="Calibri"/>
      <family val="2"/>
      <scheme val="minor"/>
    </font>
    <font>
      <sz val="11"/>
      <color rgb="FFFF0000"/>
      <name val="Calibri"/>
      <family val="2"/>
      <scheme val="minor"/>
    </font>
    <font>
      <u/>
      <sz val="11"/>
      <color theme="10"/>
      <name val="Calibri"/>
      <family val="2"/>
      <scheme val="minor"/>
    </font>
    <font>
      <b/>
      <sz val="11"/>
      <color rgb="FF0070C0"/>
      <name val="Calibri"/>
      <family val="2"/>
      <scheme val="minor"/>
    </font>
    <font>
      <sz val="11"/>
      <name val="Calibri"/>
      <family val="2"/>
      <scheme val="minor"/>
    </font>
    <font>
      <sz val="8"/>
      <name val="Calibri"/>
      <family val="2"/>
      <scheme val="minor"/>
    </font>
  </fonts>
  <fills count="9">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00FA00"/>
        <bgColor indexed="64"/>
      </patternFill>
    </fill>
    <fill>
      <patternFill patternType="solid">
        <fgColor rgb="FF00B0F0"/>
        <bgColor indexed="64"/>
      </patternFill>
    </fill>
    <fill>
      <patternFill patternType="solid">
        <fgColor theme="8" tint="0.39997558519241921"/>
        <bgColor indexed="64"/>
      </patternFill>
    </fill>
    <fill>
      <patternFill patternType="solid">
        <fgColor theme="6"/>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5" fillId="0" borderId="0" applyNumberFormat="0" applyFill="0" applyBorder="0" applyAlignment="0" applyProtection="0"/>
  </cellStyleXfs>
  <cellXfs count="38">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1" fillId="3" borderId="1" xfId="0" applyFont="1" applyFill="1" applyBorder="1" applyAlignment="1">
      <alignment horizontal="center" vertical="top"/>
    </xf>
    <xf numFmtId="0" fontId="0" fillId="3" borderId="0" xfId="0" applyFill="1"/>
    <xf numFmtId="164" fontId="0" fillId="0" borderId="0" xfId="0" applyNumberFormat="1"/>
    <xf numFmtId="0" fontId="0" fillId="0" borderId="0" xfId="0" applyAlignment="1">
      <alignment wrapText="1"/>
    </xf>
    <xf numFmtId="0" fontId="1" fillId="0" borderId="1" xfId="0" applyFont="1" applyBorder="1" applyAlignment="1">
      <alignment horizontal="center" vertical="top" wrapText="1"/>
    </xf>
    <xf numFmtId="0" fontId="1" fillId="2" borderId="1" xfId="0" applyFont="1" applyFill="1" applyBorder="1" applyAlignment="1">
      <alignment horizontal="center" vertical="top" wrapText="1"/>
    </xf>
    <xf numFmtId="2" fontId="0" fillId="0" borderId="0" xfId="0" applyNumberFormat="1"/>
    <xf numFmtId="2" fontId="0" fillId="3" borderId="0" xfId="0" applyNumberFormat="1" applyFill="1"/>
    <xf numFmtId="0" fontId="2" fillId="3" borderId="2" xfId="0" applyFont="1" applyFill="1" applyBorder="1" applyAlignment="1">
      <alignment horizontal="center" vertical="top"/>
    </xf>
    <xf numFmtId="2" fontId="0" fillId="0" borderId="0" xfId="0" applyNumberFormat="1" applyAlignment="1">
      <alignment horizontal="center"/>
    </xf>
    <xf numFmtId="0" fontId="0" fillId="0" borderId="0" xfId="0" applyAlignment="1">
      <alignment horizontal="center"/>
    </xf>
    <xf numFmtId="0" fontId="0" fillId="3" borderId="0" xfId="0" applyFill="1" applyAlignment="1">
      <alignment horizontal="center"/>
    </xf>
    <xf numFmtId="0" fontId="2" fillId="0" borderId="2" xfId="0" applyFont="1" applyBorder="1" applyAlignment="1">
      <alignment horizontal="center" vertical="top"/>
    </xf>
    <xf numFmtId="0" fontId="3" fillId="0" borderId="0" xfId="0" applyFont="1" applyAlignment="1">
      <alignment horizontal="center"/>
    </xf>
    <xf numFmtId="0" fontId="3" fillId="4" borderId="0" xfId="0" applyFont="1" applyFill="1" applyAlignment="1">
      <alignment horizontal="center"/>
    </xf>
    <xf numFmtId="0" fontId="4" fillId="0" borderId="0" xfId="0" applyFont="1"/>
    <xf numFmtId="0" fontId="0" fillId="2" borderId="0" xfId="0" applyFill="1" applyAlignment="1">
      <alignment wrapText="1"/>
    </xf>
    <xf numFmtId="0" fontId="0" fillId="2" borderId="0" xfId="0" applyFill="1" applyAlignment="1">
      <alignment horizontal="center"/>
    </xf>
    <xf numFmtId="0" fontId="4" fillId="2" borderId="0" xfId="0" applyFont="1" applyFill="1" applyAlignment="1">
      <alignment horizontal="center"/>
    </xf>
    <xf numFmtId="0" fontId="4" fillId="3" borderId="0" xfId="0" applyFont="1" applyFill="1"/>
    <xf numFmtId="2" fontId="0" fillId="5" borderId="0" xfId="0" applyNumberFormat="1" applyFill="1"/>
    <xf numFmtId="2" fontId="0" fillId="6" borderId="0" xfId="0" applyNumberFormat="1" applyFill="1"/>
    <xf numFmtId="0" fontId="0" fillId="6" borderId="0" xfId="0" applyFill="1"/>
    <xf numFmtId="2" fontId="0" fillId="7" borderId="0" xfId="0" applyNumberFormat="1" applyFill="1" applyAlignment="1">
      <alignment horizontal="center"/>
    </xf>
    <xf numFmtId="0" fontId="5" fillId="0" borderId="0" xfId="1"/>
    <xf numFmtId="165" fontId="0" fillId="0" borderId="0" xfId="0" applyNumberFormat="1" applyAlignment="1">
      <alignment horizontal="right"/>
    </xf>
    <xf numFmtId="0" fontId="0" fillId="4" borderId="0" xfId="0" applyFill="1" applyAlignment="1">
      <alignment horizontal="center"/>
    </xf>
    <xf numFmtId="0" fontId="6" fillId="0" borderId="0" xfId="0" applyFont="1"/>
    <xf numFmtId="2" fontId="4" fillId="0" borderId="0" xfId="0" applyNumberFormat="1" applyFont="1"/>
    <xf numFmtId="0" fontId="7" fillId="2" borderId="0" xfId="0" applyFont="1" applyFill="1" applyAlignment="1">
      <alignment horizontal="center"/>
    </xf>
    <xf numFmtId="165" fontId="0" fillId="6" borderId="0" xfId="0" applyNumberFormat="1" applyFill="1" applyAlignment="1">
      <alignment horizontal="right"/>
    </xf>
    <xf numFmtId="2" fontId="4" fillId="0" borderId="0" xfId="0" applyNumberFormat="1" applyFont="1" applyAlignment="1">
      <alignment horizontal="center"/>
    </xf>
    <xf numFmtId="0" fontId="3" fillId="0" borderId="0" xfId="0" applyFont="1"/>
    <xf numFmtId="0" fontId="0" fillId="8" borderId="0" xfId="0" applyFill="1"/>
  </cellXfs>
  <cellStyles count="2">
    <cellStyle name="Hyperlink" xfId="1" builtinId="8"/>
    <cellStyle name="Standaard" xfId="0" builtinId="0"/>
  </cellStyles>
  <dxfs count="0"/>
  <tableStyles count="0" defaultTableStyle="TableStyleMedium9" defaultPivotStyle="PivotStyleLight16"/>
  <colors>
    <mruColors>
      <color rgb="FF00F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equinor.com/energy/sleipn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2"/>
  <sheetViews>
    <sheetView zoomScale="130" zoomScaleNormal="130" workbookViewId="0">
      <pane xSplit="4" ySplit="1" topLeftCell="E2" activePane="bottomRight" state="frozen"/>
      <selection pane="topRight" activeCell="E1" sqref="E1"/>
      <selection pane="bottomLeft" activeCell="A2" sqref="A2"/>
      <selection pane="bottomRight" activeCell="D18" sqref="D18"/>
    </sheetView>
  </sheetViews>
  <sheetFormatPr baseColWidth="10" defaultColWidth="8.83203125" defaultRowHeight="15" x14ac:dyDescent="0.2"/>
  <cols>
    <col min="1" max="1" width="3.1640625" bestFit="1" customWidth="1"/>
    <col min="2" max="2" width="25.1640625" customWidth="1"/>
    <col min="3" max="3" width="6.83203125" customWidth="1"/>
    <col min="4" max="4" width="19.33203125" style="3" bestFit="1" customWidth="1"/>
    <col min="5" max="5" width="13.6640625" customWidth="1"/>
    <col min="6" max="6" width="10.1640625" hidden="1" customWidth="1"/>
    <col min="7" max="7" width="13.1640625" hidden="1" customWidth="1"/>
    <col min="8" max="8" width="14.33203125" hidden="1" customWidth="1"/>
    <col min="9" max="9" width="17.5" customWidth="1"/>
    <col min="10" max="10" width="16.83203125" customWidth="1"/>
    <col min="11" max="11" width="12.5" hidden="1" customWidth="1"/>
    <col min="12" max="12" width="4.33203125" customWidth="1"/>
    <col min="13" max="13" width="4.1640625" hidden="1" customWidth="1"/>
    <col min="14" max="14" width="3.33203125" customWidth="1"/>
    <col min="15" max="15" width="9.83203125" hidden="1" customWidth="1"/>
    <col min="16" max="16" width="9.1640625" hidden="1" customWidth="1"/>
    <col min="17" max="17" width="7.83203125" hidden="1" customWidth="1"/>
    <col min="18" max="18" width="9.6640625" hidden="1" customWidth="1"/>
    <col min="19" max="19" width="10.1640625" hidden="1" customWidth="1"/>
    <col min="20" max="22" width="2.6640625" customWidth="1"/>
    <col min="23" max="23" width="6.6640625" customWidth="1"/>
    <col min="24" max="27" width="6.5" customWidth="1"/>
    <col min="28" max="28" width="9.6640625" customWidth="1"/>
    <col min="29" max="29" width="10.5" customWidth="1"/>
  </cols>
  <sheetData>
    <row r="1" spans="1:30" s="7" customFormat="1" ht="29" customHeight="1" x14ac:dyDescent="0.2">
      <c r="A1" s="7" t="s">
        <v>480</v>
      </c>
      <c r="B1" s="8" t="s">
        <v>0</v>
      </c>
      <c r="C1" s="8" t="s">
        <v>1</v>
      </c>
      <c r="D1" s="9" t="s">
        <v>2</v>
      </c>
      <c r="E1" s="8" t="s">
        <v>3</v>
      </c>
      <c r="F1" s="8" t="s">
        <v>4</v>
      </c>
      <c r="G1" s="8" t="s">
        <v>5</v>
      </c>
      <c r="H1" s="8" t="s">
        <v>6</v>
      </c>
      <c r="I1" s="8" t="s">
        <v>7</v>
      </c>
      <c r="J1" s="8" t="s">
        <v>8</v>
      </c>
      <c r="K1" s="8" t="s">
        <v>9</v>
      </c>
      <c r="L1" s="8" t="s">
        <v>10</v>
      </c>
      <c r="M1" s="8" t="s">
        <v>11</v>
      </c>
      <c r="N1" s="8" t="s">
        <v>12</v>
      </c>
      <c r="O1" s="8" t="s">
        <v>13</v>
      </c>
      <c r="P1" s="8" t="s">
        <v>14</v>
      </c>
      <c r="Q1" s="8" t="s">
        <v>15</v>
      </c>
      <c r="R1" s="8" t="s">
        <v>16</v>
      </c>
      <c r="S1" s="8" t="s">
        <v>17</v>
      </c>
      <c r="T1" s="8" t="s">
        <v>18</v>
      </c>
      <c r="U1" s="8" t="s">
        <v>19</v>
      </c>
      <c r="V1" s="8" t="s">
        <v>20</v>
      </c>
      <c r="W1" s="8" t="s">
        <v>21</v>
      </c>
      <c r="X1" s="8" t="s">
        <v>22</v>
      </c>
      <c r="Y1" s="8" t="s">
        <v>23</v>
      </c>
      <c r="Z1" s="8" t="s">
        <v>24</v>
      </c>
      <c r="AA1" s="8" t="s">
        <v>25</v>
      </c>
      <c r="AB1" s="20" t="s">
        <v>422</v>
      </c>
      <c r="AC1" s="20" t="s">
        <v>423</v>
      </c>
      <c r="AD1" s="7" t="s">
        <v>451</v>
      </c>
    </row>
    <row r="2" spans="1:30" x14ac:dyDescent="0.2">
      <c r="A2" s="1">
        <v>22</v>
      </c>
      <c r="B2" t="s">
        <v>176</v>
      </c>
      <c r="C2">
        <v>325524</v>
      </c>
      <c r="D2" s="3" t="s">
        <v>49</v>
      </c>
      <c r="E2" t="s">
        <v>177</v>
      </c>
      <c r="F2" t="s">
        <v>178</v>
      </c>
      <c r="G2" t="s">
        <v>30</v>
      </c>
      <c r="H2" t="s">
        <v>179</v>
      </c>
      <c r="I2" s="37" t="s">
        <v>177</v>
      </c>
      <c r="J2" s="37" t="s">
        <v>180</v>
      </c>
      <c r="K2" t="s">
        <v>34</v>
      </c>
      <c r="L2">
        <v>8.625</v>
      </c>
      <c r="M2">
        <v>136</v>
      </c>
      <c r="N2" t="s">
        <v>35</v>
      </c>
      <c r="O2">
        <v>43651</v>
      </c>
      <c r="P2">
        <v>277405</v>
      </c>
      <c r="Q2">
        <v>287037</v>
      </c>
      <c r="R2">
        <v>34925006</v>
      </c>
      <c r="S2" t="s">
        <v>36</v>
      </c>
      <c r="T2" t="s">
        <v>181</v>
      </c>
      <c r="U2" t="s">
        <v>182</v>
      </c>
      <c r="V2" t="s">
        <v>183</v>
      </c>
      <c r="W2" s="3"/>
      <c r="X2" s="10">
        <v>2.8980550000000558</v>
      </c>
      <c r="Y2" s="10">
        <v>60.560633000000053</v>
      </c>
      <c r="Z2" s="10">
        <v>3.037825494927695</v>
      </c>
      <c r="AA2" s="10">
        <v>60.543328997897447</v>
      </c>
      <c r="AB2" s="21" t="str">
        <f>VLOOKUP(I2,facilities!$B:$Z,9,FALSE)</f>
        <v>NO_BG</v>
      </c>
      <c r="AC2" s="21" t="str">
        <f>VLOOKUP(J2,facilities!$B:$Z,9,FALSE)</f>
        <v>NO_BG</v>
      </c>
    </row>
    <row r="3" spans="1:30" x14ac:dyDescent="0.2">
      <c r="A3" s="1">
        <v>23</v>
      </c>
      <c r="B3" t="s">
        <v>184</v>
      </c>
      <c r="C3">
        <v>326068</v>
      </c>
      <c r="D3" s="3" t="s">
        <v>185</v>
      </c>
      <c r="E3" t="s">
        <v>186</v>
      </c>
      <c r="F3" t="s">
        <v>178</v>
      </c>
      <c r="G3" t="s">
        <v>30</v>
      </c>
      <c r="H3" t="s">
        <v>187</v>
      </c>
      <c r="I3" t="s">
        <v>188</v>
      </c>
      <c r="J3" t="s">
        <v>189</v>
      </c>
      <c r="K3" t="s">
        <v>34</v>
      </c>
      <c r="L3">
        <v>16</v>
      </c>
      <c r="M3">
        <v>344</v>
      </c>
      <c r="N3" t="s">
        <v>35</v>
      </c>
      <c r="O3">
        <v>1035952</v>
      </c>
      <c r="P3">
        <v>272393</v>
      </c>
      <c r="Q3">
        <v>287373</v>
      </c>
      <c r="R3">
        <v>34925006</v>
      </c>
      <c r="S3" t="s">
        <v>36</v>
      </c>
      <c r="T3" t="s">
        <v>190</v>
      </c>
      <c r="U3" t="s">
        <v>191</v>
      </c>
      <c r="V3" t="s">
        <v>192</v>
      </c>
      <c r="W3">
        <v>5</v>
      </c>
      <c r="X3" s="10">
        <v>6.4412580000000617</v>
      </c>
      <c r="Y3" s="10">
        <v>64.233255000000042</v>
      </c>
      <c r="Z3" s="10">
        <v>7.7910261052919596</v>
      </c>
      <c r="AA3" s="10">
        <v>64.350567591210293</v>
      </c>
      <c r="AB3" s="21" t="str">
        <f>VLOOKUP(I3,facilities!$B:$Z,9,FALSE)</f>
        <v>NO_NN</v>
      </c>
      <c r="AC3" s="21" t="str">
        <f>VLOOKUP(J3,facilities!$B:$Z,9,FALSE)</f>
        <v>NO_NN</v>
      </c>
    </row>
    <row r="4" spans="1:30" x14ac:dyDescent="0.2">
      <c r="A4" s="1">
        <v>0</v>
      </c>
      <c r="B4" t="s">
        <v>26</v>
      </c>
      <c r="C4">
        <v>307674</v>
      </c>
      <c r="D4" s="3" t="s">
        <v>27</v>
      </c>
      <c r="E4" t="s">
        <v>28</v>
      </c>
      <c r="F4" t="s">
        <v>29</v>
      </c>
      <c r="G4" t="s">
        <v>30</v>
      </c>
      <c r="H4" t="s">
        <v>31</v>
      </c>
      <c r="I4" t="s">
        <v>32</v>
      </c>
      <c r="J4" t="s">
        <v>33</v>
      </c>
      <c r="K4" t="s">
        <v>34</v>
      </c>
      <c r="L4">
        <v>42</v>
      </c>
      <c r="M4">
        <v>372</v>
      </c>
      <c r="N4" t="s">
        <v>35</v>
      </c>
      <c r="O4">
        <v>2252643</v>
      </c>
      <c r="P4">
        <v>282613</v>
      </c>
      <c r="Q4">
        <v>286169</v>
      </c>
      <c r="R4">
        <v>1944954</v>
      </c>
      <c r="S4" t="s">
        <v>36</v>
      </c>
      <c r="T4" t="s">
        <v>37</v>
      </c>
      <c r="U4" t="s">
        <v>38</v>
      </c>
      <c r="V4" t="s">
        <v>39</v>
      </c>
      <c r="W4">
        <v>70</v>
      </c>
      <c r="X4" s="6">
        <v>4.6885411271899056</v>
      </c>
      <c r="Y4" s="6">
        <v>62.302728638549418</v>
      </c>
      <c r="Z4" s="6">
        <v>4.6885411271899056</v>
      </c>
      <c r="AA4" s="6">
        <v>62.302728638549418</v>
      </c>
      <c r="AB4" s="21" t="str">
        <f>VLOOKUP(I4,facilities!$B:$Z,9,FALSE)</f>
        <v>NO0A2</v>
      </c>
      <c r="AC4" s="21" t="str">
        <f>VLOOKUP(J4,facilities!$B:$Z,9,FALSE)</f>
        <v>NO0A1</v>
      </c>
    </row>
    <row r="5" spans="1:30" x14ac:dyDescent="0.2">
      <c r="A5" s="1">
        <v>24</v>
      </c>
      <c r="B5" t="s">
        <v>193</v>
      </c>
      <c r="C5">
        <v>326340</v>
      </c>
      <c r="D5" s="3" t="s">
        <v>194</v>
      </c>
      <c r="E5" t="s">
        <v>28</v>
      </c>
      <c r="F5" t="s">
        <v>29</v>
      </c>
      <c r="G5" t="s">
        <v>30</v>
      </c>
      <c r="H5" t="s">
        <v>195</v>
      </c>
      <c r="I5" t="s">
        <v>162</v>
      </c>
      <c r="J5" s="19" t="s">
        <v>196</v>
      </c>
      <c r="K5" t="s">
        <v>34</v>
      </c>
      <c r="L5">
        <v>40</v>
      </c>
      <c r="M5">
        <v>76</v>
      </c>
      <c r="N5" t="s">
        <v>35</v>
      </c>
      <c r="O5">
        <v>2252643</v>
      </c>
      <c r="P5">
        <v>278357</v>
      </c>
      <c r="Q5">
        <v>286841</v>
      </c>
      <c r="R5">
        <v>1944954</v>
      </c>
      <c r="S5" t="s">
        <v>36</v>
      </c>
      <c r="T5" t="s">
        <v>197</v>
      </c>
      <c r="U5" t="s">
        <v>198</v>
      </c>
      <c r="V5" t="s">
        <v>199</v>
      </c>
      <c r="W5">
        <v>46</v>
      </c>
      <c r="X5" s="10">
        <v>2.4644041660536331</v>
      </c>
      <c r="Y5" s="10">
        <v>58.188149017412513</v>
      </c>
      <c r="Z5" s="32">
        <v>4.2226220000000581</v>
      </c>
      <c r="AA5" s="32">
        <v>55.706969000000072</v>
      </c>
      <c r="AB5" s="21" t="str">
        <f>VLOOKUP(I5,facilities!$B:$Z,9,FALSE)</f>
        <v>NO_DE</v>
      </c>
      <c r="AC5" s="21" t="str">
        <f>VLOOKUP(J5,facilities!$B:$Z,9,FALSE)</f>
        <v>DE_EP</v>
      </c>
      <c r="AD5" s="19" t="s">
        <v>484</v>
      </c>
    </row>
    <row r="6" spans="1:30" x14ac:dyDescent="0.2">
      <c r="A6" s="1">
        <v>28</v>
      </c>
      <c r="B6" t="s">
        <v>217</v>
      </c>
      <c r="C6">
        <v>327394</v>
      </c>
      <c r="D6" s="3" t="s">
        <v>194</v>
      </c>
      <c r="E6" t="s">
        <v>28</v>
      </c>
      <c r="F6" t="s">
        <v>29</v>
      </c>
      <c r="G6" t="s">
        <v>30</v>
      </c>
      <c r="H6" t="s">
        <v>195</v>
      </c>
      <c r="I6" s="19" t="s">
        <v>196</v>
      </c>
      <c r="J6" t="s">
        <v>112</v>
      </c>
      <c r="K6" t="s">
        <v>34</v>
      </c>
      <c r="L6">
        <v>40</v>
      </c>
      <c r="M6">
        <v>45</v>
      </c>
      <c r="N6" t="s">
        <v>35</v>
      </c>
      <c r="O6">
        <v>2252643</v>
      </c>
      <c r="P6">
        <v>286841</v>
      </c>
      <c r="Q6">
        <v>286141</v>
      </c>
      <c r="R6">
        <v>1944954</v>
      </c>
      <c r="S6" t="s">
        <v>36</v>
      </c>
      <c r="T6" t="s">
        <v>218</v>
      </c>
      <c r="U6" t="s">
        <v>219</v>
      </c>
      <c r="V6" t="s">
        <v>220</v>
      </c>
      <c r="W6">
        <v>46</v>
      </c>
      <c r="X6" s="32">
        <v>4.2226220000000581</v>
      </c>
      <c r="Y6" s="32">
        <v>55.706969000000072</v>
      </c>
      <c r="Z6" s="24">
        <v>7.3264200000000406</v>
      </c>
      <c r="AA6" s="24">
        <v>53.679700000000082</v>
      </c>
      <c r="AB6" s="21" t="str">
        <f>VLOOKUP(I6,facilities!$B:$Z,9,FALSE)</f>
        <v>DE_EP</v>
      </c>
      <c r="AC6" s="21" t="str">
        <f>VLOOKUP(J6,facilities!$B:$Z,9,FALSE)</f>
        <v>DE947</v>
      </c>
      <c r="AD6" s="19" t="s">
        <v>485</v>
      </c>
    </row>
    <row r="7" spans="1:30" x14ac:dyDescent="0.2">
      <c r="A7" s="1">
        <v>20</v>
      </c>
      <c r="B7" t="s">
        <v>166</v>
      </c>
      <c r="C7">
        <v>323212</v>
      </c>
      <c r="D7" s="3" t="s">
        <v>167</v>
      </c>
      <c r="E7" t="s">
        <v>28</v>
      </c>
      <c r="F7" t="s">
        <v>29</v>
      </c>
      <c r="G7" t="s">
        <v>30</v>
      </c>
      <c r="H7" t="s">
        <v>168</v>
      </c>
      <c r="I7" t="s">
        <v>33</v>
      </c>
      <c r="J7" t="s">
        <v>112</v>
      </c>
      <c r="K7" t="s">
        <v>34</v>
      </c>
      <c r="L7">
        <v>42</v>
      </c>
      <c r="M7">
        <v>347</v>
      </c>
      <c r="N7" t="s">
        <v>35</v>
      </c>
      <c r="O7">
        <v>2252643</v>
      </c>
      <c r="P7">
        <v>286169</v>
      </c>
      <c r="Q7">
        <v>286141</v>
      </c>
      <c r="R7">
        <v>1944954</v>
      </c>
      <c r="S7" t="s">
        <v>36</v>
      </c>
      <c r="T7" t="s">
        <v>169</v>
      </c>
      <c r="U7" t="s">
        <v>170</v>
      </c>
      <c r="V7" t="s">
        <v>171</v>
      </c>
      <c r="W7">
        <v>71</v>
      </c>
      <c r="X7" s="10">
        <v>5.5129213334435638</v>
      </c>
      <c r="Y7" s="10">
        <v>59.272115627836378</v>
      </c>
      <c r="Z7" s="10">
        <v>7.3264200000000406</v>
      </c>
      <c r="AA7" s="10">
        <v>53.679700000000082</v>
      </c>
      <c r="AB7" s="21" t="str">
        <f>VLOOKUP(I7,facilities!$B:$Z,9,FALSE)</f>
        <v>NO0A1</v>
      </c>
      <c r="AC7" s="21" t="str">
        <f>VLOOKUP(J7,facilities!$B:$Z,9,FALSE)</f>
        <v>DE947</v>
      </c>
      <c r="AD7" s="19" t="s">
        <v>485</v>
      </c>
    </row>
    <row r="8" spans="1:30" x14ac:dyDescent="0.2">
      <c r="A8" s="1">
        <v>25</v>
      </c>
      <c r="B8" t="s">
        <v>200</v>
      </c>
      <c r="C8">
        <v>326374</v>
      </c>
      <c r="D8" s="3" t="s">
        <v>201</v>
      </c>
      <c r="E8" t="s">
        <v>28</v>
      </c>
      <c r="F8" t="s">
        <v>29</v>
      </c>
      <c r="G8" t="s">
        <v>30</v>
      </c>
      <c r="H8" t="s">
        <v>202</v>
      </c>
      <c r="I8" t="s">
        <v>162</v>
      </c>
      <c r="J8" t="s">
        <v>203</v>
      </c>
      <c r="K8" t="s">
        <v>34</v>
      </c>
      <c r="L8">
        <v>42</v>
      </c>
      <c r="M8">
        <v>85</v>
      </c>
      <c r="N8" t="s">
        <v>35</v>
      </c>
      <c r="O8">
        <v>2252643</v>
      </c>
      <c r="P8">
        <v>278357</v>
      </c>
      <c r="Q8">
        <v>286757</v>
      </c>
      <c r="R8">
        <v>1944954</v>
      </c>
      <c r="S8" t="s">
        <v>36</v>
      </c>
      <c r="T8" t="s">
        <v>204</v>
      </c>
      <c r="U8" t="s">
        <v>205</v>
      </c>
      <c r="V8" t="s">
        <v>206</v>
      </c>
      <c r="W8">
        <v>55</v>
      </c>
      <c r="X8" s="10">
        <v>2.464394793624662</v>
      </c>
      <c r="Y8" s="10">
        <v>58.188177680951021</v>
      </c>
      <c r="Z8" s="10">
        <v>2.252709000000038</v>
      </c>
      <c r="AA8" s="10">
        <v>51.046406000000047</v>
      </c>
      <c r="AB8" s="21" t="str">
        <f>VLOOKUP(I8,facilities!$B:$Z,9,FALSE)</f>
        <v>NO_DE</v>
      </c>
      <c r="AC8" s="21" t="str">
        <f>VLOOKUP(J8,facilities!$B:$Z,9,FALSE)</f>
        <v>FRE12</v>
      </c>
    </row>
    <row r="9" spans="1:30" x14ac:dyDescent="0.2">
      <c r="A9" s="1">
        <v>29</v>
      </c>
      <c r="B9" t="s">
        <v>221</v>
      </c>
      <c r="C9">
        <v>357492</v>
      </c>
      <c r="D9" s="3" t="s">
        <v>222</v>
      </c>
      <c r="E9" t="s">
        <v>28</v>
      </c>
      <c r="F9" t="s">
        <v>29</v>
      </c>
      <c r="G9" t="s">
        <v>30</v>
      </c>
      <c r="H9" t="s">
        <v>223</v>
      </c>
      <c r="I9" t="s">
        <v>224</v>
      </c>
      <c r="J9" t="s">
        <v>61</v>
      </c>
      <c r="K9" t="s">
        <v>34</v>
      </c>
      <c r="L9">
        <v>30</v>
      </c>
      <c r="M9">
        <v>350</v>
      </c>
      <c r="N9" t="s">
        <v>35</v>
      </c>
      <c r="O9">
        <v>2252643</v>
      </c>
      <c r="P9">
        <v>280877</v>
      </c>
      <c r="Q9">
        <v>286729</v>
      </c>
      <c r="R9">
        <v>1944954</v>
      </c>
      <c r="S9" t="s">
        <v>36</v>
      </c>
      <c r="T9" t="s">
        <v>225</v>
      </c>
      <c r="U9" t="s">
        <v>226</v>
      </c>
      <c r="V9" t="s">
        <v>227</v>
      </c>
      <c r="W9">
        <v>27</v>
      </c>
      <c r="X9" s="10">
        <v>2.5070780834093052</v>
      </c>
      <c r="Y9" s="10">
        <v>61.077581935633752</v>
      </c>
      <c r="Z9" s="10">
        <v>4.8370376988557648</v>
      </c>
      <c r="AA9" s="10">
        <v>60.546555177712527</v>
      </c>
      <c r="AB9" s="21" t="str">
        <f>VLOOKUP(I9,facilities!$B:$Z,9,FALSE)</f>
        <v>NO_KV</v>
      </c>
      <c r="AC9" s="21" t="str">
        <f>VLOOKUP(J9,facilities!$B:$Z,9,FALSE)</f>
        <v>NO0A2</v>
      </c>
    </row>
    <row r="10" spans="1:30" x14ac:dyDescent="0.2">
      <c r="A10" s="1">
        <v>30</v>
      </c>
      <c r="B10" t="s">
        <v>228</v>
      </c>
      <c r="C10">
        <v>369461</v>
      </c>
      <c r="D10" s="3" t="s">
        <v>229</v>
      </c>
      <c r="E10" t="s">
        <v>28</v>
      </c>
      <c r="F10" t="s">
        <v>29</v>
      </c>
      <c r="G10" t="s">
        <v>30</v>
      </c>
      <c r="H10" t="s">
        <v>230</v>
      </c>
      <c r="I10" t="s">
        <v>231</v>
      </c>
      <c r="J10" t="s">
        <v>100</v>
      </c>
      <c r="K10" t="s">
        <v>34</v>
      </c>
      <c r="L10">
        <v>42</v>
      </c>
      <c r="M10">
        <v>360</v>
      </c>
      <c r="N10" t="s">
        <v>35</v>
      </c>
      <c r="O10">
        <v>2252643</v>
      </c>
      <c r="P10">
        <v>364693</v>
      </c>
      <c r="Q10">
        <v>277797</v>
      </c>
      <c r="R10">
        <v>1944954</v>
      </c>
      <c r="S10" t="s">
        <v>36</v>
      </c>
      <c r="T10" t="s">
        <v>232</v>
      </c>
      <c r="U10" t="s">
        <v>233</v>
      </c>
      <c r="V10" t="s">
        <v>234</v>
      </c>
      <c r="W10">
        <v>75</v>
      </c>
      <c r="X10" s="10">
        <v>6.9457712170000718</v>
      </c>
      <c r="Y10" s="10">
        <v>62.851558685000043</v>
      </c>
      <c r="Z10" s="10">
        <v>1.918063771733882</v>
      </c>
      <c r="AA10" s="10">
        <v>58.372653138505747</v>
      </c>
      <c r="AB10" s="21" t="str">
        <f>VLOOKUP(I10,facilities!$B:$Z,9,FALSE)</f>
        <v>NO0A3</v>
      </c>
      <c r="AC10" s="21" t="str">
        <f>VLOOKUP(J10,facilities!$B:$Z,9,FALSE)</f>
        <v>NO_SR</v>
      </c>
    </row>
    <row r="11" spans="1:30" x14ac:dyDescent="0.2">
      <c r="A11" s="4">
        <v>48</v>
      </c>
      <c r="B11" s="5" t="s">
        <v>348</v>
      </c>
      <c r="C11" s="5">
        <v>369498</v>
      </c>
      <c r="D11" s="5" t="s">
        <v>229</v>
      </c>
      <c r="E11" s="5" t="s">
        <v>28</v>
      </c>
      <c r="F11" s="5" t="s">
        <v>29</v>
      </c>
      <c r="G11" s="5" t="s">
        <v>30</v>
      </c>
      <c r="H11" s="5" t="s">
        <v>349</v>
      </c>
      <c r="I11" s="5" t="s">
        <v>100</v>
      </c>
      <c r="J11" s="5" t="s">
        <v>350</v>
      </c>
      <c r="K11" s="5" t="s">
        <v>34</v>
      </c>
      <c r="L11" s="5">
        <v>44</v>
      </c>
      <c r="M11" s="5">
        <v>83</v>
      </c>
      <c r="N11" s="5" t="s">
        <v>351</v>
      </c>
      <c r="O11" s="5">
        <v>2252643</v>
      </c>
      <c r="P11" s="5">
        <v>277797</v>
      </c>
      <c r="Q11" s="5">
        <v>369424</v>
      </c>
      <c r="R11" s="5">
        <v>1944954</v>
      </c>
      <c r="S11" s="5" t="s">
        <v>352</v>
      </c>
      <c r="T11" s="5" t="s">
        <v>353</v>
      </c>
      <c r="U11" s="5" t="s">
        <v>354</v>
      </c>
      <c r="V11" s="5" t="s">
        <v>355</v>
      </c>
      <c r="W11" s="5">
        <v>72</v>
      </c>
      <c r="X11" s="11">
        <v>1.90131930147615</v>
      </c>
      <c r="Y11" s="11">
        <v>58.364979301425628</v>
      </c>
      <c r="Z11" s="11">
        <v>0.1160310000000209</v>
      </c>
      <c r="AA11" s="11">
        <v>53.659231000000027</v>
      </c>
      <c r="AB11" s="21" t="str">
        <f>VLOOKUP(I11,facilities!$B:$Z,9,FALSE)</f>
        <v>NO_SR</v>
      </c>
      <c r="AC11" s="21" t="str">
        <f>VLOOKUP(J11,facilities!$B:$Z,9,FALSE)</f>
        <v>UKE12</v>
      </c>
    </row>
    <row r="12" spans="1:30" x14ac:dyDescent="0.2">
      <c r="A12" s="1">
        <v>6</v>
      </c>
      <c r="B12" t="s">
        <v>75</v>
      </c>
      <c r="C12">
        <v>319132</v>
      </c>
      <c r="D12" s="3" t="s">
        <v>76</v>
      </c>
      <c r="E12" t="s">
        <v>28</v>
      </c>
      <c r="F12" t="s">
        <v>29</v>
      </c>
      <c r="G12" t="s">
        <v>30</v>
      </c>
      <c r="H12" t="s">
        <v>77</v>
      </c>
      <c r="I12" t="s">
        <v>78</v>
      </c>
      <c r="J12" t="s">
        <v>79</v>
      </c>
      <c r="K12" t="s">
        <v>34</v>
      </c>
      <c r="L12">
        <v>16</v>
      </c>
      <c r="M12">
        <v>430</v>
      </c>
      <c r="N12" t="s">
        <v>35</v>
      </c>
      <c r="O12">
        <v>2252643</v>
      </c>
      <c r="P12">
        <v>282221</v>
      </c>
      <c r="Q12">
        <v>287261</v>
      </c>
      <c r="R12">
        <v>1944954</v>
      </c>
      <c r="S12" t="s">
        <v>36</v>
      </c>
      <c r="T12" t="s">
        <v>80</v>
      </c>
      <c r="U12" t="s">
        <v>81</v>
      </c>
      <c r="V12" t="s">
        <v>82</v>
      </c>
      <c r="W12">
        <v>7</v>
      </c>
      <c r="X12" s="10">
        <v>8.0785441179034034</v>
      </c>
      <c r="Y12" s="10">
        <v>66.029330899408933</v>
      </c>
      <c r="Z12" s="10">
        <v>6.8014610000000744</v>
      </c>
      <c r="AA12" s="10">
        <v>65.084516000000065</v>
      </c>
      <c r="AB12" s="21" t="str">
        <f>VLOOKUP(I12,facilities!$B:$Z,9,FALSE)</f>
        <v>NO_NN</v>
      </c>
      <c r="AC12" s="21" t="str">
        <f>VLOOKUP(J12,facilities!$B:$Z,9,FALSE)</f>
        <v>NO_NN</v>
      </c>
    </row>
    <row r="13" spans="1:30" x14ac:dyDescent="0.2">
      <c r="A13" s="1">
        <v>27</v>
      </c>
      <c r="B13" t="s">
        <v>211</v>
      </c>
      <c r="C13">
        <v>326918</v>
      </c>
      <c r="D13" s="3" t="s">
        <v>84</v>
      </c>
      <c r="E13" t="s">
        <v>28</v>
      </c>
      <c r="F13" t="s">
        <v>29</v>
      </c>
      <c r="G13" t="s">
        <v>30</v>
      </c>
      <c r="H13" t="s">
        <v>212</v>
      </c>
      <c r="I13" t="s">
        <v>86</v>
      </c>
      <c r="J13" s="26" t="s">
        <v>213</v>
      </c>
      <c r="K13" t="s">
        <v>34</v>
      </c>
      <c r="L13">
        <v>36</v>
      </c>
      <c r="M13">
        <v>75</v>
      </c>
      <c r="N13" t="s">
        <v>35</v>
      </c>
      <c r="O13">
        <v>2252643</v>
      </c>
      <c r="P13">
        <v>277937</v>
      </c>
      <c r="Q13">
        <v>287065</v>
      </c>
      <c r="R13">
        <v>1944954</v>
      </c>
      <c r="S13" t="s">
        <v>36</v>
      </c>
      <c r="T13" t="s">
        <v>214</v>
      </c>
      <c r="U13" t="s">
        <v>215</v>
      </c>
      <c r="V13" t="s">
        <v>216</v>
      </c>
      <c r="W13">
        <v>32</v>
      </c>
      <c r="X13" s="25">
        <v>3.330503000000022</v>
      </c>
      <c r="Y13" s="25">
        <v>56.490369000000037</v>
      </c>
      <c r="Z13" s="10">
        <v>3.2288731283830709</v>
      </c>
      <c r="AA13" s="10">
        <v>56.54880398983363</v>
      </c>
      <c r="AB13" s="21" t="str">
        <f>VLOOKUP(I13,facilities!$B:$Z,9,FALSE)</f>
        <v>NO_EV</v>
      </c>
      <c r="AC13" s="15" t="str">
        <f>VLOOKUP(J13,facilities!$B:$Z,9,FALSE)</f>
        <v>NO_EV</v>
      </c>
      <c r="AD13" t="s">
        <v>449</v>
      </c>
    </row>
    <row r="14" spans="1:30" x14ac:dyDescent="0.2">
      <c r="A14" s="1">
        <v>7</v>
      </c>
      <c r="B14" t="s">
        <v>83</v>
      </c>
      <c r="C14">
        <v>319166</v>
      </c>
      <c r="D14" s="3" t="s">
        <v>84</v>
      </c>
      <c r="E14" t="s">
        <v>28</v>
      </c>
      <c r="F14" t="s">
        <v>29</v>
      </c>
      <c r="G14" t="s">
        <v>30</v>
      </c>
      <c r="H14" t="s">
        <v>85</v>
      </c>
      <c r="I14" s="26" t="s">
        <v>86</v>
      </c>
      <c r="J14" t="s">
        <v>87</v>
      </c>
      <c r="K14" t="s">
        <v>34</v>
      </c>
      <c r="L14">
        <v>36</v>
      </c>
      <c r="M14">
        <v>75</v>
      </c>
      <c r="N14" t="s">
        <v>35</v>
      </c>
      <c r="O14">
        <v>2252643</v>
      </c>
      <c r="P14">
        <v>287065</v>
      </c>
      <c r="Q14">
        <v>277265</v>
      </c>
      <c r="R14">
        <v>1944954</v>
      </c>
      <c r="S14" t="s">
        <v>36</v>
      </c>
      <c r="T14" t="s">
        <v>88</v>
      </c>
      <c r="U14" t="s">
        <v>89</v>
      </c>
      <c r="V14" t="s">
        <v>90</v>
      </c>
      <c r="W14">
        <v>32</v>
      </c>
      <c r="X14" s="25">
        <v>3.330503000000022</v>
      </c>
      <c r="Y14" s="25">
        <v>56.490369000000037</v>
      </c>
      <c r="Z14" s="24">
        <v>4.546302529616848</v>
      </c>
      <c r="AA14" s="24">
        <v>55.465621589145812</v>
      </c>
      <c r="AB14" s="21" t="str">
        <f>VLOOKUP(I14,facilities!$B:$Z,9,FALSE)</f>
        <v>NO_EV</v>
      </c>
      <c r="AC14" s="21" t="str">
        <f>VLOOKUP(J14,facilities!$B:$Z,9,FALSE)</f>
        <v>NOB11</v>
      </c>
      <c r="AD14" t="s">
        <v>449</v>
      </c>
    </row>
    <row r="15" spans="1:30" x14ac:dyDescent="0.2">
      <c r="A15" s="1">
        <v>21</v>
      </c>
      <c r="B15" t="s">
        <v>172</v>
      </c>
      <c r="C15">
        <v>324844</v>
      </c>
      <c r="D15" s="3" t="s">
        <v>84</v>
      </c>
      <c r="E15" t="s">
        <v>28</v>
      </c>
      <c r="F15" t="s">
        <v>29</v>
      </c>
      <c r="G15" t="s">
        <v>30</v>
      </c>
      <c r="H15" t="s">
        <v>85</v>
      </c>
      <c r="I15" t="s">
        <v>87</v>
      </c>
      <c r="J15" t="s">
        <v>111</v>
      </c>
      <c r="K15" t="s">
        <v>34</v>
      </c>
      <c r="L15">
        <v>36</v>
      </c>
      <c r="M15">
        <v>75</v>
      </c>
      <c r="N15" t="s">
        <v>35</v>
      </c>
      <c r="O15">
        <v>2252643</v>
      </c>
      <c r="P15">
        <v>277265</v>
      </c>
      <c r="Q15">
        <v>377218</v>
      </c>
      <c r="R15">
        <v>1944954</v>
      </c>
      <c r="S15" t="s">
        <v>36</v>
      </c>
      <c r="T15" t="s">
        <v>173</v>
      </c>
      <c r="U15" t="s">
        <v>174</v>
      </c>
      <c r="V15" t="s">
        <v>175</v>
      </c>
      <c r="W15">
        <v>32</v>
      </c>
      <c r="X15" s="24">
        <v>4.5569471181611378</v>
      </c>
      <c r="Y15" s="24">
        <v>55.458982371638299</v>
      </c>
      <c r="Z15" s="10">
        <v>6.0299759487909617</v>
      </c>
      <c r="AA15" s="10">
        <v>54.512231487488343</v>
      </c>
      <c r="AB15" s="21" t="str">
        <f>VLOOKUP(I15,facilities!$B:$Z,9,FALSE)</f>
        <v>NOB11</v>
      </c>
      <c r="AC15" s="21" t="str">
        <f>VLOOKUP(J15,facilities!$B:$Z,9,FALSE)</f>
        <v>DE_H7</v>
      </c>
      <c r="AD15" t="s">
        <v>449</v>
      </c>
    </row>
    <row r="16" spans="1:30" x14ac:dyDescent="0.2">
      <c r="A16" s="1">
        <v>11</v>
      </c>
      <c r="B16" t="s">
        <v>110</v>
      </c>
      <c r="C16">
        <v>321784</v>
      </c>
      <c r="D16" s="3" t="s">
        <v>84</v>
      </c>
      <c r="E16" t="s">
        <v>28</v>
      </c>
      <c r="F16" t="s">
        <v>29</v>
      </c>
      <c r="G16" t="s">
        <v>30</v>
      </c>
      <c r="H16" t="s">
        <v>85</v>
      </c>
      <c r="I16" t="s">
        <v>111</v>
      </c>
      <c r="J16" t="s">
        <v>112</v>
      </c>
      <c r="K16" t="s">
        <v>34</v>
      </c>
      <c r="L16">
        <v>36</v>
      </c>
      <c r="M16">
        <v>75</v>
      </c>
      <c r="N16" t="s">
        <v>35</v>
      </c>
      <c r="O16">
        <v>2252643</v>
      </c>
      <c r="P16">
        <v>377218</v>
      </c>
      <c r="Q16">
        <v>286141</v>
      </c>
      <c r="R16">
        <v>1944954</v>
      </c>
      <c r="S16" t="s">
        <v>36</v>
      </c>
      <c r="T16" t="s">
        <v>113</v>
      </c>
      <c r="U16" t="s">
        <v>114</v>
      </c>
      <c r="V16" t="s">
        <v>115</v>
      </c>
      <c r="W16">
        <v>32</v>
      </c>
      <c r="X16" s="10">
        <v>6.0406335538870612</v>
      </c>
      <c r="Y16" s="10">
        <v>54.505801334185612</v>
      </c>
      <c r="Z16" s="10">
        <v>7.1892900000000282</v>
      </c>
      <c r="AA16" s="10">
        <v>53.346200000000067</v>
      </c>
      <c r="AB16" s="21" t="str">
        <f>VLOOKUP(I16,facilities!$B:$Z,9,FALSE)</f>
        <v>DE_H7</v>
      </c>
      <c r="AC16" s="21" t="str">
        <f>VLOOKUP(J16,facilities!$B:$Z,9,FALSE)</f>
        <v>DE947</v>
      </c>
      <c r="AD16" s="5"/>
    </row>
    <row r="17" spans="1:30" x14ac:dyDescent="0.2">
      <c r="A17" s="1">
        <v>8</v>
      </c>
      <c r="B17" t="s">
        <v>91</v>
      </c>
      <c r="C17">
        <v>319676</v>
      </c>
      <c r="D17" s="3" t="s">
        <v>92</v>
      </c>
      <c r="E17" t="s">
        <v>28</v>
      </c>
      <c r="F17" t="s">
        <v>29</v>
      </c>
      <c r="G17" t="s">
        <v>30</v>
      </c>
      <c r="H17" t="s">
        <v>93</v>
      </c>
      <c r="I17" t="s">
        <v>94</v>
      </c>
      <c r="J17" t="s">
        <v>95</v>
      </c>
      <c r="K17" t="s">
        <v>34</v>
      </c>
      <c r="L17">
        <v>36</v>
      </c>
      <c r="M17">
        <v>122</v>
      </c>
      <c r="N17" t="s">
        <v>35</v>
      </c>
      <c r="O17">
        <v>2252643</v>
      </c>
      <c r="P17">
        <v>280541</v>
      </c>
      <c r="Q17">
        <v>280569</v>
      </c>
      <c r="R17">
        <v>1944954</v>
      </c>
      <c r="S17" t="s">
        <v>36</v>
      </c>
      <c r="T17" t="s">
        <v>96</v>
      </c>
      <c r="U17" t="s">
        <v>97</v>
      </c>
      <c r="V17" t="s">
        <v>98</v>
      </c>
      <c r="W17">
        <v>35</v>
      </c>
      <c r="X17" s="10">
        <v>2.8240461869792348</v>
      </c>
      <c r="Y17" s="10">
        <v>60.486900453608072</v>
      </c>
      <c r="Z17" s="10">
        <v>2.2255035460233259</v>
      </c>
      <c r="AA17" s="10">
        <v>59.579555505459787</v>
      </c>
      <c r="AB17" s="21" t="str">
        <f>VLOOKUP(I17,facilities!$B:$Z,9,FALSE)</f>
        <v>NO_BO</v>
      </c>
      <c r="AC17" s="21" t="str">
        <f>VLOOKUP(J17,facilities!$B:$Z,9,FALSE)</f>
        <v>NO_AE</v>
      </c>
    </row>
    <row r="18" spans="1:30" x14ac:dyDescent="0.2">
      <c r="A18" s="1">
        <v>2</v>
      </c>
      <c r="B18" t="s">
        <v>48</v>
      </c>
      <c r="C18">
        <v>313556</v>
      </c>
      <c r="D18" s="3" t="s">
        <v>49</v>
      </c>
      <c r="E18" t="s">
        <v>28</v>
      </c>
      <c r="F18" t="s">
        <v>29</v>
      </c>
      <c r="G18" t="s">
        <v>30</v>
      </c>
      <c r="H18" t="s">
        <v>50</v>
      </c>
      <c r="I18" s="37" t="s">
        <v>51</v>
      </c>
      <c r="J18" s="37" t="s">
        <v>33</v>
      </c>
      <c r="K18" t="s">
        <v>34</v>
      </c>
      <c r="L18">
        <v>30</v>
      </c>
      <c r="M18">
        <v>300</v>
      </c>
      <c r="N18" t="s">
        <v>35</v>
      </c>
      <c r="O18">
        <v>2252643</v>
      </c>
      <c r="P18">
        <v>286365</v>
      </c>
      <c r="Q18">
        <v>286169</v>
      </c>
      <c r="R18">
        <v>1944954</v>
      </c>
      <c r="S18" t="s">
        <v>36</v>
      </c>
      <c r="T18" t="s">
        <v>52</v>
      </c>
      <c r="U18" t="s">
        <v>53</v>
      </c>
      <c r="V18" t="s">
        <v>54</v>
      </c>
      <c r="W18">
        <v>25</v>
      </c>
      <c r="X18" s="6">
        <v>1.845936000000052</v>
      </c>
      <c r="Y18" s="6">
        <v>61.185830000000067</v>
      </c>
      <c r="Z18" s="6">
        <v>5.1863701472802992</v>
      </c>
      <c r="AA18" s="6">
        <v>59.333542700038009</v>
      </c>
      <c r="AB18" s="21" t="str">
        <f>VLOOKUP(I18,facilities!$B:$Z,9,FALSE)</f>
        <v>NO_SG</v>
      </c>
      <c r="AC18" s="21" t="str">
        <f>VLOOKUP(J18,facilities!$B:$Z,9,FALSE)</f>
        <v>NO0A1</v>
      </c>
    </row>
    <row r="19" spans="1:30" x14ac:dyDescent="0.2">
      <c r="A19" s="1">
        <v>14</v>
      </c>
      <c r="B19" t="s">
        <v>131</v>
      </c>
      <c r="C19">
        <v>322464</v>
      </c>
      <c r="D19" s="3" t="s">
        <v>49</v>
      </c>
      <c r="E19" s="37" t="s">
        <v>28</v>
      </c>
      <c r="F19" t="s">
        <v>29</v>
      </c>
      <c r="G19" t="s">
        <v>30</v>
      </c>
      <c r="H19" t="s">
        <v>132</v>
      </c>
      <c r="I19" s="37" t="s">
        <v>133</v>
      </c>
      <c r="J19" s="37" t="s">
        <v>106</v>
      </c>
      <c r="K19" t="s">
        <v>34</v>
      </c>
      <c r="L19">
        <v>36</v>
      </c>
      <c r="M19">
        <v>130</v>
      </c>
      <c r="N19" t="s">
        <v>35</v>
      </c>
      <c r="O19">
        <v>2252643</v>
      </c>
      <c r="P19">
        <v>271777</v>
      </c>
      <c r="Q19">
        <v>271945</v>
      </c>
      <c r="R19">
        <v>1944954</v>
      </c>
      <c r="S19" t="s">
        <v>36</v>
      </c>
      <c r="T19" t="s">
        <v>134</v>
      </c>
      <c r="U19" t="s">
        <v>135</v>
      </c>
      <c r="V19" t="s">
        <v>136</v>
      </c>
      <c r="W19">
        <v>10</v>
      </c>
      <c r="X19" s="10">
        <v>2.2345225779689399</v>
      </c>
      <c r="Y19" s="10">
        <v>59.570737872744949</v>
      </c>
      <c r="Z19" s="10">
        <v>2.473477921381583</v>
      </c>
      <c r="AA19" s="10">
        <v>58.1944599448776</v>
      </c>
      <c r="AB19" s="21" t="str">
        <f>VLOOKUP(I19,facilities!$B:$Z,9,FALSE)</f>
        <v>NO_AE</v>
      </c>
      <c r="AC19" s="21" t="str">
        <f>VLOOKUP(J19,facilities!$B:$Z,9,FALSE)</f>
        <v>NO_DS</v>
      </c>
    </row>
    <row r="20" spans="1:30" x14ac:dyDescent="0.2">
      <c r="A20" s="1">
        <v>17</v>
      </c>
      <c r="B20" t="s">
        <v>151</v>
      </c>
      <c r="C20">
        <v>323042</v>
      </c>
      <c r="D20" s="3" t="s">
        <v>49</v>
      </c>
      <c r="E20" s="37" t="s">
        <v>28</v>
      </c>
      <c r="F20" t="s">
        <v>29</v>
      </c>
      <c r="G20" t="s">
        <v>30</v>
      </c>
      <c r="H20" t="s">
        <v>132</v>
      </c>
      <c r="I20" s="37" t="s">
        <v>33</v>
      </c>
      <c r="J20" s="37" t="s">
        <v>106</v>
      </c>
      <c r="K20" t="s">
        <v>34</v>
      </c>
      <c r="L20">
        <v>28</v>
      </c>
      <c r="M20">
        <v>300</v>
      </c>
      <c r="N20" t="s">
        <v>35</v>
      </c>
      <c r="O20">
        <v>2252643</v>
      </c>
      <c r="P20">
        <v>286169</v>
      </c>
      <c r="Q20">
        <v>271945</v>
      </c>
      <c r="R20">
        <v>1944954</v>
      </c>
      <c r="S20" t="s">
        <v>36</v>
      </c>
      <c r="T20" t="s">
        <v>152</v>
      </c>
      <c r="U20" t="s">
        <v>153</v>
      </c>
      <c r="V20" t="s">
        <v>154</v>
      </c>
      <c r="W20">
        <v>21</v>
      </c>
      <c r="X20" s="10">
        <v>5.1863670366511228</v>
      </c>
      <c r="Y20" s="10">
        <v>59.33347985679702</v>
      </c>
      <c r="Z20" s="10">
        <v>2.4800764683220069</v>
      </c>
      <c r="AA20" s="10">
        <v>58.192193959087987</v>
      </c>
      <c r="AB20" s="21" t="str">
        <f>VLOOKUP(I20,facilities!$B:$Z,9,FALSE)</f>
        <v>NO0A1</v>
      </c>
      <c r="AC20" s="21" t="str">
        <f>VLOOKUP(J20,facilities!$B:$Z,9,FALSE)</f>
        <v>NO_DS</v>
      </c>
    </row>
    <row r="21" spans="1:30" x14ac:dyDescent="0.2">
      <c r="A21" s="1">
        <v>26</v>
      </c>
      <c r="B21" t="s">
        <v>207</v>
      </c>
      <c r="C21">
        <v>326408</v>
      </c>
      <c r="D21" s="3" t="s">
        <v>49</v>
      </c>
      <c r="E21" t="s">
        <v>28</v>
      </c>
      <c r="F21" t="s">
        <v>29</v>
      </c>
      <c r="G21" t="s">
        <v>30</v>
      </c>
      <c r="H21" t="s">
        <v>132</v>
      </c>
      <c r="I21" s="37" t="s">
        <v>106</v>
      </c>
      <c r="J21" s="37" t="s">
        <v>86</v>
      </c>
      <c r="K21" t="s">
        <v>34</v>
      </c>
      <c r="L21">
        <v>36</v>
      </c>
      <c r="M21">
        <v>80</v>
      </c>
      <c r="N21" t="s">
        <v>35</v>
      </c>
      <c r="O21">
        <v>2252643</v>
      </c>
      <c r="P21">
        <v>271945</v>
      </c>
      <c r="Q21">
        <v>287065</v>
      </c>
      <c r="R21">
        <v>1944954</v>
      </c>
      <c r="S21" t="s">
        <v>36</v>
      </c>
      <c r="T21" t="s">
        <v>208</v>
      </c>
      <c r="U21" t="s">
        <v>209</v>
      </c>
      <c r="V21" t="s">
        <v>210</v>
      </c>
      <c r="W21">
        <v>30</v>
      </c>
      <c r="X21" s="10">
        <v>2.4737329746028802</v>
      </c>
      <c r="Y21" s="10">
        <v>58.184409229014761</v>
      </c>
      <c r="Z21" s="25">
        <v>3.330503000000022</v>
      </c>
      <c r="AA21" s="25">
        <v>56.490369000000037</v>
      </c>
      <c r="AB21" s="21" t="str">
        <f>VLOOKUP(I21,facilities!$B:$Z,9,FALSE)</f>
        <v>NO_DS</v>
      </c>
      <c r="AC21" s="21" t="str">
        <f>VLOOKUP(J21,facilities!$B:$Z,9,FALSE)</f>
        <v>NO_EV</v>
      </c>
      <c r="AD21" t="s">
        <v>449</v>
      </c>
    </row>
    <row r="22" spans="1:30" x14ac:dyDescent="0.2">
      <c r="A22" s="1">
        <v>5</v>
      </c>
      <c r="B22" t="s">
        <v>70</v>
      </c>
      <c r="C22">
        <v>318010</v>
      </c>
      <c r="D22" s="3" t="s">
        <v>49</v>
      </c>
      <c r="E22" t="s">
        <v>28</v>
      </c>
      <c r="F22" t="s">
        <v>29</v>
      </c>
      <c r="G22" t="s">
        <v>30</v>
      </c>
      <c r="H22" t="s">
        <v>50</v>
      </c>
      <c r="I22" s="37" t="s">
        <v>71</v>
      </c>
      <c r="J22" s="37" t="s">
        <v>51</v>
      </c>
      <c r="K22" t="s">
        <v>34</v>
      </c>
      <c r="L22">
        <v>30</v>
      </c>
      <c r="M22">
        <v>145</v>
      </c>
      <c r="N22" t="s">
        <v>35</v>
      </c>
      <c r="O22">
        <v>2252643</v>
      </c>
      <c r="P22">
        <v>271301</v>
      </c>
      <c r="Q22">
        <v>286365</v>
      </c>
      <c r="R22">
        <v>1944954</v>
      </c>
      <c r="S22" t="s">
        <v>36</v>
      </c>
      <c r="T22" t="s">
        <v>72</v>
      </c>
      <c r="U22" t="s">
        <v>73</v>
      </c>
      <c r="V22" t="s">
        <v>74</v>
      </c>
      <c r="W22">
        <v>25</v>
      </c>
      <c r="X22" s="10">
        <v>1.8315257775840801</v>
      </c>
      <c r="Y22" s="10">
        <v>61.20244504760155</v>
      </c>
      <c r="Z22" s="10">
        <v>1.845936000000052</v>
      </c>
      <c r="AA22" s="10">
        <v>61.185830000000067</v>
      </c>
      <c r="AB22" s="21" t="str">
        <f>VLOOKUP(I22,facilities!$B:$Z,9,FALSE)</f>
        <v>NO_SG</v>
      </c>
      <c r="AC22" s="21" t="str">
        <f>VLOOKUP(J22,facilities!$B:$Z,9,FALSE)</f>
        <v>NO_SG</v>
      </c>
    </row>
    <row r="23" spans="1:30" x14ac:dyDescent="0.2">
      <c r="A23" s="1">
        <v>34</v>
      </c>
      <c r="B23" t="s">
        <v>258</v>
      </c>
      <c r="C23">
        <v>377106</v>
      </c>
      <c r="D23" s="3" t="s">
        <v>259</v>
      </c>
      <c r="E23" t="s">
        <v>28</v>
      </c>
      <c r="F23" t="s">
        <v>29</v>
      </c>
      <c r="G23" t="s">
        <v>30</v>
      </c>
      <c r="H23" t="s">
        <v>260</v>
      </c>
      <c r="I23" t="s">
        <v>71</v>
      </c>
      <c r="J23" t="s">
        <v>261</v>
      </c>
      <c r="K23" t="s">
        <v>34</v>
      </c>
      <c r="L23">
        <v>32</v>
      </c>
      <c r="M23">
        <v>145</v>
      </c>
      <c r="N23" t="s">
        <v>35</v>
      </c>
      <c r="O23">
        <v>2252643</v>
      </c>
      <c r="P23">
        <v>271301</v>
      </c>
      <c r="Q23">
        <v>377070</v>
      </c>
      <c r="R23">
        <v>1944954</v>
      </c>
      <c r="S23" t="s">
        <v>36</v>
      </c>
      <c r="T23" t="s">
        <v>262</v>
      </c>
      <c r="U23" t="s">
        <v>263</v>
      </c>
      <c r="V23" t="s">
        <v>264</v>
      </c>
      <c r="W23">
        <v>13.5</v>
      </c>
      <c r="X23" s="10">
        <v>1.823056812607216</v>
      </c>
      <c r="Y23" s="10">
        <v>61.204312918338729</v>
      </c>
      <c r="Z23" s="10">
        <v>1.700189114000068</v>
      </c>
      <c r="AA23" s="10">
        <v>61.022018433000028</v>
      </c>
      <c r="AB23" s="21" t="str">
        <f>VLOOKUP(I23,facilities!$B:$Z,9,FALSE)</f>
        <v>NO_SG</v>
      </c>
      <c r="AC23" s="21" t="str">
        <f>VLOOKUP(J23,facilities!$B:$Z,9,FALSE)</f>
        <v>NO_FT</v>
      </c>
    </row>
    <row r="24" spans="1:30" x14ac:dyDescent="0.2">
      <c r="A24" s="1">
        <v>16</v>
      </c>
      <c r="B24" t="s">
        <v>145</v>
      </c>
      <c r="C24">
        <v>322532</v>
      </c>
      <c r="D24" s="3" t="s">
        <v>146</v>
      </c>
      <c r="E24" t="s">
        <v>28</v>
      </c>
      <c r="F24" t="s">
        <v>29</v>
      </c>
      <c r="G24" t="s">
        <v>30</v>
      </c>
      <c r="H24" t="s">
        <v>93</v>
      </c>
      <c r="I24" t="s">
        <v>95</v>
      </c>
      <c r="J24" t="s">
        <v>147</v>
      </c>
      <c r="K24" t="s">
        <v>34</v>
      </c>
      <c r="L24">
        <v>32</v>
      </c>
      <c r="M24">
        <v>120</v>
      </c>
      <c r="N24" t="s">
        <v>35</v>
      </c>
      <c r="O24">
        <v>2252643</v>
      </c>
      <c r="P24">
        <v>280569</v>
      </c>
      <c r="Q24">
        <v>286225</v>
      </c>
      <c r="R24">
        <v>1944954</v>
      </c>
      <c r="S24" t="s">
        <v>36</v>
      </c>
      <c r="T24" t="s">
        <v>148</v>
      </c>
      <c r="U24" t="s">
        <v>149</v>
      </c>
      <c r="V24" t="s">
        <v>150</v>
      </c>
      <c r="W24">
        <v>39</v>
      </c>
      <c r="X24" s="10">
        <v>2.2219205812010752</v>
      </c>
      <c r="Y24" s="10">
        <v>59.578404720481657</v>
      </c>
      <c r="Z24" s="10">
        <v>-1.825318999999979</v>
      </c>
      <c r="AA24" s="10">
        <v>57.578706000000068</v>
      </c>
      <c r="AB24" s="21" t="str">
        <f>VLOOKUP(I24,facilities!$B:$Z,9,FALSE)</f>
        <v>NO_AE</v>
      </c>
      <c r="AC24" s="21" t="str">
        <f>VLOOKUP(J24,facilities!$B:$Z,9,FALSE)</f>
        <v>UKM50</v>
      </c>
    </row>
    <row r="25" spans="1:30" x14ac:dyDescent="0.2">
      <c r="A25" s="1">
        <v>9</v>
      </c>
      <c r="B25" t="s">
        <v>99</v>
      </c>
      <c r="C25">
        <v>321002</v>
      </c>
      <c r="D25" s="3" t="s">
        <v>41</v>
      </c>
      <c r="E25" t="s">
        <v>28</v>
      </c>
      <c r="F25" t="s">
        <v>29</v>
      </c>
      <c r="G25" t="s">
        <v>30</v>
      </c>
      <c r="H25" t="s">
        <v>42</v>
      </c>
      <c r="I25" t="s">
        <v>100</v>
      </c>
      <c r="J25" t="s">
        <v>43</v>
      </c>
      <c r="K25" t="s">
        <v>34</v>
      </c>
      <c r="L25">
        <v>40</v>
      </c>
      <c r="M25">
        <v>90</v>
      </c>
      <c r="N25" t="s">
        <v>35</v>
      </c>
      <c r="O25">
        <v>2252643</v>
      </c>
      <c r="P25">
        <v>277797</v>
      </c>
      <c r="Q25">
        <v>286533</v>
      </c>
      <c r="R25">
        <v>1944954</v>
      </c>
      <c r="S25" t="s">
        <v>36</v>
      </c>
      <c r="T25" t="s">
        <v>101</v>
      </c>
      <c r="U25" t="s">
        <v>102</v>
      </c>
      <c r="V25" t="s">
        <v>103</v>
      </c>
      <c r="W25">
        <v>55</v>
      </c>
      <c r="X25" s="10">
        <v>1.915866396996226</v>
      </c>
      <c r="Y25" s="10">
        <v>58.364944173837479</v>
      </c>
      <c r="Z25" s="10">
        <v>3.2998160000000212</v>
      </c>
      <c r="AA25" s="10">
        <v>54.789494000000047</v>
      </c>
      <c r="AB25" s="21" t="str">
        <f>VLOOKUP(I25,facilities!$B:$Z,9,FALSE)</f>
        <v>NO_SR</v>
      </c>
      <c r="AC25" s="21" t="str">
        <f>VLOOKUP(J25,facilities!$B:$Z,9,FALSE)</f>
        <v>BE_ZP</v>
      </c>
    </row>
    <row r="26" spans="1:30" x14ac:dyDescent="0.2">
      <c r="A26" s="1">
        <v>1</v>
      </c>
      <c r="B26" t="s">
        <v>40</v>
      </c>
      <c r="C26">
        <v>310326</v>
      </c>
      <c r="D26" s="3" t="s">
        <v>41</v>
      </c>
      <c r="E26" t="s">
        <v>28</v>
      </c>
      <c r="F26" t="s">
        <v>29</v>
      </c>
      <c r="G26" t="s">
        <v>30</v>
      </c>
      <c r="H26" t="s">
        <v>42</v>
      </c>
      <c r="I26" t="s">
        <v>43</v>
      </c>
      <c r="J26" t="s">
        <v>44</v>
      </c>
      <c r="K26" t="s">
        <v>34</v>
      </c>
      <c r="L26">
        <v>40</v>
      </c>
      <c r="M26">
        <v>39.9</v>
      </c>
      <c r="N26" t="s">
        <v>35</v>
      </c>
      <c r="O26">
        <v>2252643</v>
      </c>
      <c r="P26">
        <v>286533</v>
      </c>
      <c r="Q26">
        <v>286281</v>
      </c>
      <c r="R26">
        <v>1944954</v>
      </c>
      <c r="S26" t="s">
        <v>36</v>
      </c>
      <c r="T26" t="s">
        <v>45</v>
      </c>
      <c r="U26" t="s">
        <v>46</v>
      </c>
      <c r="V26" t="s">
        <v>47</v>
      </c>
      <c r="W26">
        <v>42</v>
      </c>
      <c r="X26" s="6">
        <v>3.2998160000000212</v>
      </c>
      <c r="Y26" s="6">
        <v>54.789494000000047</v>
      </c>
      <c r="Z26" s="6">
        <v>3.229797000000076</v>
      </c>
      <c r="AA26" s="6">
        <v>51.350508000000048</v>
      </c>
      <c r="AB26" s="21" t="str">
        <f>VLOOKUP(I26,facilities!$B:$Z,9,FALSE)</f>
        <v>BE_ZP</v>
      </c>
      <c r="AC26" s="21" t="str">
        <f>VLOOKUP(J26,facilities!$B:$Z,9,FALSE)</f>
        <v>BE251</v>
      </c>
      <c r="AD26" s="5"/>
    </row>
    <row r="27" spans="1:30" x14ac:dyDescent="0.2">
      <c r="A27" s="1">
        <v>18</v>
      </c>
      <c r="B27" t="s">
        <v>155</v>
      </c>
      <c r="C27">
        <v>323076</v>
      </c>
      <c r="D27" s="3" t="s">
        <v>156</v>
      </c>
      <c r="E27" t="s">
        <v>28</v>
      </c>
      <c r="F27" t="s">
        <v>29</v>
      </c>
      <c r="G27" t="s">
        <v>30</v>
      </c>
      <c r="H27" t="s">
        <v>59</v>
      </c>
      <c r="I27" t="s">
        <v>61</v>
      </c>
      <c r="J27" t="s">
        <v>100</v>
      </c>
      <c r="K27" t="s">
        <v>34</v>
      </c>
      <c r="L27">
        <v>40</v>
      </c>
      <c r="M27">
        <v>365</v>
      </c>
      <c r="N27" t="s">
        <v>35</v>
      </c>
      <c r="O27">
        <v>2252643</v>
      </c>
      <c r="P27">
        <v>286729</v>
      </c>
      <c r="Q27">
        <v>277797</v>
      </c>
      <c r="R27">
        <v>1944954</v>
      </c>
      <c r="S27" t="s">
        <v>36</v>
      </c>
      <c r="T27" t="s">
        <v>157</v>
      </c>
      <c r="U27" t="s">
        <v>158</v>
      </c>
      <c r="V27" t="s">
        <v>159</v>
      </c>
      <c r="W27">
        <v>74</v>
      </c>
      <c r="X27" s="10">
        <v>4.8385970033810022</v>
      </c>
      <c r="Y27" s="10">
        <v>60.545348486364603</v>
      </c>
      <c r="Z27" s="10">
        <v>1.918334157592231</v>
      </c>
      <c r="AA27" s="10">
        <v>58.372511828024727</v>
      </c>
      <c r="AB27" s="21" t="str">
        <f>VLOOKUP(I27,facilities!$B:$Z,9,FALSE)</f>
        <v>NO0A2</v>
      </c>
      <c r="AC27" s="21" t="str">
        <f>VLOOKUP(J27,facilities!$B:$Z,9,FALSE)</f>
        <v>NO_SR</v>
      </c>
    </row>
    <row r="28" spans="1:30" x14ac:dyDescent="0.2">
      <c r="A28" s="1">
        <v>19</v>
      </c>
      <c r="B28" t="s">
        <v>160</v>
      </c>
      <c r="C28">
        <v>323110</v>
      </c>
      <c r="D28" s="3" t="s">
        <v>161</v>
      </c>
      <c r="E28" t="s">
        <v>28</v>
      </c>
      <c r="F28" t="s">
        <v>29</v>
      </c>
      <c r="G28" t="s">
        <v>30</v>
      </c>
      <c r="H28" t="s">
        <v>66</v>
      </c>
      <c r="I28" t="s">
        <v>61</v>
      </c>
      <c r="J28" t="s">
        <v>162</v>
      </c>
      <c r="K28" t="s">
        <v>34</v>
      </c>
      <c r="L28">
        <v>40</v>
      </c>
      <c r="M28">
        <v>368</v>
      </c>
      <c r="N28" t="s">
        <v>35</v>
      </c>
      <c r="O28">
        <v>2252643</v>
      </c>
      <c r="P28">
        <v>286729</v>
      </c>
      <c r="Q28">
        <v>278357</v>
      </c>
      <c r="R28">
        <v>1944954</v>
      </c>
      <c r="S28" t="s">
        <v>36</v>
      </c>
      <c r="T28" t="s">
        <v>163</v>
      </c>
      <c r="U28" t="s">
        <v>164</v>
      </c>
      <c r="V28" t="s">
        <v>165</v>
      </c>
      <c r="W28">
        <v>73</v>
      </c>
      <c r="X28" s="10">
        <v>4.838616431703417</v>
      </c>
      <c r="Y28" s="10">
        <v>60.545337377289087</v>
      </c>
      <c r="Z28" s="10">
        <v>2.467835516324413</v>
      </c>
      <c r="AA28" s="10">
        <v>58.193681646142913</v>
      </c>
      <c r="AB28" s="21" t="str">
        <f>VLOOKUP(I28,facilities!$B:$Z,9,FALSE)</f>
        <v>NO0A2</v>
      </c>
      <c r="AC28" s="21" t="str">
        <f>VLOOKUP(J28,facilities!$B:$Z,9,FALSE)</f>
        <v>NO_DE</v>
      </c>
    </row>
    <row r="29" spans="1:30" x14ac:dyDescent="0.2">
      <c r="A29" s="1">
        <v>36</v>
      </c>
      <c r="B29" t="s">
        <v>275</v>
      </c>
      <c r="C29">
        <v>406790</v>
      </c>
      <c r="D29" s="3" t="s">
        <v>276</v>
      </c>
      <c r="E29" t="s">
        <v>277</v>
      </c>
      <c r="F29" t="s">
        <v>29</v>
      </c>
      <c r="G29" t="s">
        <v>30</v>
      </c>
      <c r="H29" t="s">
        <v>278</v>
      </c>
      <c r="I29" t="s">
        <v>279</v>
      </c>
      <c r="J29" t="s">
        <v>280</v>
      </c>
      <c r="K29" t="s">
        <v>34</v>
      </c>
      <c r="L29">
        <v>28</v>
      </c>
      <c r="M29">
        <v>385</v>
      </c>
      <c r="N29" t="s">
        <v>35</v>
      </c>
      <c r="O29">
        <v>4480765</v>
      </c>
      <c r="P29">
        <v>406672</v>
      </c>
      <c r="Q29">
        <v>406731</v>
      </c>
      <c r="R29">
        <v>1944954</v>
      </c>
      <c r="S29" t="s">
        <v>36</v>
      </c>
      <c r="T29" t="s">
        <v>281</v>
      </c>
      <c r="U29" t="s">
        <v>282</v>
      </c>
      <c r="V29" t="s">
        <v>283</v>
      </c>
      <c r="W29">
        <v>17</v>
      </c>
      <c r="X29" s="10">
        <v>1.6999852660000561</v>
      </c>
      <c r="Y29" s="10">
        <v>61.020797730000027</v>
      </c>
      <c r="Z29" s="10">
        <v>3.9049897926673558</v>
      </c>
      <c r="AA29" s="10">
        <v>61.330193776287437</v>
      </c>
      <c r="AB29" s="21" t="str">
        <f>VLOOKUP(I29,facilities!$B:$Z,9,FALSE)</f>
        <v>NO_BG</v>
      </c>
      <c r="AC29" s="21" t="str">
        <f>VLOOKUP(J29,facilities!$B:$Z,9,FALSE)</f>
        <v>NO_BG</v>
      </c>
    </row>
    <row r="30" spans="1:30" x14ac:dyDescent="0.2">
      <c r="A30" s="1">
        <v>15</v>
      </c>
      <c r="B30" t="s">
        <v>137</v>
      </c>
      <c r="C30">
        <v>322498</v>
      </c>
      <c r="D30" s="3" t="s">
        <v>138</v>
      </c>
      <c r="E30" t="s">
        <v>139</v>
      </c>
      <c r="F30" t="s">
        <v>58</v>
      </c>
      <c r="G30" t="s">
        <v>30</v>
      </c>
      <c r="H30" t="s">
        <v>140</v>
      </c>
      <c r="I30" t="s">
        <v>95</v>
      </c>
      <c r="J30" t="s">
        <v>141</v>
      </c>
      <c r="K30" t="s">
        <v>34</v>
      </c>
      <c r="L30">
        <v>18</v>
      </c>
      <c r="M30">
        <v>130</v>
      </c>
      <c r="N30" t="s">
        <v>35</v>
      </c>
      <c r="O30">
        <v>1036213</v>
      </c>
      <c r="P30">
        <v>280569</v>
      </c>
      <c r="Q30">
        <v>283285</v>
      </c>
      <c r="R30">
        <v>32011216</v>
      </c>
      <c r="S30" t="s">
        <v>36</v>
      </c>
      <c r="T30" t="s">
        <v>142</v>
      </c>
      <c r="U30" t="s">
        <v>143</v>
      </c>
      <c r="V30" t="s">
        <v>144</v>
      </c>
      <c r="W30">
        <v>10</v>
      </c>
      <c r="X30" s="10">
        <v>2.2352254874930928</v>
      </c>
      <c r="Y30" s="10">
        <v>59.571075351213203</v>
      </c>
      <c r="Z30" s="10">
        <v>2.487335300560932</v>
      </c>
      <c r="AA30" s="10">
        <v>59.169726343631233</v>
      </c>
      <c r="AB30" s="21" t="str">
        <f>VLOOKUP(I30,facilities!$B:$Z,9,FALSE)</f>
        <v>NO_AE</v>
      </c>
      <c r="AC30" s="21" t="str">
        <f>VLOOKUP(J30,facilities!$B:$Z,9,FALSE)</f>
        <v>SKIP</v>
      </c>
    </row>
    <row r="31" spans="1:30" x14ac:dyDescent="0.2">
      <c r="A31" s="1">
        <v>38</v>
      </c>
      <c r="B31" t="s">
        <v>289</v>
      </c>
      <c r="C31">
        <v>425280</v>
      </c>
      <c r="D31" s="3" t="s">
        <v>290</v>
      </c>
      <c r="E31" t="s">
        <v>291</v>
      </c>
      <c r="F31" t="s">
        <v>58</v>
      </c>
      <c r="G31" t="s">
        <v>30</v>
      </c>
      <c r="H31" t="s">
        <v>292</v>
      </c>
      <c r="I31" t="s">
        <v>291</v>
      </c>
      <c r="J31" t="s">
        <v>293</v>
      </c>
      <c r="K31" t="s">
        <v>34</v>
      </c>
      <c r="L31">
        <v>14</v>
      </c>
      <c r="M31">
        <v>109</v>
      </c>
      <c r="N31" t="s">
        <v>35</v>
      </c>
      <c r="O31">
        <v>18116481</v>
      </c>
      <c r="P31">
        <v>410651</v>
      </c>
      <c r="Q31">
        <v>272365</v>
      </c>
      <c r="R31">
        <v>32011216</v>
      </c>
      <c r="S31" t="s">
        <v>36</v>
      </c>
      <c r="T31" t="s">
        <v>294</v>
      </c>
      <c r="U31" t="s">
        <v>295</v>
      </c>
      <c r="V31" t="s">
        <v>296</v>
      </c>
      <c r="W31" s="3"/>
      <c r="X31" s="10">
        <v>1.750470074427396</v>
      </c>
      <c r="Y31" s="10">
        <v>58.84241056287069</v>
      </c>
      <c r="Z31" s="10">
        <v>1.898765933579508</v>
      </c>
      <c r="AA31" s="10">
        <v>58.370533807717997</v>
      </c>
      <c r="AB31" s="21" t="str">
        <f>VLOOKUP(I31,facilities!$B:$Z,9,FALSE)</f>
        <v>NO_GS</v>
      </c>
      <c r="AC31" s="21" t="str">
        <f>VLOOKUP(J31,facilities!$B:$Z,9,FALSE)</f>
        <v>NO_SA</v>
      </c>
    </row>
    <row r="32" spans="1:30" x14ac:dyDescent="0.2">
      <c r="A32" s="1">
        <v>12</v>
      </c>
      <c r="B32" t="s">
        <v>116</v>
      </c>
      <c r="C32">
        <v>321818</v>
      </c>
      <c r="D32" s="3" t="s">
        <v>117</v>
      </c>
      <c r="E32" t="s">
        <v>118</v>
      </c>
      <c r="F32" t="s">
        <v>29</v>
      </c>
      <c r="G32" t="s">
        <v>30</v>
      </c>
      <c r="H32" t="s">
        <v>119</v>
      </c>
      <c r="I32" t="s">
        <v>120</v>
      </c>
      <c r="J32" t="s">
        <v>121</v>
      </c>
      <c r="K32" t="s">
        <v>34</v>
      </c>
      <c r="L32">
        <v>16</v>
      </c>
      <c r="M32">
        <v>362</v>
      </c>
      <c r="N32" t="s">
        <v>35</v>
      </c>
      <c r="O32">
        <v>124293</v>
      </c>
      <c r="P32">
        <v>272421</v>
      </c>
      <c r="Q32">
        <v>286309</v>
      </c>
      <c r="R32">
        <v>1944954</v>
      </c>
      <c r="S32" t="s">
        <v>36</v>
      </c>
      <c r="T32" t="s">
        <v>122</v>
      </c>
      <c r="U32" t="s">
        <v>123</v>
      </c>
      <c r="V32" t="s">
        <v>124</v>
      </c>
      <c r="W32">
        <v>5</v>
      </c>
      <c r="X32" s="10">
        <v>7.3202454238671333</v>
      </c>
      <c r="Y32" s="10">
        <v>65.321499578632455</v>
      </c>
      <c r="Z32" s="10">
        <v>8.6582155394689266</v>
      </c>
      <c r="AA32" s="10">
        <v>63.398890962560763</v>
      </c>
      <c r="AB32" s="21" t="str">
        <f>VLOOKUP(I32,facilities!$B:$Z,9,FALSE)</f>
        <v>NO_NN</v>
      </c>
      <c r="AC32" s="21" t="str">
        <f>VLOOKUP(J32,facilities!$B:$Z,9,FALSE)</f>
        <v>NO060</v>
      </c>
    </row>
    <row r="33" spans="1:30" x14ac:dyDescent="0.2">
      <c r="A33" s="1">
        <v>13</v>
      </c>
      <c r="B33" t="s">
        <v>125</v>
      </c>
      <c r="C33">
        <v>321852</v>
      </c>
      <c r="D33" s="3" t="s">
        <v>126</v>
      </c>
      <c r="E33" t="s">
        <v>127</v>
      </c>
      <c r="F33" t="s">
        <v>58</v>
      </c>
      <c r="G33" t="s">
        <v>30</v>
      </c>
      <c r="H33" t="s">
        <v>77</v>
      </c>
      <c r="I33" t="s">
        <v>120</v>
      </c>
      <c r="J33" t="s">
        <v>79</v>
      </c>
      <c r="K33" t="s">
        <v>34</v>
      </c>
      <c r="L33">
        <v>16</v>
      </c>
      <c r="M33">
        <v>430</v>
      </c>
      <c r="N33" t="s">
        <v>35</v>
      </c>
      <c r="O33">
        <v>1035969</v>
      </c>
      <c r="P33">
        <v>272421</v>
      </c>
      <c r="Q33">
        <v>287261</v>
      </c>
      <c r="R33">
        <v>32011216</v>
      </c>
      <c r="S33" t="s">
        <v>36</v>
      </c>
      <c r="T33" t="s">
        <v>128</v>
      </c>
      <c r="U33" t="s">
        <v>129</v>
      </c>
      <c r="V33" t="s">
        <v>130</v>
      </c>
      <c r="W33">
        <v>11</v>
      </c>
      <c r="X33" s="10">
        <v>7.3070762569448622</v>
      </c>
      <c r="Y33" s="10">
        <v>65.324774073434611</v>
      </c>
      <c r="Z33" s="10">
        <v>6.8014621730000613</v>
      </c>
      <c r="AA33" s="10">
        <v>65.084510803000057</v>
      </c>
      <c r="AB33" s="21" t="str">
        <f>VLOOKUP(I33,facilities!$B:$Z,9,FALSE)</f>
        <v>NO_NN</v>
      </c>
      <c r="AC33" s="21" t="str">
        <f>VLOOKUP(J33,facilities!$B:$Z,9,FALSE)</f>
        <v>NO_NN</v>
      </c>
    </row>
    <row r="34" spans="1:30" x14ac:dyDescent="0.2">
      <c r="A34" s="1">
        <v>42</v>
      </c>
      <c r="B34" t="s">
        <v>323</v>
      </c>
      <c r="C34">
        <v>456695</v>
      </c>
      <c r="D34" s="3" t="s">
        <v>324</v>
      </c>
      <c r="E34" t="s">
        <v>325</v>
      </c>
      <c r="F34" t="s">
        <v>58</v>
      </c>
      <c r="G34" t="s">
        <v>30</v>
      </c>
      <c r="H34" t="s">
        <v>326</v>
      </c>
      <c r="I34" t="s">
        <v>327</v>
      </c>
      <c r="J34" t="s">
        <v>328</v>
      </c>
      <c r="K34" t="s">
        <v>34</v>
      </c>
      <c r="L34">
        <v>18</v>
      </c>
      <c r="M34">
        <v>280</v>
      </c>
      <c r="N34" t="s">
        <v>35</v>
      </c>
      <c r="O34">
        <v>26376286</v>
      </c>
      <c r="P34">
        <v>449981</v>
      </c>
      <c r="Q34">
        <v>456808</v>
      </c>
      <c r="R34">
        <v>32011216</v>
      </c>
      <c r="S34" t="s">
        <v>36</v>
      </c>
      <c r="T34" t="s">
        <v>329</v>
      </c>
      <c r="U34" t="s">
        <v>330</v>
      </c>
      <c r="V34" t="s">
        <v>331</v>
      </c>
      <c r="W34">
        <v>5</v>
      </c>
      <c r="X34" s="10">
        <v>5.0541760000000409</v>
      </c>
      <c r="Y34" s="10">
        <v>59.326808000000028</v>
      </c>
      <c r="Z34" s="10">
        <v>2.5577715130093028</v>
      </c>
      <c r="AA34" s="10">
        <v>58.841931072335058</v>
      </c>
      <c r="AB34" s="21" t="str">
        <f>VLOOKUP(I34,facilities!$B:$Z,9,FALSE)</f>
        <v>NO_JS</v>
      </c>
      <c r="AC34" s="21" t="str">
        <f>VLOOKUP(J34,facilities!$B:$Z,9,FALSE)</f>
        <v>NO_JS</v>
      </c>
    </row>
    <row r="35" spans="1:30" x14ac:dyDescent="0.2">
      <c r="A35" s="1">
        <v>39</v>
      </c>
      <c r="B35" t="s">
        <v>297</v>
      </c>
      <c r="C35">
        <v>438653</v>
      </c>
      <c r="D35" s="3" t="s">
        <v>298</v>
      </c>
      <c r="E35" t="s">
        <v>299</v>
      </c>
      <c r="F35" t="s">
        <v>58</v>
      </c>
      <c r="G35" t="s">
        <v>30</v>
      </c>
      <c r="H35" t="s">
        <v>300</v>
      </c>
      <c r="I35" t="s">
        <v>301</v>
      </c>
      <c r="J35" t="s">
        <v>302</v>
      </c>
      <c r="K35" t="s">
        <v>34</v>
      </c>
      <c r="L35">
        <v>24</v>
      </c>
      <c r="M35">
        <v>115</v>
      </c>
      <c r="N35" t="s">
        <v>35</v>
      </c>
      <c r="O35">
        <v>22223002</v>
      </c>
      <c r="P35">
        <v>436400</v>
      </c>
      <c r="Q35">
        <v>438553</v>
      </c>
      <c r="R35">
        <v>32011216</v>
      </c>
      <c r="S35" t="s">
        <v>36</v>
      </c>
      <c r="T35" t="s">
        <v>303</v>
      </c>
      <c r="U35" t="s">
        <v>304</v>
      </c>
      <c r="V35" t="s">
        <v>305</v>
      </c>
      <c r="W35" s="3"/>
      <c r="X35" s="10">
        <v>2.0175154810000322</v>
      </c>
      <c r="Y35" s="10">
        <v>59.894961973000079</v>
      </c>
      <c r="Z35" s="10">
        <v>2.011387666028313</v>
      </c>
      <c r="AA35" s="10">
        <v>60.502035307044537</v>
      </c>
      <c r="AB35" s="21" t="str">
        <f>VLOOKUP(I35,facilities!$B:$Z,9,FALSE)</f>
        <v>NO_ML</v>
      </c>
      <c r="AC35" s="21" t="str">
        <f>VLOOKUP(J35,facilities!$B:$Z,9,FALSE)</f>
        <v>NO_?</v>
      </c>
      <c r="AD35" t="s">
        <v>457</v>
      </c>
    </row>
    <row r="36" spans="1:30" x14ac:dyDescent="0.2">
      <c r="A36" s="1">
        <v>32</v>
      </c>
      <c r="B36" t="s">
        <v>244</v>
      </c>
      <c r="C36">
        <v>371254</v>
      </c>
      <c r="D36" s="3" t="s">
        <v>245</v>
      </c>
      <c r="E36" t="s">
        <v>246</v>
      </c>
      <c r="F36" t="s">
        <v>247</v>
      </c>
      <c r="G36" t="s">
        <v>30</v>
      </c>
      <c r="H36" t="s">
        <v>230</v>
      </c>
      <c r="I36" t="s">
        <v>248</v>
      </c>
      <c r="J36" t="s">
        <v>231</v>
      </c>
      <c r="K36" t="s">
        <v>34</v>
      </c>
      <c r="L36">
        <v>30</v>
      </c>
      <c r="M36">
        <v>850</v>
      </c>
      <c r="N36" t="s">
        <v>35</v>
      </c>
      <c r="O36">
        <v>2762452</v>
      </c>
      <c r="P36">
        <v>371178</v>
      </c>
      <c r="Q36">
        <v>364693</v>
      </c>
      <c r="R36">
        <v>562</v>
      </c>
      <c r="S36" t="s">
        <v>36</v>
      </c>
      <c r="T36" t="s">
        <v>249</v>
      </c>
      <c r="U36" t="s">
        <v>250</v>
      </c>
      <c r="V36" t="s">
        <v>251</v>
      </c>
      <c r="W36" s="3"/>
      <c r="X36" s="10">
        <v>5.3867635720000644</v>
      </c>
      <c r="Y36" s="10">
        <v>63.528081670000063</v>
      </c>
      <c r="Z36" s="10">
        <v>6.9438171580000576</v>
      </c>
      <c r="AA36" s="10">
        <v>62.850320330000052</v>
      </c>
      <c r="AB36" s="21" t="str">
        <f>VLOOKUP(I36,facilities!$B:$Z,9,FALSE)</f>
        <v>NO_OL</v>
      </c>
      <c r="AC36" s="21" t="str">
        <f>VLOOKUP(J36,facilities!$B:$Z,9,FALSE)</f>
        <v>NO0A3</v>
      </c>
    </row>
    <row r="37" spans="1:30" x14ac:dyDescent="0.2">
      <c r="A37" s="1">
        <v>33</v>
      </c>
      <c r="B37" t="s">
        <v>252</v>
      </c>
      <c r="C37">
        <v>371292</v>
      </c>
      <c r="D37" s="3" t="s">
        <v>253</v>
      </c>
      <c r="E37" t="s">
        <v>246</v>
      </c>
      <c r="F37" t="s">
        <v>247</v>
      </c>
      <c r="G37" t="s">
        <v>30</v>
      </c>
      <c r="H37" t="s">
        <v>230</v>
      </c>
      <c r="I37" t="s">
        <v>254</v>
      </c>
      <c r="J37" t="s">
        <v>231</v>
      </c>
      <c r="K37" t="s">
        <v>34</v>
      </c>
      <c r="L37">
        <v>30</v>
      </c>
      <c r="M37">
        <v>850</v>
      </c>
      <c r="N37" t="s">
        <v>35</v>
      </c>
      <c r="O37">
        <v>2762452</v>
      </c>
      <c r="P37">
        <v>371216</v>
      </c>
      <c r="Q37">
        <v>364693</v>
      </c>
      <c r="R37">
        <v>562</v>
      </c>
      <c r="S37" t="s">
        <v>36</v>
      </c>
      <c r="T37" t="s">
        <v>255</v>
      </c>
      <c r="U37" t="s">
        <v>256</v>
      </c>
      <c r="V37" t="s">
        <v>257</v>
      </c>
      <c r="W37" s="3"/>
      <c r="X37" s="10">
        <v>5.3865159610000433</v>
      </c>
      <c r="Y37" s="10">
        <v>63.528076290000058</v>
      </c>
      <c r="Z37" s="10">
        <v>6.9437703910000437</v>
      </c>
      <c r="AA37" s="10">
        <v>62.850336670000047</v>
      </c>
      <c r="AB37" s="21" t="str">
        <f>VLOOKUP(I37,facilities!$B:$Z,9,FALSE)</f>
        <v>NO_OL</v>
      </c>
      <c r="AC37" s="21" t="str">
        <f>VLOOKUP(J37,facilities!$B:$Z,9,FALSE)</f>
        <v>NO0A3</v>
      </c>
    </row>
    <row r="38" spans="1:30" x14ac:dyDescent="0.2">
      <c r="A38" s="1">
        <v>41</v>
      </c>
      <c r="B38" t="s">
        <v>315</v>
      </c>
      <c r="C38">
        <v>444927</v>
      </c>
      <c r="D38" s="3" t="s">
        <v>316</v>
      </c>
      <c r="E38" t="s">
        <v>317</v>
      </c>
      <c r="F38" t="s">
        <v>29</v>
      </c>
      <c r="G38" t="s">
        <v>30</v>
      </c>
      <c r="H38" t="s">
        <v>318</v>
      </c>
      <c r="I38" t="s">
        <v>319</v>
      </c>
      <c r="J38" t="s">
        <v>231</v>
      </c>
      <c r="K38" t="s">
        <v>34</v>
      </c>
      <c r="L38">
        <v>36</v>
      </c>
      <c r="M38">
        <v>1265</v>
      </c>
      <c r="N38" t="s">
        <v>35</v>
      </c>
      <c r="O38">
        <v>17343422</v>
      </c>
      <c r="P38">
        <v>459032</v>
      </c>
      <c r="Q38">
        <v>364693</v>
      </c>
      <c r="R38">
        <v>1944954</v>
      </c>
      <c r="S38" t="s">
        <v>36</v>
      </c>
      <c r="T38" t="s">
        <v>320</v>
      </c>
      <c r="U38" t="s">
        <v>321</v>
      </c>
      <c r="V38" t="s">
        <v>322</v>
      </c>
      <c r="W38">
        <v>70</v>
      </c>
      <c r="X38" s="10">
        <v>7.1072270000000231</v>
      </c>
      <c r="Y38" s="10">
        <v>67.055610000000058</v>
      </c>
      <c r="Z38" s="10">
        <v>6.9491110000000731</v>
      </c>
      <c r="AA38" s="10">
        <v>62.853654000000063</v>
      </c>
      <c r="AB38" s="21" t="str">
        <f>VLOOKUP(I38,facilities!$B:$Z,9,FALSE)</f>
        <v>NO_AD</v>
      </c>
      <c r="AC38" s="21" t="str">
        <f>VLOOKUP(J38,facilities!$B:$Z,9,FALSE)</f>
        <v>NO0A3</v>
      </c>
    </row>
    <row r="39" spans="1:30" x14ac:dyDescent="0.2">
      <c r="A39" s="1">
        <v>35</v>
      </c>
      <c r="B39" t="s">
        <v>265</v>
      </c>
      <c r="C39">
        <v>406393</v>
      </c>
      <c r="D39" s="3" t="s">
        <v>266</v>
      </c>
      <c r="E39" t="s">
        <v>267</v>
      </c>
      <c r="F39" t="s">
        <v>268</v>
      </c>
      <c r="G39" t="s">
        <v>30</v>
      </c>
      <c r="H39" t="s">
        <v>269</v>
      </c>
      <c r="I39" t="s">
        <v>270</v>
      </c>
      <c r="J39" t="s">
        <v>271</v>
      </c>
      <c r="K39" t="s">
        <v>34</v>
      </c>
      <c r="L39">
        <v>26</v>
      </c>
      <c r="M39">
        <v>440</v>
      </c>
      <c r="N39" t="s">
        <v>35</v>
      </c>
      <c r="O39">
        <v>4704482</v>
      </c>
      <c r="P39">
        <v>406335</v>
      </c>
      <c r="Q39">
        <v>287401</v>
      </c>
      <c r="R39">
        <v>28544099</v>
      </c>
      <c r="S39" t="s">
        <v>36</v>
      </c>
      <c r="T39" t="s">
        <v>272</v>
      </c>
      <c r="U39" t="s">
        <v>273</v>
      </c>
      <c r="V39" t="s">
        <v>274</v>
      </c>
      <c r="W39" s="3"/>
      <c r="X39" s="10">
        <v>7.6558328198016818</v>
      </c>
      <c r="Y39" s="10">
        <v>65.693743899121472</v>
      </c>
      <c r="Z39" s="10">
        <v>6.8036598360000653</v>
      </c>
      <c r="AA39" s="10">
        <v>65.094471500000054</v>
      </c>
      <c r="AB39" s="21" t="str">
        <f>VLOOKUP(I39,facilities!$B:$Z,9,FALSE)</f>
        <v>NO_NN</v>
      </c>
      <c r="AC39" s="21" t="str">
        <f>VLOOKUP(J39,facilities!$B:$Z,9,FALSE)</f>
        <v>NO_NN</v>
      </c>
    </row>
    <row r="40" spans="1:30" x14ac:dyDescent="0.2">
      <c r="A40" s="1">
        <v>31</v>
      </c>
      <c r="B40" t="s">
        <v>235</v>
      </c>
      <c r="C40">
        <v>370369</v>
      </c>
      <c r="D40" s="3" t="s">
        <v>236</v>
      </c>
      <c r="E40" t="s">
        <v>237</v>
      </c>
      <c r="F40" t="s">
        <v>58</v>
      </c>
      <c r="G40" t="s">
        <v>30</v>
      </c>
      <c r="H40" t="s">
        <v>238</v>
      </c>
      <c r="I40" t="s">
        <v>239</v>
      </c>
      <c r="J40" t="s">
        <v>240</v>
      </c>
      <c r="K40" t="s">
        <v>34</v>
      </c>
      <c r="L40">
        <v>28</v>
      </c>
      <c r="M40">
        <v>325</v>
      </c>
      <c r="N40" t="s">
        <v>35</v>
      </c>
      <c r="O40">
        <v>2053062</v>
      </c>
      <c r="P40">
        <v>370654</v>
      </c>
      <c r="Q40">
        <v>363441</v>
      </c>
      <c r="R40">
        <v>32011216</v>
      </c>
      <c r="S40" t="s">
        <v>36</v>
      </c>
      <c r="T40" t="s">
        <v>241</v>
      </c>
      <c r="U40" t="s">
        <v>242</v>
      </c>
      <c r="V40" t="s">
        <v>243</v>
      </c>
      <c r="W40" s="3"/>
      <c r="X40" s="10">
        <v>21.226541519000019</v>
      </c>
      <c r="Y40" s="10">
        <v>71.571334839000031</v>
      </c>
      <c r="Z40" s="10">
        <v>23.58734798579594</v>
      </c>
      <c r="AA40" s="10">
        <v>70.685443717529964</v>
      </c>
      <c r="AB40" s="21" t="str">
        <f>VLOOKUP(I40,facilities!$B:$Z,9,FALSE)</f>
        <v>L_NOR</v>
      </c>
      <c r="AC40" s="21" t="str">
        <f>VLOOKUP(J40,facilities!$B:$Z,9,FALSE)</f>
        <v>NO074</v>
      </c>
    </row>
    <row r="41" spans="1:30" x14ac:dyDescent="0.2">
      <c r="A41" s="1">
        <v>3</v>
      </c>
      <c r="B41" t="s">
        <v>55</v>
      </c>
      <c r="C41">
        <v>314542</v>
      </c>
      <c r="D41" s="3" t="s">
        <v>56</v>
      </c>
      <c r="E41" t="s">
        <v>57</v>
      </c>
      <c r="F41" t="s">
        <v>58</v>
      </c>
      <c r="G41" t="s">
        <v>30</v>
      </c>
      <c r="H41" t="s">
        <v>59</v>
      </c>
      <c r="I41" t="s">
        <v>60</v>
      </c>
      <c r="J41" t="s">
        <v>61</v>
      </c>
      <c r="K41" t="s">
        <v>34</v>
      </c>
      <c r="L41">
        <v>36</v>
      </c>
      <c r="M41">
        <v>347</v>
      </c>
      <c r="N41" t="s">
        <v>35</v>
      </c>
      <c r="O41">
        <v>101998</v>
      </c>
      <c r="P41">
        <v>278329</v>
      </c>
      <c r="Q41">
        <v>286729</v>
      </c>
      <c r="R41">
        <v>32011216</v>
      </c>
      <c r="S41" t="s">
        <v>36</v>
      </c>
      <c r="T41" t="s">
        <v>62</v>
      </c>
      <c r="U41" t="s">
        <v>63</v>
      </c>
      <c r="V41" t="s">
        <v>64</v>
      </c>
      <c r="W41" s="3"/>
      <c r="X41" s="10">
        <v>4.835830000000044</v>
      </c>
      <c r="Y41" s="10">
        <v>60.550175000000081</v>
      </c>
      <c r="Z41" s="10">
        <v>3.7356308430609881</v>
      </c>
      <c r="AA41" s="10">
        <v>60.645684587772983</v>
      </c>
      <c r="AB41" s="21" t="str">
        <f>VLOOKUP(I41,facilities!$B:$Z,9,FALSE)</f>
        <v>NO_TR</v>
      </c>
      <c r="AC41" s="21" t="str">
        <f>VLOOKUP(J41,facilities!$B:$Z,9,FALSE)</f>
        <v>NO0A2</v>
      </c>
    </row>
    <row r="42" spans="1:30" x14ac:dyDescent="0.2">
      <c r="A42" s="1">
        <v>4</v>
      </c>
      <c r="B42" t="s">
        <v>55</v>
      </c>
      <c r="C42">
        <v>314576</v>
      </c>
      <c r="D42" s="3" t="s">
        <v>65</v>
      </c>
      <c r="E42" t="s">
        <v>57</v>
      </c>
      <c r="F42" t="s">
        <v>58</v>
      </c>
      <c r="G42" t="s">
        <v>30</v>
      </c>
      <c r="H42" t="s">
        <v>66</v>
      </c>
      <c r="I42" t="s">
        <v>60</v>
      </c>
      <c r="J42" t="s">
        <v>61</v>
      </c>
      <c r="K42" t="s">
        <v>34</v>
      </c>
      <c r="L42">
        <v>36</v>
      </c>
      <c r="M42">
        <v>347</v>
      </c>
      <c r="N42" t="s">
        <v>35</v>
      </c>
      <c r="O42">
        <v>101998</v>
      </c>
      <c r="P42">
        <v>278329</v>
      </c>
      <c r="Q42">
        <v>286729</v>
      </c>
      <c r="R42">
        <v>32011216</v>
      </c>
      <c r="S42" t="s">
        <v>36</v>
      </c>
      <c r="T42" t="s">
        <v>67</v>
      </c>
      <c r="U42" t="s">
        <v>68</v>
      </c>
      <c r="V42" t="s">
        <v>69</v>
      </c>
      <c r="W42" s="3"/>
      <c r="X42" s="10">
        <v>3.735198265259934</v>
      </c>
      <c r="Y42" s="10">
        <v>60.644274873967973</v>
      </c>
      <c r="Z42" s="10">
        <v>4.835830000000044</v>
      </c>
      <c r="AA42" s="10">
        <v>60.550175000000081</v>
      </c>
      <c r="AB42" s="21" t="str">
        <f>VLOOKUP(I42,facilities!$B:$Z,9,FALSE)</f>
        <v>NO_TR</v>
      </c>
      <c r="AC42" s="21" t="str">
        <f>VLOOKUP(J42,facilities!$B:$Z,9,FALSE)</f>
        <v>NO0A2</v>
      </c>
    </row>
    <row r="43" spans="1:30" x14ac:dyDescent="0.2">
      <c r="A43" s="1">
        <v>37</v>
      </c>
      <c r="B43" t="s">
        <v>55</v>
      </c>
      <c r="C43">
        <v>414837</v>
      </c>
      <c r="D43" s="3" t="s">
        <v>284</v>
      </c>
      <c r="E43" t="s">
        <v>57</v>
      </c>
      <c r="F43" t="s">
        <v>58</v>
      </c>
      <c r="G43" t="s">
        <v>30</v>
      </c>
      <c r="H43" t="s">
        <v>285</v>
      </c>
      <c r="I43" t="s">
        <v>60</v>
      </c>
      <c r="J43" t="s">
        <v>61</v>
      </c>
      <c r="K43" t="s">
        <v>34</v>
      </c>
      <c r="L43">
        <v>36</v>
      </c>
      <c r="M43">
        <v>347</v>
      </c>
      <c r="N43" t="s">
        <v>35</v>
      </c>
      <c r="O43">
        <v>101998</v>
      </c>
      <c r="P43">
        <v>278329</v>
      </c>
      <c r="Q43">
        <v>286729</v>
      </c>
      <c r="R43">
        <v>32011216</v>
      </c>
      <c r="S43" t="s">
        <v>36</v>
      </c>
      <c r="T43" t="s">
        <v>286</v>
      </c>
      <c r="U43" t="s">
        <v>287</v>
      </c>
      <c r="V43" t="s">
        <v>288</v>
      </c>
      <c r="W43" s="3"/>
      <c r="X43" s="10">
        <v>4.8385664933895356</v>
      </c>
      <c r="Y43" s="10">
        <v>60.545365931916074</v>
      </c>
      <c r="Z43" s="10">
        <v>3.7355943555774038</v>
      </c>
      <c r="AA43" s="10">
        <v>60.646045902129458</v>
      </c>
      <c r="AB43" s="21" t="str">
        <f>VLOOKUP(I43,facilities!$B:$Z,9,FALSE)</f>
        <v>NO_TR</v>
      </c>
      <c r="AC43" s="21" t="str">
        <f>VLOOKUP(J43,facilities!$B:$Z,9,FALSE)</f>
        <v>NO0A2</v>
      </c>
    </row>
    <row r="44" spans="1:30" x14ac:dyDescent="0.2">
      <c r="A44" s="1">
        <v>40</v>
      </c>
      <c r="B44" t="s">
        <v>306</v>
      </c>
      <c r="C44">
        <v>442969</v>
      </c>
      <c r="D44" s="3" t="s">
        <v>307</v>
      </c>
      <c r="E44" t="s">
        <v>308</v>
      </c>
      <c r="F44" t="s">
        <v>29</v>
      </c>
      <c r="G44" t="s">
        <v>30</v>
      </c>
      <c r="H44" t="s">
        <v>309</v>
      </c>
      <c r="I44" t="s">
        <v>310</v>
      </c>
      <c r="J44" t="s">
        <v>311</v>
      </c>
      <c r="K44" t="s">
        <v>34</v>
      </c>
      <c r="L44">
        <v>16</v>
      </c>
      <c r="M44">
        <v>117</v>
      </c>
      <c r="N44" t="s">
        <v>35</v>
      </c>
      <c r="O44">
        <v>22508017</v>
      </c>
      <c r="P44">
        <v>436163</v>
      </c>
      <c r="Q44">
        <v>375390</v>
      </c>
      <c r="R44">
        <v>1944954</v>
      </c>
      <c r="S44" t="s">
        <v>36</v>
      </c>
      <c r="T44" t="s">
        <v>312</v>
      </c>
      <c r="U44" t="s">
        <v>313</v>
      </c>
      <c r="V44" t="s">
        <v>314</v>
      </c>
      <c r="W44">
        <v>5</v>
      </c>
      <c r="X44" s="10">
        <v>1.3911370790000319</v>
      </c>
      <c r="Y44" s="10">
        <v>59.47797846900005</v>
      </c>
      <c r="Z44" s="10">
        <v>2.254149831737414</v>
      </c>
      <c r="AA44" s="10">
        <v>58.839405675350093</v>
      </c>
      <c r="AB44" s="21" t="str">
        <f>VLOOKUP(I44,facilities!$B:$Z,9,FALSE)</f>
        <v>NO_AE</v>
      </c>
      <c r="AC44" s="21" t="str">
        <f>VLOOKUP(J44,facilities!$B:$Z,9,FALSE)</f>
        <v>NO_GS</v>
      </c>
    </row>
    <row r="45" spans="1:30" s="5" customFormat="1" x14ac:dyDescent="0.2">
      <c r="A45" s="1">
        <v>10</v>
      </c>
      <c r="B45" t="s">
        <v>104</v>
      </c>
      <c r="C45">
        <v>321036</v>
      </c>
      <c r="D45" s="3" t="s">
        <v>41</v>
      </c>
      <c r="E45" t="s">
        <v>105</v>
      </c>
      <c r="F45" t="s">
        <v>29</v>
      </c>
      <c r="G45" t="s">
        <v>30</v>
      </c>
      <c r="H45" t="s">
        <v>42</v>
      </c>
      <c r="I45" t="s">
        <v>100</v>
      </c>
      <c r="J45" t="s">
        <v>106</v>
      </c>
      <c r="K45" t="s">
        <v>34</v>
      </c>
      <c r="L45">
        <v>30</v>
      </c>
      <c r="M45">
        <v>83</v>
      </c>
      <c r="N45" t="s">
        <v>35</v>
      </c>
      <c r="O45">
        <v>124235</v>
      </c>
      <c r="P45">
        <v>277797</v>
      </c>
      <c r="Q45">
        <v>271945</v>
      </c>
      <c r="R45">
        <v>1944954</v>
      </c>
      <c r="S45" t="s">
        <v>36</v>
      </c>
      <c r="T45" t="s">
        <v>107</v>
      </c>
      <c r="U45" t="s">
        <v>108</v>
      </c>
      <c r="V45" t="s">
        <v>109</v>
      </c>
      <c r="W45">
        <v>55</v>
      </c>
      <c r="X45" s="10">
        <v>1.916023053869971</v>
      </c>
      <c r="Y45" s="10">
        <v>58.365082279221447</v>
      </c>
      <c r="Z45" s="10">
        <v>2.4643688840180129</v>
      </c>
      <c r="AA45" s="10">
        <v>58.190946831815232</v>
      </c>
      <c r="AB45" s="21" t="str">
        <f>VLOOKUP(I45,facilities!$B:$Z,9,FALSE)</f>
        <v>NO_SR</v>
      </c>
      <c r="AC45" s="21" t="str">
        <f>VLOOKUP(J45,facilities!$B:$Z,9,FALSE)</f>
        <v>NO_DS</v>
      </c>
      <c r="AD45"/>
    </row>
    <row r="46" spans="1:30" s="5" customFormat="1" x14ac:dyDescent="0.2">
      <c r="A46" s="4">
        <v>45</v>
      </c>
      <c r="B46" s="5" t="s">
        <v>332</v>
      </c>
      <c r="D46" s="5" t="s">
        <v>332</v>
      </c>
      <c r="I46" s="23" t="s">
        <v>334</v>
      </c>
      <c r="J46" s="23" t="s">
        <v>490</v>
      </c>
      <c r="V46" s="5" t="s">
        <v>338</v>
      </c>
      <c r="W46" s="5" t="s">
        <v>336</v>
      </c>
      <c r="X46" s="11">
        <v>6.5038</v>
      </c>
      <c r="Y46" s="11">
        <v>55.71</v>
      </c>
      <c r="Z46" s="11">
        <v>8.4072999999999993</v>
      </c>
      <c r="AA46" s="11">
        <v>55.744999999999997</v>
      </c>
      <c r="AB46" s="21" t="str">
        <f>VLOOKUP(I46,facilities!$B:$Z,9,FALSE)</f>
        <v>DK_WW</v>
      </c>
      <c r="AC46" s="21" t="str">
        <f>VLOOKUP(J46,facilities!$B:$Z,9,FALSE)</f>
        <v>DK_1?</v>
      </c>
    </row>
    <row r="47" spans="1:30" s="5" customFormat="1" x14ac:dyDescent="0.2">
      <c r="A47" s="4">
        <v>44</v>
      </c>
      <c r="B47" s="5" t="s">
        <v>332</v>
      </c>
      <c r="D47" s="5" t="s">
        <v>332</v>
      </c>
      <c r="I47" s="23" t="s">
        <v>491</v>
      </c>
      <c r="J47" s="23" t="s">
        <v>497</v>
      </c>
      <c r="V47" s="5" t="s">
        <v>337</v>
      </c>
      <c r="W47" s="5" t="s">
        <v>336</v>
      </c>
      <c r="X47" s="11">
        <v>9.3108000000000004</v>
      </c>
      <c r="Y47" s="11">
        <v>55.616999999999997</v>
      </c>
      <c r="Z47" s="11">
        <v>10.7951</v>
      </c>
      <c r="AA47" s="11">
        <v>55.286999999999999</v>
      </c>
      <c r="AB47" s="21" t="str">
        <f>VLOOKUP(I47,facilities!$B:$Z,9,FALSE)</f>
        <v>DK_2?</v>
      </c>
      <c r="AC47" s="21" t="str">
        <f>VLOOKUP(J47,facilities!$B:$Z,9,FALSE)</f>
        <v>DK_3?</v>
      </c>
      <c r="AD47"/>
    </row>
    <row r="48" spans="1:30" s="5" customFormat="1" x14ac:dyDescent="0.2">
      <c r="A48" s="4">
        <v>43</v>
      </c>
      <c r="B48" s="5" t="s">
        <v>332</v>
      </c>
      <c r="D48" s="5" t="s">
        <v>332</v>
      </c>
      <c r="I48" s="23" t="s">
        <v>498</v>
      </c>
      <c r="J48" s="23" t="s">
        <v>333</v>
      </c>
      <c r="V48" s="5" t="s">
        <v>335</v>
      </c>
      <c r="W48" s="5" t="s">
        <v>336</v>
      </c>
      <c r="X48" s="11">
        <v>11.2102</v>
      </c>
      <c r="Y48" s="11">
        <v>55.389000000000003</v>
      </c>
      <c r="Z48" s="11">
        <v>15.2599</v>
      </c>
      <c r="AA48" s="11">
        <v>53.8</v>
      </c>
      <c r="AB48" s="21" t="str">
        <f>VLOOKUP(I48,facilities!$B:$Z,9,FALSE)</f>
        <v>DK_4?</v>
      </c>
      <c r="AC48" s="21" t="str">
        <f>VLOOKUP(J48,facilities!$B:$Z,9,FALSE)</f>
        <v>PL_??</v>
      </c>
    </row>
    <row r="49" spans="1:30" s="5" customFormat="1" x14ac:dyDescent="0.2">
      <c r="A49" s="4">
        <v>47</v>
      </c>
      <c r="B49" s="5" t="s">
        <v>343</v>
      </c>
      <c r="D49" s="5" t="s">
        <v>343</v>
      </c>
      <c r="I49" s="5" t="s">
        <v>344</v>
      </c>
      <c r="J49" s="5" t="s">
        <v>345</v>
      </c>
      <c r="V49" s="5" t="s">
        <v>346</v>
      </c>
      <c r="W49" s="5" t="s">
        <v>347</v>
      </c>
      <c r="X49" s="11">
        <v>-1.104584</v>
      </c>
      <c r="Y49" s="11">
        <v>54.624600000000001</v>
      </c>
      <c r="Z49" s="11">
        <v>1.803328</v>
      </c>
      <c r="AA49" s="11">
        <v>57.758068999999999</v>
      </c>
      <c r="AB49" s="21" t="str">
        <f>VLOOKUP(I49,facilities!$B:$Z,9,FALSE)</f>
        <v>UKE22</v>
      </c>
      <c r="AC49" s="21" t="str">
        <f>VLOOKUP(J49,facilities!$B:$Z,9,FALSE)</f>
        <v>NO_CP</v>
      </c>
    </row>
    <row r="50" spans="1:30" s="5" customFormat="1" x14ac:dyDescent="0.2">
      <c r="A50" s="4">
        <v>46</v>
      </c>
      <c r="B50" s="5" t="s">
        <v>339</v>
      </c>
      <c r="D50" s="5" t="s">
        <v>339</v>
      </c>
      <c r="I50" s="5" t="s">
        <v>340</v>
      </c>
      <c r="J50" s="5" t="s">
        <v>147</v>
      </c>
      <c r="V50" s="5" t="s">
        <v>341</v>
      </c>
      <c r="W50" s="5" t="s">
        <v>342</v>
      </c>
      <c r="X50" s="11">
        <v>-1.8256509999999999</v>
      </c>
      <c r="Y50" s="11">
        <v>57.579971</v>
      </c>
      <c r="Z50" s="11">
        <v>1.7050129999999999</v>
      </c>
      <c r="AA50" s="11">
        <v>61.034477000000003</v>
      </c>
      <c r="AB50" s="21" t="str">
        <f>VLOOKUP(I50,facilities!$B:$Z,9,FALSE)</f>
        <v>NO_BR</v>
      </c>
      <c r="AC50" s="21" t="str">
        <f>VLOOKUP(J50,facilities!$B:$Z,9,FALSE)</f>
        <v>UKM50</v>
      </c>
      <c r="AD50" s="19" t="s">
        <v>452</v>
      </c>
    </row>
    <row r="51" spans="1:30" x14ac:dyDescent="0.2">
      <c r="A51" t="s">
        <v>481</v>
      </c>
      <c r="B51" s="5" t="s">
        <v>483</v>
      </c>
      <c r="I51" s="3" t="s">
        <v>293</v>
      </c>
    </row>
    <row r="52" spans="1:30" x14ac:dyDescent="0.2">
      <c r="A52" t="s">
        <v>482</v>
      </c>
      <c r="B52" s="5" t="s">
        <v>483</v>
      </c>
      <c r="I52" s="3" t="s">
        <v>100</v>
      </c>
    </row>
  </sheetData>
  <autoFilter ref="A1:AC52" xr:uid="{00000000-0001-0000-0000-000000000000}"/>
  <sortState xmlns:xlrd2="http://schemas.microsoft.com/office/spreadsheetml/2017/richdata2" ref="A2:AD52">
    <sortCondition ref="E2:E52"/>
    <sortCondition ref="D2:D52"/>
    <sortCondition descending="1" ref="Y2:Y52"/>
    <sortCondition ref="B2:B52"/>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7"/>
  <sheetViews>
    <sheetView tabSelected="1" zoomScale="120" zoomScaleNormal="120" workbookViewId="0">
      <pane xSplit="2" ySplit="1" topLeftCell="C2" activePane="bottomRight" state="frozen"/>
      <selection pane="topRight" activeCell="C1" sqref="C1"/>
      <selection pane="bottomLeft" activeCell="A2" sqref="A2"/>
      <selection pane="bottomRight" activeCell="C77" sqref="C77:D77"/>
    </sheetView>
  </sheetViews>
  <sheetFormatPr baseColWidth="10" defaultColWidth="8.83203125" defaultRowHeight="15" x14ac:dyDescent="0.2"/>
  <cols>
    <col min="2" max="2" width="26.83203125" style="3" bestFit="1" customWidth="1"/>
    <col min="3" max="4" width="8.83203125" style="14"/>
    <col min="5" max="5" width="8.83203125" customWidth="1"/>
    <col min="6" max="6" width="11" customWidth="1"/>
    <col min="7" max="7" width="8" customWidth="1"/>
    <col min="8" max="8" width="13.5" bestFit="1" customWidth="1"/>
    <col min="9" max="9" width="6.83203125" style="14" customWidth="1"/>
    <col min="10" max="10" width="10.83203125" style="15" customWidth="1"/>
  </cols>
  <sheetData>
    <row r="1" spans="1:12" x14ac:dyDescent="0.2">
      <c r="B1" s="2" t="s">
        <v>356</v>
      </c>
      <c r="C1" s="1" t="s">
        <v>357</v>
      </c>
      <c r="D1" s="1" t="s">
        <v>358</v>
      </c>
      <c r="E1" s="1" t="s">
        <v>20</v>
      </c>
      <c r="F1" s="1" t="s">
        <v>21</v>
      </c>
      <c r="G1" s="16" t="s">
        <v>429</v>
      </c>
      <c r="H1" s="16" t="s">
        <v>471</v>
      </c>
      <c r="I1" s="16" t="s">
        <v>470</v>
      </c>
      <c r="J1" s="12" t="s">
        <v>416</v>
      </c>
      <c r="L1" s="31" t="s">
        <v>476</v>
      </c>
    </row>
    <row r="2" spans="1:12" x14ac:dyDescent="0.2">
      <c r="A2" s="1">
        <v>58</v>
      </c>
      <c r="B2" s="3" t="s">
        <v>240</v>
      </c>
      <c r="C2" s="13">
        <v>23.58734798579594</v>
      </c>
      <c r="D2" s="13">
        <v>70.685443717529964</v>
      </c>
      <c r="E2" t="s">
        <v>403</v>
      </c>
      <c r="F2">
        <v>119.05</v>
      </c>
      <c r="G2" s="17">
        <f>COUNTIF(B$2:B2,B2)</f>
        <v>1</v>
      </c>
      <c r="H2" s="14" t="s">
        <v>472</v>
      </c>
      <c r="I2" s="29">
        <f t="shared" ref="I2:I33" si="0">IF(G2=1,F2,0)</f>
        <v>119.05</v>
      </c>
      <c r="J2" s="15" t="s">
        <v>424</v>
      </c>
      <c r="K2" s="19" t="s">
        <v>430</v>
      </c>
    </row>
    <row r="3" spans="1:12" x14ac:dyDescent="0.2">
      <c r="A3" s="1">
        <v>24</v>
      </c>
      <c r="B3" s="3" t="s">
        <v>239</v>
      </c>
      <c r="C3" s="13">
        <v>21.226541519000019</v>
      </c>
      <c r="D3" s="13">
        <v>71.571334839000031</v>
      </c>
      <c r="E3" t="s">
        <v>382</v>
      </c>
      <c r="F3">
        <v>8889.5949999999993</v>
      </c>
      <c r="G3" s="17">
        <f>COUNTIF(B$2:B3,B3)</f>
        <v>1</v>
      </c>
      <c r="H3" s="14"/>
      <c r="I3" s="29">
        <f t="shared" si="0"/>
        <v>8889.5949999999993</v>
      </c>
      <c r="J3" s="22" t="s">
        <v>435</v>
      </c>
      <c r="K3" s="19" t="s">
        <v>430</v>
      </c>
    </row>
    <row r="4" spans="1:12" x14ac:dyDescent="0.2">
      <c r="A4" s="1">
        <v>32</v>
      </c>
      <c r="B4" s="3" t="s">
        <v>319</v>
      </c>
      <c r="C4" s="13">
        <v>7.1072270000000231</v>
      </c>
      <c r="D4" s="13">
        <v>67.055610000000058</v>
      </c>
      <c r="E4" t="s">
        <v>390</v>
      </c>
      <c r="F4">
        <v>8889.5949999999993</v>
      </c>
      <c r="G4" s="17">
        <f>COUNTIF(B$2:B4,B4)</f>
        <v>1</v>
      </c>
      <c r="H4" s="14"/>
      <c r="I4" s="29">
        <f t="shared" si="0"/>
        <v>8889.5949999999993</v>
      </c>
      <c r="J4" s="15" t="s">
        <v>432</v>
      </c>
    </row>
    <row r="5" spans="1:12" x14ac:dyDescent="0.2">
      <c r="A5" s="1">
        <v>5</v>
      </c>
      <c r="B5" s="3" t="s">
        <v>78</v>
      </c>
      <c r="C5" s="13">
        <v>8.0785441179034034</v>
      </c>
      <c r="D5" s="13">
        <v>66.029330899408933</v>
      </c>
      <c r="E5" t="s">
        <v>364</v>
      </c>
      <c r="F5">
        <v>1041.0509999999999</v>
      </c>
      <c r="G5" s="17">
        <f>COUNTIF(B$2:B5,B5)</f>
        <v>1</v>
      </c>
      <c r="H5" s="14" t="s">
        <v>473</v>
      </c>
      <c r="I5" s="29">
        <f t="shared" si="0"/>
        <v>1041.0509999999999</v>
      </c>
      <c r="J5" s="15" t="s">
        <v>415</v>
      </c>
    </row>
    <row r="6" spans="1:12" x14ac:dyDescent="0.2">
      <c r="A6" s="1">
        <v>27</v>
      </c>
      <c r="B6" s="3" t="s">
        <v>270</v>
      </c>
      <c r="C6" s="13">
        <v>7.6558328198016818</v>
      </c>
      <c r="D6" s="13">
        <v>65.693743899121472</v>
      </c>
      <c r="E6" t="s">
        <v>385</v>
      </c>
      <c r="F6">
        <v>48.064999999999998</v>
      </c>
      <c r="G6" s="17">
        <f>COUNTIF(B$2:B6,B6)</f>
        <v>1</v>
      </c>
      <c r="H6" s="14" t="s">
        <v>473</v>
      </c>
      <c r="I6" s="29">
        <f t="shared" si="0"/>
        <v>48.064999999999998</v>
      </c>
      <c r="J6" s="15" t="s">
        <v>415</v>
      </c>
    </row>
    <row r="7" spans="1:12" x14ac:dyDescent="0.2">
      <c r="A7" s="1">
        <v>10</v>
      </c>
      <c r="B7" s="3" t="s">
        <v>120</v>
      </c>
      <c r="C7" s="13">
        <v>7.3202454238671333</v>
      </c>
      <c r="D7" s="13">
        <v>65.321499578632455</v>
      </c>
      <c r="E7" t="s">
        <v>369</v>
      </c>
      <c r="F7">
        <v>1214.5999999999999</v>
      </c>
      <c r="G7" s="17">
        <f>COUNTIF(B$2:B7,B7)</f>
        <v>1</v>
      </c>
      <c r="H7" s="14"/>
      <c r="I7" s="29">
        <f t="shared" si="0"/>
        <v>1214.5999999999999</v>
      </c>
      <c r="J7" s="15" t="s">
        <v>415</v>
      </c>
    </row>
    <row r="8" spans="1:12" x14ac:dyDescent="0.2">
      <c r="A8" s="1">
        <v>61</v>
      </c>
      <c r="B8" s="3" t="s">
        <v>271</v>
      </c>
      <c r="C8" s="13">
        <v>6.8036598360000653</v>
      </c>
      <c r="D8" s="13">
        <v>65.094471500000054</v>
      </c>
      <c r="E8" t="s">
        <v>405</v>
      </c>
      <c r="F8" s="3"/>
      <c r="G8" s="17">
        <f>COUNTIF(B$2:B8,B8)</f>
        <v>1</v>
      </c>
      <c r="H8" s="14"/>
      <c r="I8" s="29">
        <f t="shared" si="0"/>
        <v>0</v>
      </c>
      <c r="J8" s="15" t="s">
        <v>415</v>
      </c>
    </row>
    <row r="9" spans="1:12" x14ac:dyDescent="0.2">
      <c r="A9" s="1">
        <v>41</v>
      </c>
      <c r="B9" s="3" t="s">
        <v>79</v>
      </c>
      <c r="C9" s="13">
        <v>6.8014610000000744</v>
      </c>
      <c r="D9" s="13">
        <v>65.084516000000065</v>
      </c>
      <c r="E9" t="s">
        <v>396</v>
      </c>
      <c r="F9">
        <v>1214.5999999999999</v>
      </c>
      <c r="G9" s="17">
        <f>COUNTIF(B$2:B9,B9)</f>
        <v>1</v>
      </c>
      <c r="H9" s="14"/>
      <c r="I9" s="29">
        <f t="shared" si="0"/>
        <v>1214.5999999999999</v>
      </c>
      <c r="J9" s="15" t="s">
        <v>415</v>
      </c>
    </row>
    <row r="10" spans="1:12" x14ac:dyDescent="0.2">
      <c r="A10" s="1">
        <v>54</v>
      </c>
      <c r="B10" s="3" t="s">
        <v>189</v>
      </c>
      <c r="C10" s="13">
        <v>7.7910261052919596</v>
      </c>
      <c r="D10" s="13">
        <v>64.350567591210293</v>
      </c>
      <c r="E10" t="s">
        <v>401</v>
      </c>
      <c r="F10">
        <v>48.064999999999998</v>
      </c>
      <c r="G10" s="17">
        <f>COUNTIF(B$2:B10,B10)</f>
        <v>1</v>
      </c>
      <c r="H10" s="14"/>
      <c r="I10" s="29">
        <f t="shared" si="0"/>
        <v>48.064999999999998</v>
      </c>
      <c r="J10" s="15" t="s">
        <v>415</v>
      </c>
    </row>
    <row r="11" spans="1:12" x14ac:dyDescent="0.2">
      <c r="A11" s="1">
        <v>17</v>
      </c>
      <c r="B11" s="3" t="s">
        <v>188</v>
      </c>
      <c r="C11" s="13">
        <v>6.4412580000000617</v>
      </c>
      <c r="D11" s="13">
        <v>64.233255000000042</v>
      </c>
      <c r="E11" t="s">
        <v>376</v>
      </c>
      <c r="F11">
        <v>48.064999999999998</v>
      </c>
      <c r="G11" s="17">
        <f>COUNTIF(B$2:B11,B11)</f>
        <v>1</v>
      </c>
      <c r="H11" s="14"/>
      <c r="I11" s="29">
        <f t="shared" si="0"/>
        <v>48.064999999999998</v>
      </c>
      <c r="J11" s="15" t="s">
        <v>415</v>
      </c>
    </row>
    <row r="12" spans="1:12" x14ac:dyDescent="0.2">
      <c r="A12" s="1">
        <v>25</v>
      </c>
      <c r="B12" s="3" t="s">
        <v>248</v>
      </c>
      <c r="C12" s="13">
        <v>5.3867635720000644</v>
      </c>
      <c r="D12" s="13">
        <v>63.528081670000063</v>
      </c>
      <c r="E12" t="s">
        <v>383</v>
      </c>
      <c r="F12">
        <v>48.064999999999998</v>
      </c>
      <c r="G12" s="17">
        <f>COUNTIF(B$2:B12,B12)</f>
        <v>1</v>
      </c>
      <c r="H12" s="14"/>
      <c r="I12" s="29">
        <f t="shared" si="0"/>
        <v>48.064999999999998</v>
      </c>
      <c r="J12" s="15" t="s">
        <v>433</v>
      </c>
    </row>
    <row r="13" spans="1:12" x14ac:dyDescent="0.2">
      <c r="A13" s="1">
        <v>26</v>
      </c>
      <c r="B13" s="3" t="s">
        <v>254</v>
      </c>
      <c r="C13" s="13">
        <v>5.3865159610000433</v>
      </c>
      <c r="D13" s="13">
        <v>63.528076290000058</v>
      </c>
      <c r="E13" t="s">
        <v>384</v>
      </c>
      <c r="F13" s="3">
        <v>0</v>
      </c>
      <c r="G13" s="17">
        <f>COUNTIF(B$2:B13,B13)</f>
        <v>1</v>
      </c>
      <c r="H13" s="14"/>
      <c r="I13" s="29">
        <f t="shared" si="0"/>
        <v>0</v>
      </c>
      <c r="J13" s="15" t="s">
        <v>433</v>
      </c>
    </row>
    <row r="14" spans="1:12" x14ac:dyDescent="0.2">
      <c r="A14" s="1">
        <v>47</v>
      </c>
      <c r="B14" s="3" t="s">
        <v>121</v>
      </c>
      <c r="C14" s="13">
        <v>8.6582155394689266</v>
      </c>
      <c r="D14" s="13">
        <v>63.398890962560763</v>
      </c>
      <c r="E14" t="s">
        <v>398</v>
      </c>
      <c r="F14" s="3">
        <v>0</v>
      </c>
      <c r="G14" s="17">
        <f>COUNTIF(B$2:B14,B14)</f>
        <v>1</v>
      </c>
      <c r="H14" s="14"/>
      <c r="I14" s="29">
        <f t="shared" si="0"/>
        <v>0</v>
      </c>
      <c r="J14" s="15" t="s">
        <v>425</v>
      </c>
      <c r="K14" t="s">
        <v>461</v>
      </c>
    </row>
    <row r="15" spans="1:12" x14ac:dyDescent="0.2">
      <c r="A15" s="1">
        <v>23</v>
      </c>
      <c r="B15" s="3" t="s">
        <v>231</v>
      </c>
      <c r="C15" s="13">
        <v>6.9457712170000718</v>
      </c>
      <c r="D15" s="13">
        <v>62.851558685000043</v>
      </c>
      <c r="E15" t="s">
        <v>381</v>
      </c>
      <c r="F15">
        <v>3093.8470000000002</v>
      </c>
      <c r="G15" s="17">
        <f>COUNTIF(B$2:B15,B15)</f>
        <v>1</v>
      </c>
      <c r="H15" s="14"/>
      <c r="I15" s="29">
        <f t="shared" si="0"/>
        <v>3093.8470000000002</v>
      </c>
      <c r="J15" s="15" t="s">
        <v>426</v>
      </c>
      <c r="K15" t="s">
        <v>461</v>
      </c>
    </row>
    <row r="16" spans="1:12" x14ac:dyDescent="0.2">
      <c r="A16" s="1">
        <v>59</v>
      </c>
      <c r="B16" s="3" t="s">
        <v>231</v>
      </c>
      <c r="C16" s="13">
        <v>6.9457712170000718</v>
      </c>
      <c r="D16" s="13">
        <v>62.851558685000043</v>
      </c>
      <c r="E16" t="s">
        <v>381</v>
      </c>
      <c r="F16">
        <v>3093.8470000000002</v>
      </c>
      <c r="G16" s="18">
        <f>COUNTIF(B$2:B16,B16)</f>
        <v>2</v>
      </c>
      <c r="H16" s="30"/>
      <c r="I16" s="29">
        <f t="shared" si="0"/>
        <v>0</v>
      </c>
    </row>
    <row r="17" spans="1:11" x14ac:dyDescent="0.2">
      <c r="A17" s="1">
        <v>0</v>
      </c>
      <c r="B17" s="3" t="s">
        <v>32</v>
      </c>
      <c r="C17" s="13">
        <v>4.6885411271899056</v>
      </c>
      <c r="D17" s="13">
        <v>62.302728638549418</v>
      </c>
      <c r="E17" t="s">
        <v>359</v>
      </c>
      <c r="F17" s="3"/>
      <c r="G17" s="17">
        <f>COUNTIF(B$2:B17,B17)</f>
        <v>1</v>
      </c>
      <c r="H17" s="14" t="s">
        <v>473</v>
      </c>
      <c r="I17" s="29">
        <f t="shared" si="0"/>
        <v>0</v>
      </c>
      <c r="J17" s="15" t="s">
        <v>427</v>
      </c>
      <c r="K17" t="s">
        <v>415</v>
      </c>
    </row>
    <row r="18" spans="1:11" x14ac:dyDescent="0.2">
      <c r="A18" s="1">
        <v>62</v>
      </c>
      <c r="B18" s="3" t="s">
        <v>280</v>
      </c>
      <c r="C18" s="13">
        <v>3.9049897926673558</v>
      </c>
      <c r="D18" s="13">
        <v>61.330193776287437</v>
      </c>
      <c r="E18" t="s">
        <v>406</v>
      </c>
      <c r="F18">
        <v>2588.0810000000001</v>
      </c>
      <c r="G18" s="17">
        <f>COUNTIF(B$2:B18,B18)</f>
        <v>1</v>
      </c>
      <c r="H18" s="14"/>
      <c r="I18" s="29">
        <f t="shared" si="0"/>
        <v>2588.0810000000001</v>
      </c>
      <c r="J18" s="15" t="s">
        <v>421</v>
      </c>
    </row>
    <row r="19" spans="1:11" x14ac:dyDescent="0.2">
      <c r="A19" s="1">
        <v>4</v>
      </c>
      <c r="B19" s="3" t="s">
        <v>71</v>
      </c>
      <c r="C19" s="13">
        <v>1.8315257775840801</v>
      </c>
      <c r="D19" s="13">
        <v>61.20244504760155</v>
      </c>
      <c r="E19" t="s">
        <v>363</v>
      </c>
      <c r="F19" s="3">
        <v>0</v>
      </c>
      <c r="G19" s="17">
        <f>COUNTIF(B$2:B19,B19)</f>
        <v>1</v>
      </c>
      <c r="H19" s="14"/>
      <c r="I19" s="29">
        <f t="shared" si="0"/>
        <v>0</v>
      </c>
      <c r="J19" s="15" t="s">
        <v>417</v>
      </c>
    </row>
    <row r="20" spans="1:11" x14ac:dyDescent="0.2">
      <c r="A20" s="1">
        <v>2</v>
      </c>
      <c r="B20" s="3" t="s">
        <v>51</v>
      </c>
      <c r="C20" s="13">
        <v>1.845936000000052</v>
      </c>
      <c r="D20" s="13">
        <v>61.185830000000067</v>
      </c>
      <c r="E20" t="s">
        <v>361</v>
      </c>
      <c r="F20" s="3"/>
      <c r="G20" s="17">
        <f>COUNTIF(B$2:B20,B20)</f>
        <v>1</v>
      </c>
      <c r="H20" s="14"/>
      <c r="I20" s="29">
        <f t="shared" si="0"/>
        <v>0</v>
      </c>
      <c r="J20" s="15" t="s">
        <v>417</v>
      </c>
    </row>
    <row r="21" spans="1:11" x14ac:dyDescent="0.2">
      <c r="A21" s="1">
        <v>40</v>
      </c>
      <c r="B21" s="3" t="s">
        <v>51</v>
      </c>
      <c r="C21" s="13">
        <v>1.845936000000052</v>
      </c>
      <c r="D21" s="13">
        <v>61.185830000000067</v>
      </c>
      <c r="E21" t="s">
        <v>361</v>
      </c>
      <c r="F21" s="3"/>
      <c r="G21" s="18">
        <f>COUNTIF(B$2:B21,B21)</f>
        <v>2</v>
      </c>
      <c r="H21" s="30"/>
      <c r="I21" s="29">
        <f t="shared" si="0"/>
        <v>0</v>
      </c>
      <c r="J21" s="15" t="s">
        <v>418</v>
      </c>
    </row>
    <row r="22" spans="1:11" x14ac:dyDescent="0.2">
      <c r="A22" s="1">
        <v>22</v>
      </c>
      <c r="B22" s="3" t="s">
        <v>224</v>
      </c>
      <c r="C22" s="13">
        <v>2.5070780834093052</v>
      </c>
      <c r="D22" s="13">
        <v>61.077581935633752</v>
      </c>
      <c r="E22" t="s">
        <v>380</v>
      </c>
      <c r="F22">
        <v>508.40300000000002</v>
      </c>
      <c r="G22" s="17">
        <f>COUNTIF(B$2:B22,B22)</f>
        <v>1</v>
      </c>
      <c r="H22" s="14"/>
      <c r="I22" s="29">
        <f t="shared" si="0"/>
        <v>508.40300000000002</v>
      </c>
      <c r="J22" s="15" t="s">
        <v>434</v>
      </c>
    </row>
    <row r="23" spans="1:11" x14ac:dyDescent="0.2">
      <c r="A23" s="1">
        <v>68</v>
      </c>
      <c r="B23" s="3" t="s">
        <v>340</v>
      </c>
      <c r="C23" s="13">
        <v>1.7050129999999999</v>
      </c>
      <c r="D23" s="13">
        <v>61.034477000000003</v>
      </c>
      <c r="E23" t="s">
        <v>412</v>
      </c>
      <c r="F23">
        <v>68.573999999999998</v>
      </c>
      <c r="G23" s="17">
        <f>COUNTIF(B$2:B23,B23)</f>
        <v>1</v>
      </c>
      <c r="H23" s="14"/>
      <c r="I23" s="29">
        <f t="shared" si="0"/>
        <v>68.573999999999998</v>
      </c>
      <c r="J23" s="21" t="s">
        <v>454</v>
      </c>
      <c r="K23" t="s">
        <v>456</v>
      </c>
    </row>
    <row r="24" spans="1:11" x14ac:dyDescent="0.2">
      <c r="A24" s="1">
        <v>60</v>
      </c>
      <c r="B24" s="3" t="s">
        <v>261</v>
      </c>
      <c r="C24" s="13">
        <v>1.700189114000068</v>
      </c>
      <c r="D24" s="13">
        <v>61.022018433000028</v>
      </c>
      <c r="E24" t="s">
        <v>404</v>
      </c>
      <c r="F24" s="3"/>
      <c r="G24" s="17">
        <f>COUNTIF(B$2:B24,B24)</f>
        <v>1</v>
      </c>
      <c r="H24" s="14"/>
      <c r="I24" s="29">
        <f t="shared" si="0"/>
        <v>0</v>
      </c>
      <c r="J24" s="21" t="s">
        <v>453</v>
      </c>
      <c r="K24" t="s">
        <v>455</v>
      </c>
    </row>
    <row r="25" spans="1:11" x14ac:dyDescent="0.2">
      <c r="A25" s="1">
        <v>28</v>
      </c>
      <c r="B25" s="3" t="s">
        <v>279</v>
      </c>
      <c r="C25" s="13">
        <v>1.6999852660000561</v>
      </c>
      <c r="D25" s="13">
        <v>61.020797730000027</v>
      </c>
      <c r="E25" t="s">
        <v>386</v>
      </c>
      <c r="F25">
        <v>2588.0810000000001</v>
      </c>
      <c r="G25" s="17">
        <f>COUNTIF(B$2:B25,B25)</f>
        <v>1</v>
      </c>
      <c r="H25" s="14"/>
      <c r="I25" s="29">
        <f t="shared" si="0"/>
        <v>2588.0810000000001</v>
      </c>
      <c r="J25" s="15" t="s">
        <v>421</v>
      </c>
    </row>
    <row r="26" spans="1:11" x14ac:dyDescent="0.2">
      <c r="A26" s="1">
        <v>16</v>
      </c>
      <c r="B26" s="3" t="s">
        <v>177</v>
      </c>
      <c r="C26" s="13">
        <v>2.8980550000000558</v>
      </c>
      <c r="D26" s="13">
        <v>60.560633000000053</v>
      </c>
      <c r="E26" t="s">
        <v>375</v>
      </c>
      <c r="F26" s="3">
        <v>0</v>
      </c>
      <c r="G26" s="17">
        <f>COUNTIF(B$2:B26,B26)</f>
        <v>1</v>
      </c>
      <c r="H26" s="14"/>
      <c r="I26" s="29">
        <f t="shared" si="0"/>
        <v>0</v>
      </c>
      <c r="J26" s="15" t="s">
        <v>421</v>
      </c>
    </row>
    <row r="27" spans="1:11" x14ac:dyDescent="0.2">
      <c r="A27" s="1">
        <v>3</v>
      </c>
      <c r="B27" s="3" t="s">
        <v>60</v>
      </c>
      <c r="C27" s="13">
        <v>4.835830000000044</v>
      </c>
      <c r="D27" s="13">
        <v>60.550175000000081</v>
      </c>
      <c r="E27" t="s">
        <v>362</v>
      </c>
      <c r="F27">
        <v>2628.125</v>
      </c>
      <c r="G27" s="17">
        <f>COUNTIF(B$2:B27,B27)</f>
        <v>1</v>
      </c>
      <c r="H27" s="14"/>
      <c r="I27" s="29">
        <f t="shared" si="0"/>
        <v>2628.125</v>
      </c>
      <c r="J27" s="15" t="s">
        <v>436</v>
      </c>
    </row>
    <row r="28" spans="1:11" x14ac:dyDescent="0.2">
      <c r="A28" s="1">
        <v>14</v>
      </c>
      <c r="B28" s="3" t="s">
        <v>61</v>
      </c>
      <c r="C28" s="13">
        <v>4.8385970033810022</v>
      </c>
      <c r="D28" s="13">
        <v>60.545348486364603</v>
      </c>
      <c r="E28" t="s">
        <v>373</v>
      </c>
      <c r="F28" s="3">
        <v>0</v>
      </c>
      <c r="G28" s="17">
        <f>COUNTIF(B$2:B28,B28)</f>
        <v>1</v>
      </c>
      <c r="H28" s="14"/>
      <c r="I28" s="29">
        <f t="shared" si="0"/>
        <v>0</v>
      </c>
      <c r="J28" s="15" t="s">
        <v>427</v>
      </c>
      <c r="K28" t="s">
        <v>461</v>
      </c>
    </row>
    <row r="29" spans="1:11" x14ac:dyDescent="0.2">
      <c r="A29" s="1">
        <v>39</v>
      </c>
      <c r="B29" s="3" t="s">
        <v>61</v>
      </c>
      <c r="C29" s="13">
        <v>4.8385970033810022</v>
      </c>
      <c r="D29" s="13">
        <v>60.545348486364603</v>
      </c>
      <c r="E29" t="s">
        <v>373</v>
      </c>
      <c r="F29" s="3">
        <v>0</v>
      </c>
      <c r="G29" s="18">
        <f>COUNTIF(B$2:B29,B29)</f>
        <v>2</v>
      </c>
      <c r="H29" s="30"/>
      <c r="I29" s="29">
        <f t="shared" si="0"/>
        <v>0</v>
      </c>
      <c r="J29" s="15" t="s">
        <v>418</v>
      </c>
    </row>
    <row r="30" spans="1:11" x14ac:dyDescent="0.2">
      <c r="A30" s="1">
        <v>53</v>
      </c>
      <c r="B30" s="3" t="s">
        <v>180</v>
      </c>
      <c r="C30" s="13">
        <v>3.037825494927695</v>
      </c>
      <c r="D30" s="13">
        <v>60.543328997897447</v>
      </c>
      <c r="E30" t="s">
        <v>400</v>
      </c>
      <c r="F30">
        <v>48.064999999999998</v>
      </c>
      <c r="G30" s="17">
        <f>COUNTIF(B$2:B30,B30)</f>
        <v>1</v>
      </c>
      <c r="H30" s="14"/>
      <c r="I30" s="29">
        <f t="shared" si="0"/>
        <v>48.064999999999998</v>
      </c>
      <c r="J30" s="15" t="s">
        <v>421</v>
      </c>
    </row>
    <row r="31" spans="1:11" x14ac:dyDescent="0.2">
      <c r="A31" s="1">
        <v>64</v>
      </c>
      <c r="B31" s="3" t="s">
        <v>302</v>
      </c>
      <c r="C31" s="13">
        <v>2.011387666028313</v>
      </c>
      <c r="D31" s="13">
        <v>60.502035307044537</v>
      </c>
      <c r="E31" t="s">
        <v>408</v>
      </c>
      <c r="F31" s="3"/>
      <c r="G31" s="17">
        <f>COUNTIF(B$2:B31,B31)</f>
        <v>1</v>
      </c>
      <c r="H31" s="14"/>
      <c r="I31" s="29">
        <f t="shared" si="0"/>
        <v>0</v>
      </c>
      <c r="J31" s="21" t="s">
        <v>478</v>
      </c>
      <c r="K31" t="s">
        <v>489</v>
      </c>
    </row>
    <row r="32" spans="1:11" x14ac:dyDescent="0.2">
      <c r="A32" s="1">
        <v>7</v>
      </c>
      <c r="B32" s="3" t="s">
        <v>94</v>
      </c>
      <c r="C32" s="13">
        <v>2.8240461869792348</v>
      </c>
      <c r="D32" s="13">
        <v>60.486900453608072</v>
      </c>
      <c r="E32" t="s">
        <v>366</v>
      </c>
      <c r="F32">
        <v>48.064999999999998</v>
      </c>
      <c r="G32" s="17">
        <f>COUNTIF(B$2:B32,B32)</f>
        <v>1</v>
      </c>
      <c r="H32" s="14"/>
      <c r="I32" s="29">
        <f t="shared" si="0"/>
        <v>48.064999999999998</v>
      </c>
      <c r="J32" s="15" t="s">
        <v>437</v>
      </c>
    </row>
    <row r="33" spans="1:11" x14ac:dyDescent="0.2">
      <c r="A33" s="1">
        <v>30</v>
      </c>
      <c r="B33" s="3" t="s">
        <v>301</v>
      </c>
      <c r="C33" s="13">
        <v>2.0175154810000322</v>
      </c>
      <c r="D33" s="13">
        <v>59.894961973000079</v>
      </c>
      <c r="E33" t="s">
        <v>388</v>
      </c>
      <c r="F33">
        <v>48.064999999999998</v>
      </c>
      <c r="G33" s="17">
        <f>COUNTIF(B$2:B33,B33)</f>
        <v>1</v>
      </c>
      <c r="H33" s="14"/>
      <c r="I33" s="29">
        <f t="shared" si="0"/>
        <v>48.064999999999998</v>
      </c>
      <c r="J33" s="15" t="s">
        <v>438</v>
      </c>
    </row>
    <row r="34" spans="1:11" x14ac:dyDescent="0.2">
      <c r="A34" s="1">
        <v>12</v>
      </c>
      <c r="B34" s="3" t="s">
        <v>95</v>
      </c>
      <c r="C34" s="13">
        <v>2.2352254874930928</v>
      </c>
      <c r="D34" s="13">
        <v>59.571075351213203</v>
      </c>
      <c r="E34" t="s">
        <v>371</v>
      </c>
      <c r="F34">
        <v>1329.308</v>
      </c>
      <c r="G34" s="17">
        <f>COUNTIF(B$2:B34,B34)</f>
        <v>1</v>
      </c>
      <c r="H34" s="14"/>
      <c r="I34" s="29">
        <f t="shared" ref="I34:I52" si="1">IF(G34=1,F34,0)</f>
        <v>1329.308</v>
      </c>
      <c r="J34" s="15" t="s">
        <v>439</v>
      </c>
    </row>
    <row r="35" spans="1:11" x14ac:dyDescent="0.2">
      <c r="A35" s="1">
        <v>43</v>
      </c>
      <c r="B35" s="3" t="s">
        <v>95</v>
      </c>
      <c r="C35" s="13">
        <v>2.2352254874930928</v>
      </c>
      <c r="D35" s="13">
        <v>59.571075351213203</v>
      </c>
      <c r="E35" t="s">
        <v>371</v>
      </c>
      <c r="F35">
        <v>1329.308</v>
      </c>
      <c r="G35" s="18">
        <f>COUNTIF(B$2:B35,B35)</f>
        <v>2</v>
      </c>
      <c r="H35" s="30"/>
      <c r="I35" s="29">
        <f t="shared" si="1"/>
        <v>0</v>
      </c>
    </row>
    <row r="36" spans="1:11" x14ac:dyDescent="0.2">
      <c r="A36" s="1">
        <v>11</v>
      </c>
      <c r="B36" s="3" t="s">
        <v>133</v>
      </c>
      <c r="C36" s="13">
        <v>2.2345225779689399</v>
      </c>
      <c r="D36" s="13">
        <v>59.570737872744949</v>
      </c>
      <c r="E36" t="s">
        <v>370</v>
      </c>
      <c r="F36">
        <v>1329.308</v>
      </c>
      <c r="G36" s="17">
        <f>COUNTIF(B$2:B36,B36)</f>
        <v>1</v>
      </c>
      <c r="H36" s="14"/>
      <c r="I36" s="29">
        <f t="shared" si="1"/>
        <v>1329.308</v>
      </c>
      <c r="J36" s="15" t="s">
        <v>439</v>
      </c>
    </row>
    <row r="37" spans="1:11" x14ac:dyDescent="0.2">
      <c r="A37" s="1">
        <v>31</v>
      </c>
      <c r="B37" s="3" t="s">
        <v>310</v>
      </c>
      <c r="C37" s="13">
        <v>1.3911370790000319</v>
      </c>
      <c r="D37" s="13">
        <v>59.47797846900005</v>
      </c>
      <c r="E37" t="s">
        <v>389</v>
      </c>
      <c r="F37">
        <v>48.064999999999998</v>
      </c>
      <c r="G37" s="17">
        <f>COUNTIF(B$2:B37,B37)</f>
        <v>1</v>
      </c>
      <c r="H37" s="14"/>
      <c r="I37" s="29">
        <f t="shared" si="1"/>
        <v>48.064999999999998</v>
      </c>
      <c r="J37" s="15" t="s">
        <v>439</v>
      </c>
    </row>
    <row r="38" spans="1:11" x14ac:dyDescent="0.2">
      <c r="A38" s="1">
        <v>13</v>
      </c>
      <c r="B38" s="3" t="s">
        <v>33</v>
      </c>
      <c r="C38" s="13">
        <v>5.5129213334435638</v>
      </c>
      <c r="D38" s="13">
        <v>59.272115627836378</v>
      </c>
      <c r="E38" t="s">
        <v>372</v>
      </c>
      <c r="F38" s="3"/>
      <c r="G38" s="17">
        <f>COUNTIF(B$2:B38,B38)</f>
        <v>1</v>
      </c>
      <c r="H38" s="14"/>
      <c r="I38" s="29">
        <f t="shared" si="1"/>
        <v>0</v>
      </c>
      <c r="J38" s="15" t="s">
        <v>428</v>
      </c>
      <c r="K38" t="s">
        <v>461</v>
      </c>
    </row>
    <row r="39" spans="1:11" x14ac:dyDescent="0.2">
      <c r="A39" s="1">
        <v>37</v>
      </c>
      <c r="B39" s="3" t="s">
        <v>33</v>
      </c>
      <c r="C39" s="13">
        <v>5.5129213334435638</v>
      </c>
      <c r="D39" s="13">
        <v>59.272115627836378</v>
      </c>
      <c r="E39" t="s">
        <v>372</v>
      </c>
      <c r="F39" s="3"/>
      <c r="G39" s="18">
        <f>COUNTIF(B$2:B39,B39)</f>
        <v>2</v>
      </c>
      <c r="H39" s="30"/>
      <c r="I39" s="29">
        <f t="shared" si="1"/>
        <v>0</v>
      </c>
      <c r="J39" s="15" t="s">
        <v>418</v>
      </c>
    </row>
    <row r="40" spans="1:11" x14ac:dyDescent="0.2">
      <c r="A40" s="1">
        <v>33</v>
      </c>
      <c r="B40" s="3" t="s">
        <v>327</v>
      </c>
      <c r="C40" s="13">
        <v>5.0541760000000409</v>
      </c>
      <c r="D40" s="13">
        <v>59.326808000000028</v>
      </c>
      <c r="E40" t="s">
        <v>391</v>
      </c>
      <c r="F40">
        <v>8889.5949999999993</v>
      </c>
      <c r="G40" s="17">
        <f>COUNTIF(B$2:B40,B40)</f>
        <v>1</v>
      </c>
      <c r="H40" s="14"/>
      <c r="I40" s="29">
        <f t="shared" si="1"/>
        <v>8889.5949999999993</v>
      </c>
      <c r="J40" s="15" t="s">
        <v>440</v>
      </c>
    </row>
    <row r="41" spans="1:11" x14ac:dyDescent="0.2">
      <c r="A41" s="1">
        <v>48</v>
      </c>
      <c r="B41" s="3" t="s">
        <v>141</v>
      </c>
      <c r="C41" s="13">
        <v>2.487335300560932</v>
      </c>
      <c r="D41" s="13">
        <v>59.169726343631233</v>
      </c>
      <c r="E41" t="s">
        <v>399</v>
      </c>
      <c r="F41">
        <v>48.064999999999998</v>
      </c>
      <c r="G41" s="17">
        <f>COUNTIF(B$2:B41,B41)</f>
        <v>1</v>
      </c>
      <c r="H41" s="14"/>
      <c r="I41" s="29">
        <f t="shared" si="1"/>
        <v>48.064999999999998</v>
      </c>
      <c r="J41" s="33" t="s">
        <v>488</v>
      </c>
      <c r="K41" t="s">
        <v>477</v>
      </c>
    </row>
    <row r="42" spans="1:11" x14ac:dyDescent="0.2">
      <c r="A42" s="1">
        <v>29</v>
      </c>
      <c r="B42" s="3" t="s">
        <v>291</v>
      </c>
      <c r="C42" s="13">
        <v>1.750470074427396</v>
      </c>
      <c r="D42" s="13">
        <v>58.84241056287069</v>
      </c>
      <c r="E42" t="s">
        <v>387</v>
      </c>
      <c r="F42">
        <v>667.00199999999995</v>
      </c>
      <c r="G42" s="17">
        <f>COUNTIF(B$2:B42,B42)</f>
        <v>1</v>
      </c>
      <c r="H42" s="14"/>
      <c r="I42" s="29">
        <f t="shared" si="1"/>
        <v>667.00199999999995</v>
      </c>
      <c r="J42" s="15" t="s">
        <v>441</v>
      </c>
    </row>
    <row r="43" spans="1:11" x14ac:dyDescent="0.2">
      <c r="A43" s="1">
        <v>66</v>
      </c>
      <c r="B43" s="3" t="s">
        <v>328</v>
      </c>
      <c r="C43" s="13">
        <v>2.5577715130093028</v>
      </c>
      <c r="D43" s="13">
        <v>58.841931072335058</v>
      </c>
      <c r="E43" t="s">
        <v>410</v>
      </c>
      <c r="F43">
        <v>8889.5949999999993</v>
      </c>
      <c r="G43" s="17">
        <f>COUNTIF(B$2:B43,B43)</f>
        <v>1</v>
      </c>
      <c r="H43" s="14"/>
      <c r="I43" s="29">
        <f t="shared" si="1"/>
        <v>8889.5949999999993</v>
      </c>
      <c r="J43" s="15" t="s">
        <v>440</v>
      </c>
      <c r="K43" t="s">
        <v>462</v>
      </c>
    </row>
    <row r="44" spans="1:11" x14ac:dyDescent="0.2">
      <c r="A44" s="1">
        <v>65</v>
      </c>
      <c r="B44" s="3" t="s">
        <v>311</v>
      </c>
      <c r="C44" s="13">
        <v>2.254149831737414</v>
      </c>
      <c r="D44" s="13">
        <v>58.839405675350093</v>
      </c>
      <c r="E44" t="s">
        <v>409</v>
      </c>
      <c r="F44" s="3"/>
      <c r="G44" s="17">
        <f>COUNTIF(B$2:B44,B44)</f>
        <v>1</v>
      </c>
      <c r="H44" s="14"/>
      <c r="I44" s="29">
        <f t="shared" si="1"/>
        <v>0</v>
      </c>
      <c r="J44" s="15" t="s">
        <v>441</v>
      </c>
    </row>
    <row r="45" spans="1:11" x14ac:dyDescent="0.2">
      <c r="A45" s="1">
        <v>63</v>
      </c>
      <c r="B45" s="3" t="s">
        <v>293</v>
      </c>
      <c r="C45" s="27">
        <v>1.898765933579508</v>
      </c>
      <c r="D45" s="27">
        <v>58.370533807717997</v>
      </c>
      <c r="E45" t="s">
        <v>407</v>
      </c>
      <c r="F45">
        <v>291.70999999999998</v>
      </c>
      <c r="G45" s="17">
        <f>COUNTIF(B$2:B45,B45)</f>
        <v>1</v>
      </c>
      <c r="H45" s="14"/>
      <c r="I45" s="29">
        <f t="shared" si="1"/>
        <v>291.70999999999998</v>
      </c>
      <c r="J45" s="15" t="s">
        <v>458</v>
      </c>
      <c r="K45" t="s">
        <v>468</v>
      </c>
    </row>
    <row r="46" spans="1:11" x14ac:dyDescent="0.2">
      <c r="A46" s="1">
        <v>8</v>
      </c>
      <c r="B46" s="3" t="s">
        <v>100</v>
      </c>
      <c r="C46" s="27">
        <v>1.915866396996226</v>
      </c>
      <c r="D46" s="27">
        <v>58.364944173837479</v>
      </c>
      <c r="E46" t="s">
        <v>367</v>
      </c>
      <c r="F46">
        <v>1.974</v>
      </c>
      <c r="G46" s="17">
        <f>COUNTIF(B$2:B46,B46)</f>
        <v>1</v>
      </c>
      <c r="H46" s="14"/>
      <c r="I46" s="29">
        <f t="shared" si="1"/>
        <v>1.974</v>
      </c>
      <c r="J46" s="15" t="s">
        <v>459</v>
      </c>
      <c r="K46" t="s">
        <v>467</v>
      </c>
    </row>
    <row r="47" spans="1:11" x14ac:dyDescent="0.2">
      <c r="A47" s="1">
        <v>50</v>
      </c>
      <c r="B47" s="3" t="s">
        <v>100</v>
      </c>
      <c r="C47" s="13">
        <v>1.915866396996226</v>
      </c>
      <c r="D47" s="13">
        <v>58.364944173837479</v>
      </c>
      <c r="E47" t="s">
        <v>367</v>
      </c>
      <c r="F47">
        <v>1.974</v>
      </c>
      <c r="G47" s="18">
        <f>COUNTIF(B$2:B47,B47)</f>
        <v>2</v>
      </c>
      <c r="H47" s="30"/>
      <c r="I47" s="29">
        <f t="shared" si="1"/>
        <v>0</v>
      </c>
      <c r="K47" s="28" t="s">
        <v>469</v>
      </c>
    </row>
    <row r="48" spans="1:11" x14ac:dyDescent="0.2">
      <c r="A48" s="1">
        <v>18</v>
      </c>
      <c r="B48" s="3" t="s">
        <v>162</v>
      </c>
      <c r="C48" s="13">
        <v>2.4644041660536331</v>
      </c>
      <c r="D48" s="13">
        <v>58.188149017412513</v>
      </c>
      <c r="E48" t="s">
        <v>377</v>
      </c>
      <c r="F48" s="3">
        <v>0</v>
      </c>
      <c r="G48" s="17">
        <f>COUNTIF(B$2:B48,B48)</f>
        <v>1</v>
      </c>
      <c r="H48" s="14" t="s">
        <v>475</v>
      </c>
      <c r="I48" s="29">
        <f t="shared" si="1"/>
        <v>0</v>
      </c>
      <c r="J48" s="15" t="s">
        <v>442</v>
      </c>
      <c r="K48" t="s">
        <v>460</v>
      </c>
    </row>
    <row r="49" spans="1:11" x14ac:dyDescent="0.2">
      <c r="A49" s="1">
        <v>51</v>
      </c>
      <c r="B49" s="3" t="s">
        <v>162</v>
      </c>
      <c r="C49" s="27">
        <v>2.4644041660536331</v>
      </c>
      <c r="D49" s="27">
        <v>58.188149017412513</v>
      </c>
      <c r="E49" t="s">
        <v>377</v>
      </c>
      <c r="F49" s="3">
        <v>0</v>
      </c>
      <c r="G49" s="18">
        <f>COUNTIF(B$2:B49,B49)</f>
        <v>2</v>
      </c>
      <c r="H49" s="30"/>
      <c r="I49" s="29">
        <f t="shared" si="1"/>
        <v>0</v>
      </c>
    </row>
    <row r="50" spans="1:11" x14ac:dyDescent="0.2">
      <c r="A50" s="1">
        <v>19</v>
      </c>
      <c r="B50" s="3" t="s">
        <v>106</v>
      </c>
      <c r="C50" s="27">
        <v>2.4737329746028802</v>
      </c>
      <c r="D50" s="27">
        <v>58.184409229014761</v>
      </c>
      <c r="E50" t="s">
        <v>378</v>
      </c>
      <c r="F50" s="3">
        <v>0</v>
      </c>
      <c r="G50" s="17">
        <f>COUNTIF(B$2:B50,B50)</f>
        <v>1</v>
      </c>
      <c r="H50" s="14" t="s">
        <v>475</v>
      </c>
      <c r="I50" s="29">
        <f t="shared" si="1"/>
        <v>0</v>
      </c>
      <c r="J50" s="15" t="s">
        <v>443</v>
      </c>
      <c r="K50" t="s">
        <v>460</v>
      </c>
    </row>
    <row r="51" spans="1:11" x14ac:dyDescent="0.2">
      <c r="A51" s="1">
        <v>45</v>
      </c>
      <c r="B51" s="3" t="s">
        <v>106</v>
      </c>
      <c r="C51" s="13">
        <v>2.4737329746028802</v>
      </c>
      <c r="D51" s="13">
        <v>58.184409229014761</v>
      </c>
      <c r="E51" t="s">
        <v>378</v>
      </c>
      <c r="F51" s="3">
        <v>0</v>
      </c>
      <c r="G51" s="18">
        <f>COUNTIF(B$2:B51,B51)</f>
        <v>2</v>
      </c>
      <c r="H51" s="30"/>
      <c r="I51" s="29">
        <f t="shared" si="1"/>
        <v>0</v>
      </c>
    </row>
    <row r="52" spans="1:11" x14ac:dyDescent="0.2">
      <c r="A52" s="1">
        <v>69</v>
      </c>
      <c r="B52" s="3" t="s">
        <v>345</v>
      </c>
      <c r="C52" s="13">
        <v>1.803328</v>
      </c>
      <c r="D52" s="13">
        <v>57.758068999999999</v>
      </c>
      <c r="E52" t="s">
        <v>413</v>
      </c>
      <c r="F52">
        <v>1282.3420000000001</v>
      </c>
      <c r="G52" s="17">
        <f>COUNTIF(B$2:B52,B52)</f>
        <v>1</v>
      </c>
      <c r="H52" s="14" t="s">
        <v>475</v>
      </c>
      <c r="I52" s="29">
        <f t="shared" si="1"/>
        <v>1282.3420000000001</v>
      </c>
      <c r="J52" s="15" t="s">
        <v>444</v>
      </c>
    </row>
    <row r="53" spans="1:11" x14ac:dyDescent="0.2">
      <c r="A53" s="1">
        <v>35</v>
      </c>
      <c r="B53" s="3" t="s">
        <v>147</v>
      </c>
      <c r="C53" s="13">
        <v>-1.8256509999999999</v>
      </c>
      <c r="D53" s="13">
        <v>57.579971</v>
      </c>
      <c r="E53" t="s">
        <v>393</v>
      </c>
      <c r="F53" s="3"/>
      <c r="G53" s="17">
        <f>COUNTIF(B$2:B53,B53)</f>
        <v>1</v>
      </c>
      <c r="H53" s="14" t="s">
        <v>474</v>
      </c>
      <c r="I53" s="34"/>
      <c r="J53" s="15" t="s">
        <v>420</v>
      </c>
    </row>
    <row r="54" spans="1:11" x14ac:dyDescent="0.2">
      <c r="A54" s="1">
        <v>49</v>
      </c>
      <c r="B54" s="3" t="s">
        <v>147</v>
      </c>
      <c r="C54" s="13">
        <v>-1.8256509999999999</v>
      </c>
      <c r="D54" s="13">
        <v>57.579971</v>
      </c>
      <c r="E54" t="s">
        <v>393</v>
      </c>
      <c r="F54" s="3"/>
      <c r="G54" s="18">
        <f>COUNTIF(B$2:B54,B54)</f>
        <v>2</v>
      </c>
      <c r="H54" s="30"/>
      <c r="I54" s="29">
        <f t="shared" ref="I54:I68" si="2">IF(G54=1,F54,0)</f>
        <v>0</v>
      </c>
    </row>
    <row r="55" spans="1:11" x14ac:dyDescent="0.2">
      <c r="A55" s="1">
        <v>20</v>
      </c>
      <c r="B55" s="3" t="s">
        <v>213</v>
      </c>
      <c r="C55" s="13">
        <v>3.330503000000022</v>
      </c>
      <c r="D55" s="13">
        <v>56.490369000000037</v>
      </c>
      <c r="E55" t="s">
        <v>365</v>
      </c>
      <c r="F55">
        <v>578.78499999999997</v>
      </c>
      <c r="G55" s="17">
        <f>COUNTIF(B$2:B55,B55)</f>
        <v>1</v>
      </c>
      <c r="H55" s="14"/>
      <c r="I55" s="29">
        <f t="shared" si="2"/>
        <v>578.78499999999997</v>
      </c>
      <c r="J55" s="15" t="s">
        <v>445</v>
      </c>
    </row>
    <row r="56" spans="1:11" x14ac:dyDescent="0.2">
      <c r="A56" s="1">
        <v>6</v>
      </c>
      <c r="B56" s="3" t="s">
        <v>86</v>
      </c>
      <c r="C56" s="13">
        <v>3.330503000000022</v>
      </c>
      <c r="D56" s="13">
        <v>56.490369000000037</v>
      </c>
      <c r="E56" t="s">
        <v>365</v>
      </c>
      <c r="F56">
        <v>933.85500000000002</v>
      </c>
      <c r="G56" s="17">
        <f>COUNTIF(B$2:B56,B56)</f>
        <v>1</v>
      </c>
      <c r="H56" s="14"/>
      <c r="I56" s="29">
        <f t="shared" si="2"/>
        <v>933.85500000000002</v>
      </c>
      <c r="J56" s="15" t="s">
        <v>445</v>
      </c>
    </row>
    <row r="57" spans="1:11" x14ac:dyDescent="0.2">
      <c r="A57" s="1">
        <v>57</v>
      </c>
      <c r="B57" s="3" t="s">
        <v>86</v>
      </c>
      <c r="C57" s="13">
        <v>3.330503000000022</v>
      </c>
      <c r="D57" s="13">
        <v>56.490369000000037</v>
      </c>
      <c r="E57" t="s">
        <v>365</v>
      </c>
      <c r="F57">
        <v>933.85500000000002</v>
      </c>
      <c r="G57" s="18">
        <f>COUNTIF(B$2:B57,B57)</f>
        <v>2</v>
      </c>
      <c r="H57" s="30"/>
      <c r="I57" s="29">
        <f t="shared" si="2"/>
        <v>0</v>
      </c>
    </row>
    <row r="58" spans="1:11" x14ac:dyDescent="0.2">
      <c r="A58" s="1">
        <v>67</v>
      </c>
      <c r="B58" s="3" t="s">
        <v>334</v>
      </c>
      <c r="C58" s="13">
        <v>6.5038</v>
      </c>
      <c r="D58" s="13">
        <v>55.71</v>
      </c>
      <c r="E58" t="s">
        <v>411</v>
      </c>
      <c r="F58" s="3">
        <v>0</v>
      </c>
      <c r="G58" s="17">
        <f>COUNTIF(B$2:B58,B58)</f>
        <v>1</v>
      </c>
      <c r="H58" s="14"/>
      <c r="I58" s="29">
        <f t="shared" si="2"/>
        <v>0</v>
      </c>
      <c r="J58" s="15" t="s">
        <v>431</v>
      </c>
    </row>
    <row r="59" spans="1:11" x14ac:dyDescent="0.2">
      <c r="A59" s="1">
        <v>15</v>
      </c>
      <c r="B59" s="3" t="s">
        <v>87</v>
      </c>
      <c r="C59" s="13">
        <v>4.5569471181611378</v>
      </c>
      <c r="D59" s="13">
        <v>55.458982371638299</v>
      </c>
      <c r="E59" t="s">
        <v>374</v>
      </c>
      <c r="F59" s="3"/>
      <c r="G59" s="17">
        <f>COUNTIF(B$2:B59,B59)</f>
        <v>1</v>
      </c>
      <c r="H59" s="14"/>
      <c r="I59" s="29">
        <f t="shared" si="2"/>
        <v>0</v>
      </c>
      <c r="J59" s="15" t="s">
        <v>450</v>
      </c>
    </row>
    <row r="60" spans="1:11" x14ac:dyDescent="0.2">
      <c r="A60" s="1">
        <v>42</v>
      </c>
      <c r="B60" s="3" t="s">
        <v>87</v>
      </c>
      <c r="C60" s="13">
        <v>4.5569471181611378</v>
      </c>
      <c r="D60" s="13">
        <v>55.458982371638299</v>
      </c>
      <c r="E60" t="s">
        <v>374</v>
      </c>
      <c r="F60" s="3"/>
      <c r="G60" s="18">
        <f>COUNTIF(B$2:B60,B60)</f>
        <v>2</v>
      </c>
      <c r="H60" s="30"/>
      <c r="I60" s="29">
        <f t="shared" si="2"/>
        <v>0</v>
      </c>
      <c r="J60" s="15" t="s">
        <v>418</v>
      </c>
    </row>
    <row r="61" spans="1:11" x14ac:dyDescent="0.2">
      <c r="A61" s="1">
        <v>1</v>
      </c>
      <c r="B61" s="3" t="s">
        <v>43</v>
      </c>
      <c r="C61" s="13">
        <v>3.2998160000000212</v>
      </c>
      <c r="D61" s="13">
        <v>54.789494000000047</v>
      </c>
      <c r="E61" t="s">
        <v>360</v>
      </c>
      <c r="F61" s="3"/>
      <c r="G61" s="17">
        <f>COUNTIF(B$2:B61,B61)</f>
        <v>1</v>
      </c>
      <c r="H61" s="14" t="s">
        <v>479</v>
      </c>
      <c r="I61" s="29">
        <f t="shared" si="2"/>
        <v>0</v>
      </c>
      <c r="J61" s="15" t="s">
        <v>486</v>
      </c>
      <c r="K61" t="s">
        <v>464</v>
      </c>
    </row>
    <row r="62" spans="1:11" x14ac:dyDescent="0.2">
      <c r="A62" s="1">
        <v>44</v>
      </c>
      <c r="B62" s="3" t="s">
        <v>43</v>
      </c>
      <c r="C62" s="13">
        <v>3.2998160000000212</v>
      </c>
      <c r="D62" s="13">
        <v>54.789494000000047</v>
      </c>
      <c r="E62" t="s">
        <v>360</v>
      </c>
      <c r="F62" s="3"/>
      <c r="G62" s="18">
        <f>COUNTIF(B$2:B62,B62)</f>
        <v>2</v>
      </c>
      <c r="H62" s="30"/>
      <c r="I62" s="29">
        <f t="shared" si="2"/>
        <v>0</v>
      </c>
      <c r="J62" s="15" t="s">
        <v>418</v>
      </c>
    </row>
    <row r="63" spans="1:11" x14ac:dyDescent="0.2">
      <c r="A63" s="1">
        <v>36</v>
      </c>
      <c r="B63" s="3" t="s">
        <v>344</v>
      </c>
      <c r="C63" s="13">
        <v>-1.104584</v>
      </c>
      <c r="D63" s="13">
        <v>54.624600000000001</v>
      </c>
      <c r="E63" t="s">
        <v>394</v>
      </c>
      <c r="F63">
        <v>222.233</v>
      </c>
      <c r="G63" s="17">
        <f>COUNTIF(B$2:B63,B63)</f>
        <v>1</v>
      </c>
      <c r="H63" s="14"/>
      <c r="I63" s="29">
        <f t="shared" si="2"/>
        <v>222.233</v>
      </c>
      <c r="J63" s="15" t="s">
        <v>463</v>
      </c>
    </row>
    <row r="64" spans="1:11" x14ac:dyDescent="0.2">
      <c r="A64" s="1">
        <v>9</v>
      </c>
      <c r="B64" s="3" t="s">
        <v>111</v>
      </c>
      <c r="C64" s="13">
        <v>6.0406335538870612</v>
      </c>
      <c r="D64" s="13">
        <v>54.505801334185612</v>
      </c>
      <c r="E64" t="s">
        <v>368</v>
      </c>
      <c r="F64" s="3"/>
      <c r="G64" s="17">
        <f>COUNTIF(B$2:B64,B64)</f>
        <v>1</v>
      </c>
      <c r="H64" s="14"/>
      <c r="I64" s="29">
        <f t="shared" si="2"/>
        <v>0</v>
      </c>
      <c r="J64" s="15" t="s">
        <v>466</v>
      </c>
      <c r="K64" t="s">
        <v>465</v>
      </c>
    </row>
    <row r="65" spans="1:11" x14ac:dyDescent="0.2">
      <c r="A65" s="1">
        <v>52</v>
      </c>
      <c r="B65" s="3" t="s">
        <v>111</v>
      </c>
      <c r="C65" s="13">
        <v>6.0406335538870612</v>
      </c>
      <c r="D65" s="13">
        <v>54.505801334185612</v>
      </c>
      <c r="E65" t="s">
        <v>368</v>
      </c>
      <c r="F65" s="3"/>
      <c r="G65" s="18">
        <f>COUNTIF(B$2:B65,B65)</f>
        <v>2</v>
      </c>
      <c r="H65" s="30"/>
      <c r="I65" s="29">
        <f t="shared" si="2"/>
        <v>0</v>
      </c>
      <c r="J65" s="15" t="s">
        <v>418</v>
      </c>
    </row>
    <row r="66" spans="1:11" x14ac:dyDescent="0.2">
      <c r="A66" s="1">
        <v>34</v>
      </c>
      <c r="B66" s="3" t="s">
        <v>333</v>
      </c>
      <c r="C66" s="13">
        <v>15.2599</v>
      </c>
      <c r="D66" s="13">
        <v>53.8</v>
      </c>
      <c r="E66" t="s">
        <v>392</v>
      </c>
      <c r="F66">
        <v>1041.0509999999999</v>
      </c>
      <c r="G66" s="17">
        <f>COUNTIF(B$2:B66,B66)</f>
        <v>1</v>
      </c>
      <c r="H66" s="14"/>
      <c r="I66" s="29">
        <f t="shared" si="2"/>
        <v>1041.0509999999999</v>
      </c>
      <c r="J66" s="15" t="s">
        <v>503</v>
      </c>
      <c r="K66" t="s">
        <v>496</v>
      </c>
    </row>
    <row r="67" spans="1:11" x14ac:dyDescent="0.2">
      <c r="A67" s="1">
        <v>21</v>
      </c>
      <c r="B67" s="3" t="s">
        <v>196</v>
      </c>
      <c r="C67" s="35">
        <v>4.2226220000000581</v>
      </c>
      <c r="D67" s="35">
        <v>55.706969000000072</v>
      </c>
      <c r="E67" t="s">
        <v>379</v>
      </c>
      <c r="F67" s="3">
        <v>0</v>
      </c>
      <c r="G67" s="17">
        <f>COUNTIF(B$2:B67,B67)</f>
        <v>1</v>
      </c>
      <c r="H67" s="14" t="s">
        <v>479</v>
      </c>
      <c r="I67" s="29">
        <f t="shared" si="2"/>
        <v>0</v>
      </c>
      <c r="J67" s="15" t="s">
        <v>487</v>
      </c>
      <c r="K67" t="s">
        <v>464</v>
      </c>
    </row>
    <row r="68" spans="1:11" x14ac:dyDescent="0.2">
      <c r="A68" s="1">
        <v>55</v>
      </c>
      <c r="B68" s="3" t="s">
        <v>196</v>
      </c>
      <c r="C68" s="35">
        <v>4.2226220000000581</v>
      </c>
      <c r="D68" s="35">
        <v>55.706969000000072</v>
      </c>
      <c r="E68" t="s">
        <v>379</v>
      </c>
      <c r="F68" s="3">
        <v>0</v>
      </c>
      <c r="G68" s="18">
        <f>COUNTIF(B$2:B68,B68)</f>
        <v>2</v>
      </c>
      <c r="H68" s="30"/>
      <c r="I68" s="29">
        <f t="shared" si="2"/>
        <v>0</v>
      </c>
      <c r="J68" s="15" t="s">
        <v>418</v>
      </c>
    </row>
    <row r="69" spans="1:11" x14ac:dyDescent="0.2">
      <c r="A69" s="1">
        <v>70</v>
      </c>
      <c r="B69" s="3" t="s">
        <v>350</v>
      </c>
      <c r="C69" s="13">
        <v>0.1160310000000209</v>
      </c>
      <c r="D69" s="13">
        <v>53.659231000000027</v>
      </c>
      <c r="E69" t="s">
        <v>414</v>
      </c>
      <c r="F69" s="3">
        <v>0</v>
      </c>
      <c r="G69" s="17">
        <f>COUNTIF(B$2:B69,B69)</f>
        <v>1</v>
      </c>
      <c r="H69" s="14" t="s">
        <v>474</v>
      </c>
      <c r="I69" s="34"/>
      <c r="J69" s="15" t="s">
        <v>419</v>
      </c>
    </row>
    <row r="70" spans="1:11" x14ac:dyDescent="0.2">
      <c r="A70" s="1">
        <v>46</v>
      </c>
      <c r="B70" s="3" t="s">
        <v>112</v>
      </c>
      <c r="C70" s="24">
        <v>7.3264200000000406</v>
      </c>
      <c r="D70" s="24">
        <v>53.679700000000082</v>
      </c>
      <c r="E70" t="s">
        <v>397</v>
      </c>
      <c r="F70" s="3"/>
      <c r="G70" s="17">
        <f>COUNTIF(B$2:B70,B70)</f>
        <v>1</v>
      </c>
      <c r="H70" s="14" t="s">
        <v>474</v>
      </c>
      <c r="I70" s="34"/>
      <c r="J70" s="15" t="s">
        <v>448</v>
      </c>
    </row>
    <row r="71" spans="1:11" x14ac:dyDescent="0.2">
      <c r="A71" s="1">
        <v>38</v>
      </c>
      <c r="B71" s="3" t="s">
        <v>44</v>
      </c>
      <c r="C71" s="13">
        <v>3.229797000000076</v>
      </c>
      <c r="D71" s="13">
        <v>51.350508000000048</v>
      </c>
      <c r="E71" t="s">
        <v>395</v>
      </c>
      <c r="F71">
        <v>48.064999999999998</v>
      </c>
      <c r="G71" s="17">
        <f>COUNTIF(B$2:B71,B71)</f>
        <v>1</v>
      </c>
      <c r="H71" s="14" t="s">
        <v>474</v>
      </c>
      <c r="I71" s="29">
        <f>IF(G71=1,F71,0)</f>
        <v>48.064999999999998</v>
      </c>
      <c r="J71" s="15" t="s">
        <v>447</v>
      </c>
    </row>
    <row r="72" spans="1:11" x14ac:dyDescent="0.2">
      <c r="A72" s="1">
        <v>56</v>
      </c>
      <c r="B72" s="3" t="s">
        <v>203</v>
      </c>
      <c r="C72" s="13">
        <v>2.252709000000038</v>
      </c>
      <c r="D72" s="13">
        <v>51.046406000000047</v>
      </c>
      <c r="E72" t="s">
        <v>402</v>
      </c>
      <c r="F72">
        <v>1214.5999999999999</v>
      </c>
      <c r="G72" s="17">
        <f>COUNTIF(B$2:B72,B72)</f>
        <v>1</v>
      </c>
      <c r="H72" s="14" t="s">
        <v>474</v>
      </c>
      <c r="I72" s="29">
        <f>IF(G72=1,F72,0)</f>
        <v>1214.5999999999999</v>
      </c>
      <c r="J72" s="15" t="s">
        <v>446</v>
      </c>
    </row>
    <row r="73" spans="1:11" x14ac:dyDescent="0.2">
      <c r="A73" s="1" t="s">
        <v>492</v>
      </c>
      <c r="B73" s="3" t="s">
        <v>490</v>
      </c>
      <c r="C73" s="11">
        <v>8.4072999999999993</v>
      </c>
      <c r="D73" s="11">
        <v>55.744999999999997</v>
      </c>
      <c r="J73" s="15" t="s">
        <v>494</v>
      </c>
      <c r="K73" t="s">
        <v>496</v>
      </c>
    </row>
    <row r="74" spans="1:11" x14ac:dyDescent="0.2">
      <c r="A74" s="1" t="s">
        <v>493</v>
      </c>
      <c r="B74" s="3" t="s">
        <v>491</v>
      </c>
      <c r="C74" s="11">
        <v>9.3108000000000004</v>
      </c>
      <c r="D74" s="11">
        <v>55.616999999999997</v>
      </c>
      <c r="J74" s="15" t="s">
        <v>495</v>
      </c>
      <c r="K74" t="s">
        <v>496</v>
      </c>
    </row>
    <row r="75" spans="1:11" x14ac:dyDescent="0.2">
      <c r="A75" s="1" t="s">
        <v>499</v>
      </c>
      <c r="B75" s="3" t="s">
        <v>497</v>
      </c>
      <c r="C75" s="11">
        <v>10.7951</v>
      </c>
      <c r="D75" s="11">
        <v>55.286999999999999</v>
      </c>
      <c r="J75" s="15" t="s">
        <v>501</v>
      </c>
      <c r="K75" t="s">
        <v>496</v>
      </c>
    </row>
    <row r="76" spans="1:11" x14ac:dyDescent="0.2">
      <c r="A76" s="1" t="s">
        <v>500</v>
      </c>
      <c r="B76" s="3" t="s">
        <v>498</v>
      </c>
      <c r="C76" s="11">
        <v>11.2102</v>
      </c>
      <c r="D76" s="11">
        <v>55.389000000000003</v>
      </c>
      <c r="J76" s="15" t="s">
        <v>502</v>
      </c>
      <c r="K76" t="s">
        <v>496</v>
      </c>
    </row>
    <row r="77" spans="1:11" x14ac:dyDescent="0.2">
      <c r="B77" s="3" t="s">
        <v>508</v>
      </c>
      <c r="C77" s="10">
        <v>7.1892900000000282</v>
      </c>
      <c r="D77" s="10">
        <v>53.346200000000067</v>
      </c>
      <c r="K77" t="s">
        <v>509</v>
      </c>
    </row>
  </sheetData>
  <autoFilter ref="A1:K72" xr:uid="{00000000-0001-0000-0100-000000000000}"/>
  <sortState xmlns:xlrd2="http://schemas.microsoft.com/office/spreadsheetml/2017/richdata2" ref="A2:K72">
    <sortCondition descending="1" ref="D2:D72"/>
    <sortCondition ref="C2:C72"/>
    <sortCondition ref="B2:B72"/>
    <sortCondition ref="G2:G72"/>
  </sortState>
  <phoneticPr fontId="8" type="noConversion"/>
  <hyperlinks>
    <hyperlink ref="K47" r:id="rId1" xr:uid="{6D54644E-0174-F04B-9CCC-128FA44630F4}"/>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0B328-B3D4-FB47-A4F2-E4F4A7B34504}">
  <dimension ref="A1:A5"/>
  <sheetViews>
    <sheetView zoomScale="256" zoomScaleNormal="256" workbookViewId="0">
      <selection activeCell="A5" sqref="A5"/>
    </sheetView>
  </sheetViews>
  <sheetFormatPr baseColWidth="10" defaultRowHeight="15" x14ac:dyDescent="0.2"/>
  <sheetData>
    <row r="1" spans="1:1" x14ac:dyDescent="0.2">
      <c r="A1" t="s">
        <v>504</v>
      </c>
    </row>
    <row r="2" spans="1:1" x14ac:dyDescent="0.2">
      <c r="A2" t="s">
        <v>505</v>
      </c>
    </row>
    <row r="3" spans="1:1" x14ac:dyDescent="0.2">
      <c r="A3" t="s">
        <v>506</v>
      </c>
    </row>
    <row r="4" spans="1:1" x14ac:dyDescent="0.2">
      <c r="A4" t="s">
        <v>510</v>
      </c>
    </row>
    <row r="5" spans="1:1" x14ac:dyDescent="0.2">
      <c r="A5" s="36" t="s">
        <v>507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3</vt:i4>
      </vt:variant>
    </vt:vector>
  </HeadingPairs>
  <TitlesOfParts>
    <vt:vector size="3" baseType="lpstr">
      <vt:lpstr>pipes</vt:lpstr>
      <vt:lpstr>facilities</vt:lpstr>
      <vt:lpstr>Changes Berend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Markhorst, B.T. (Berend)</cp:lastModifiedBy>
  <dcterms:created xsi:type="dcterms:W3CDTF">2024-09-03T08:05:02Z</dcterms:created>
  <dcterms:modified xsi:type="dcterms:W3CDTF">2024-09-23T12:01:20Z</dcterms:modified>
</cp:coreProperties>
</file>