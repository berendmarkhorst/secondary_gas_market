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FA1238F5-C2AB-6849-8AEA-A32745F29AEE}" xr6:coauthVersionLast="47" xr6:coauthVersionMax="47" xr10:uidLastSave="{00000000-0000-0000-0000-000000000000}"/>
  <bookViews>
    <workbookView xWindow="0" yWindow="500" windowWidth="38400" windowHeight="21600" firstSheet="3" activeTab="16"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A4" i="2" l="1"/>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G4" i="2"/>
  <c r="AH4" i="2"/>
  <c r="AI4" i="2"/>
  <c r="AC5" i="2"/>
  <c r="AD5" i="2"/>
  <c r="AE5" i="2"/>
  <c r="AF5" i="2"/>
  <c r="AG5" i="2"/>
  <c r="AH5" i="2"/>
  <c r="AI5" i="2"/>
  <c r="AC6" i="2"/>
  <c r="AD6" i="2"/>
  <c r="AE6" i="2"/>
  <c r="AF6" i="2"/>
  <c r="AG6" i="2"/>
  <c r="AH6" i="2"/>
  <c r="AI6" i="2"/>
  <c r="AC7" i="2"/>
  <c r="AD7" i="2"/>
  <c r="AE7" i="2"/>
  <c r="AF7" i="2"/>
  <c r="AG7" i="2"/>
  <c r="AH7" i="2"/>
  <c r="AI7" i="2"/>
  <c r="AC8" i="2"/>
  <c r="AD8" i="2"/>
  <c r="AE8" i="2"/>
  <c r="AF8" i="2"/>
  <c r="AG8" i="2"/>
  <c r="AH8" i="2"/>
  <c r="AI8" i="2"/>
  <c r="AC9" i="2"/>
  <c r="AD9" i="2"/>
  <c r="AE9" i="2"/>
  <c r="AF9" i="2"/>
  <c r="AG9" i="2"/>
  <c r="AH9" i="2"/>
  <c r="AI9" i="2"/>
  <c r="AC10" i="2"/>
  <c r="AD10" i="2"/>
  <c r="AE10" i="2"/>
  <c r="AF10" i="2"/>
  <c r="AG10" i="2"/>
  <c r="AH10" i="2"/>
  <c r="AI10" i="2"/>
  <c r="AC11" i="2"/>
  <c r="AD11" i="2"/>
  <c r="AE11" i="2"/>
  <c r="AF11" i="2"/>
  <c r="AG11" i="2"/>
  <c r="AH11" i="2"/>
  <c r="AI11" i="2"/>
  <c r="AC12" i="2"/>
  <c r="AD12" i="2"/>
  <c r="AE12" i="2"/>
  <c r="AF12" i="2"/>
  <c r="AG12" i="2"/>
  <c r="AH12" i="2"/>
  <c r="AI12" i="2"/>
  <c r="AC13" i="2"/>
  <c r="AD13" i="2"/>
  <c r="AE13" i="2"/>
  <c r="AF13" i="2"/>
  <c r="AG13" i="2"/>
  <c r="AH13" i="2"/>
  <c r="AI13" i="2"/>
  <c r="AC14" i="2"/>
  <c r="AD14" i="2"/>
  <c r="AE14" i="2"/>
  <c r="AF14" i="2"/>
  <c r="AG14" i="2"/>
  <c r="AH14" i="2"/>
  <c r="AI14" i="2"/>
  <c r="AC15" i="2"/>
  <c r="AD15" i="2"/>
  <c r="AE15" i="2"/>
  <c r="AF15" i="2"/>
  <c r="AG15" i="2"/>
  <c r="AH15" i="2"/>
  <c r="AI15" i="2"/>
  <c r="AC16" i="2"/>
  <c r="AD16" i="2"/>
  <c r="AE16" i="2"/>
  <c r="AF16" i="2"/>
  <c r="AG16" i="2"/>
  <c r="AH16" i="2"/>
  <c r="AI16" i="2"/>
  <c r="AC17" i="2"/>
  <c r="AD17" i="2"/>
  <c r="AE17" i="2"/>
  <c r="AF17" i="2"/>
  <c r="AG17" i="2"/>
  <c r="AH17" i="2"/>
  <c r="AI17" i="2"/>
  <c r="AC18" i="2"/>
  <c r="AD18" i="2"/>
  <c r="AE18" i="2"/>
  <c r="AF18" i="2"/>
  <c r="AG18" i="2"/>
  <c r="AH18" i="2"/>
  <c r="AI18" i="2"/>
  <c r="AC19" i="2"/>
  <c r="AD19" i="2"/>
  <c r="AE19" i="2"/>
  <c r="AF19" i="2"/>
  <c r="AG19" i="2"/>
  <c r="AH19" i="2"/>
  <c r="AI19" i="2"/>
  <c r="AC20" i="2"/>
  <c r="AD20" i="2"/>
  <c r="AE20" i="2"/>
  <c r="AF20" i="2"/>
  <c r="AG20" i="2"/>
  <c r="AH20" i="2"/>
  <c r="AI20" i="2"/>
  <c r="AC21" i="2"/>
  <c r="AD21" i="2"/>
  <c r="AE21" i="2"/>
  <c r="AF21" i="2"/>
  <c r="AG21" i="2"/>
  <c r="AH21" i="2"/>
  <c r="AI21" i="2"/>
  <c r="AC22" i="2"/>
  <c r="AD22" i="2"/>
  <c r="AE22" i="2"/>
  <c r="AF22" i="2"/>
  <c r="AG22" i="2"/>
  <c r="AH22" i="2"/>
  <c r="AI22" i="2"/>
  <c r="AC23" i="2"/>
  <c r="AD23" i="2"/>
  <c r="AE23" i="2"/>
  <c r="AF23" i="2"/>
  <c r="AG23" i="2"/>
  <c r="AH23" i="2"/>
  <c r="AI23" i="2"/>
  <c r="AC24" i="2"/>
  <c r="AD24" i="2"/>
  <c r="AE24" i="2"/>
  <c r="AF24" i="2"/>
  <c r="AG24" i="2"/>
  <c r="AH24" i="2"/>
  <c r="AI24" i="2"/>
  <c r="AC25" i="2"/>
  <c r="AD25" i="2"/>
  <c r="AE25" i="2"/>
  <c r="AF25" i="2"/>
  <c r="AG25" i="2"/>
  <c r="AH25" i="2"/>
  <c r="AI25" i="2"/>
  <c r="AC26" i="2"/>
  <c r="AD26" i="2"/>
  <c r="AE26" i="2"/>
  <c r="AF26" i="2"/>
  <c r="AG26" i="2"/>
  <c r="AH26" i="2"/>
  <c r="AI26" i="2"/>
  <c r="AC27" i="2"/>
  <c r="AD27" i="2"/>
  <c r="AE27" i="2"/>
  <c r="AF27" i="2"/>
  <c r="AG27" i="2"/>
  <c r="AH27" i="2"/>
  <c r="AI27" i="2"/>
  <c r="AC28" i="2"/>
  <c r="AD28" i="2"/>
  <c r="AE28" i="2"/>
  <c r="AF28" i="2"/>
  <c r="AG28" i="2"/>
  <c r="AH28" i="2"/>
  <c r="AI28" i="2"/>
  <c r="AC29" i="2"/>
  <c r="AD29" i="2"/>
  <c r="AE29" i="2"/>
  <c r="AF29" i="2"/>
  <c r="AG29" i="2"/>
  <c r="AH29" i="2"/>
  <c r="AI29" i="2"/>
  <c r="AC30" i="2"/>
  <c r="AD30" i="2"/>
  <c r="AE30" i="2"/>
  <c r="AF30" i="2"/>
  <c r="AG30" i="2"/>
  <c r="AH30" i="2"/>
  <c r="AI30" i="2"/>
  <c r="AC31" i="2"/>
  <c r="AD31" i="2"/>
  <c r="AE31" i="2"/>
  <c r="AF31" i="2"/>
  <c r="AG31" i="2"/>
  <c r="AH31" i="2"/>
  <c r="AI31" i="2"/>
  <c r="AC32" i="2"/>
  <c r="AD32" i="2"/>
  <c r="AE32" i="2"/>
  <c r="AF32" i="2"/>
  <c r="AG32" i="2"/>
  <c r="AH32" i="2"/>
  <c r="AI32" i="2"/>
  <c r="AC33" i="2"/>
  <c r="AD33" i="2"/>
  <c r="AE33" i="2"/>
  <c r="AF33" i="2"/>
  <c r="AG33" i="2"/>
  <c r="AH33" i="2"/>
  <c r="AI33" i="2"/>
  <c r="AC34" i="2"/>
  <c r="AD34" i="2"/>
  <c r="AE34" i="2"/>
  <c r="AF34" i="2"/>
  <c r="AG34" i="2"/>
  <c r="AH34" i="2"/>
  <c r="AI34" i="2"/>
  <c r="AC35" i="2"/>
  <c r="AD35" i="2"/>
  <c r="AE35" i="2"/>
  <c r="AF35" i="2"/>
  <c r="AG35" i="2"/>
  <c r="AH35" i="2"/>
  <c r="AI35" i="2"/>
  <c r="AC36" i="2"/>
  <c r="AD36" i="2"/>
  <c r="AE36" i="2"/>
  <c r="AF36" i="2"/>
  <c r="AG36" i="2"/>
  <c r="AH36" i="2"/>
  <c r="AI36" i="2"/>
  <c r="AC37" i="2"/>
  <c r="AD37" i="2"/>
  <c r="AE37" i="2"/>
  <c r="AF37" i="2"/>
  <c r="AG37" i="2"/>
  <c r="AH37" i="2"/>
  <c r="AI37" i="2"/>
  <c r="AC38" i="2"/>
  <c r="AD38" i="2"/>
  <c r="AE38" i="2"/>
  <c r="AF38" i="2"/>
  <c r="AG38" i="2"/>
  <c r="AH38" i="2"/>
  <c r="AI38" i="2"/>
  <c r="AC39" i="2"/>
  <c r="AD39" i="2"/>
  <c r="AE39" i="2"/>
  <c r="AF39" i="2"/>
  <c r="AG39" i="2"/>
  <c r="AH39" i="2"/>
  <c r="AI39" i="2"/>
  <c r="AC40" i="2"/>
  <c r="AD40" i="2"/>
  <c r="AE40" i="2"/>
  <c r="AF40" i="2"/>
  <c r="AG40" i="2"/>
  <c r="AH40" i="2"/>
  <c r="AI40" i="2"/>
  <c r="AC41" i="2"/>
  <c r="AD41" i="2"/>
  <c r="AE41" i="2"/>
  <c r="AF41" i="2"/>
  <c r="AG41" i="2"/>
  <c r="AH41" i="2"/>
  <c r="AI41" i="2"/>
  <c r="AC42" i="2"/>
  <c r="AD42" i="2"/>
  <c r="AE42" i="2"/>
  <c r="AF42" i="2"/>
  <c r="AG42" i="2"/>
  <c r="AH42" i="2"/>
  <c r="AI42" i="2"/>
  <c r="AC43" i="2"/>
  <c r="AD43" i="2"/>
  <c r="AE43" i="2"/>
  <c r="AF43" i="2"/>
  <c r="AG43" i="2"/>
  <c r="AH43" i="2"/>
  <c r="AI43" i="2"/>
  <c r="AC44" i="2"/>
  <c r="AD44" i="2"/>
  <c r="AE44" i="2"/>
  <c r="AF44" i="2"/>
  <c r="AG44" i="2"/>
  <c r="AH44" i="2"/>
  <c r="AI44" i="2"/>
  <c r="AC45" i="2"/>
  <c r="AD45" i="2"/>
  <c r="AE45" i="2"/>
  <c r="AF45" i="2"/>
  <c r="AG45" i="2"/>
  <c r="AH45" i="2"/>
  <c r="AI45" i="2"/>
  <c r="AC46" i="2"/>
  <c r="AD46" i="2"/>
  <c r="AE46" i="2"/>
  <c r="AF46" i="2"/>
  <c r="AG46" i="2"/>
  <c r="AH46" i="2"/>
  <c r="AI46" i="2"/>
  <c r="AC47" i="2"/>
  <c r="AD47" i="2"/>
  <c r="AE47" i="2"/>
  <c r="AF47" i="2"/>
  <c r="AG47" i="2"/>
  <c r="AH47" i="2"/>
  <c r="AI47" i="2"/>
  <c r="AC48" i="2"/>
  <c r="AD48" i="2"/>
  <c r="AE48" i="2"/>
  <c r="AF48" i="2"/>
  <c r="AG48" i="2"/>
  <c r="AH48" i="2"/>
  <c r="AI48" i="2"/>
  <c r="AC49" i="2"/>
  <c r="AD49" i="2"/>
  <c r="AE49" i="2"/>
  <c r="AF49" i="2"/>
  <c r="AG49" i="2"/>
  <c r="AH49" i="2"/>
  <c r="AI49" i="2"/>
  <c r="AC50" i="2"/>
  <c r="AD50" i="2"/>
  <c r="AE50" i="2"/>
  <c r="AF50" i="2"/>
  <c r="AG50" i="2"/>
  <c r="AH50" i="2"/>
  <c r="AI50" i="2"/>
  <c r="AC51" i="2"/>
  <c r="AD51" i="2"/>
  <c r="AE51" i="2"/>
  <c r="AF51" i="2"/>
  <c r="AG51" i="2"/>
  <c r="AH51" i="2"/>
  <c r="AI51" i="2"/>
  <c r="AC52" i="2"/>
  <c r="AD52" i="2"/>
  <c r="AE52" i="2"/>
  <c r="AF52" i="2"/>
  <c r="AG52" i="2"/>
  <c r="AH52" i="2"/>
  <c r="AI52" i="2"/>
  <c r="AC53" i="2"/>
  <c r="AD53" i="2"/>
  <c r="AE53" i="2"/>
  <c r="AF53" i="2"/>
  <c r="AG53" i="2"/>
  <c r="AH53" i="2"/>
  <c r="AI53" i="2"/>
  <c r="AC54" i="2"/>
  <c r="AD54" i="2"/>
  <c r="AE54" i="2"/>
  <c r="AF54" i="2"/>
  <c r="AG54" i="2"/>
  <c r="AH54" i="2"/>
  <c r="AI54" i="2"/>
  <c r="AC55" i="2"/>
  <c r="AD55" i="2"/>
  <c r="AE55" i="2"/>
  <c r="AF55" i="2"/>
  <c r="AG55" i="2"/>
  <c r="AH55" i="2"/>
  <c r="AI55" i="2"/>
  <c r="AC56" i="2"/>
  <c r="AD56" i="2"/>
  <c r="AE56" i="2"/>
  <c r="AF56" i="2"/>
  <c r="AG56" i="2"/>
  <c r="AH56" i="2"/>
  <c r="AI56" i="2"/>
  <c r="AC57" i="2"/>
  <c r="AD57" i="2"/>
  <c r="AE57" i="2"/>
  <c r="AF57" i="2"/>
  <c r="AG57" i="2"/>
  <c r="AH57" i="2"/>
  <c r="AI57" i="2"/>
  <c r="AC58" i="2"/>
  <c r="AD58" i="2"/>
  <c r="AE58" i="2"/>
  <c r="AF58" i="2"/>
  <c r="AG58" i="2"/>
  <c r="AH58" i="2"/>
  <c r="AI58" i="2"/>
  <c r="AC59" i="2"/>
  <c r="AD59" i="2"/>
  <c r="AE59" i="2"/>
  <c r="AF59" i="2"/>
  <c r="AG59" i="2"/>
  <c r="AH59" i="2"/>
  <c r="AI59" i="2"/>
  <c r="AC60" i="2"/>
  <c r="AD60" i="2"/>
  <c r="AE60" i="2"/>
  <c r="AF60" i="2"/>
  <c r="AG60" i="2"/>
  <c r="AH60" i="2"/>
  <c r="AI60" i="2"/>
  <c r="AC61" i="2"/>
  <c r="AD61" i="2"/>
  <c r="AE61" i="2"/>
  <c r="AF61" i="2"/>
  <c r="AG61" i="2"/>
  <c r="AH61" i="2"/>
  <c r="AI61" i="2"/>
  <c r="AD3" i="2"/>
  <c r="AE3" i="2"/>
  <c r="AF3" i="2"/>
  <c r="AG3" i="2"/>
  <c r="AH3" i="2"/>
  <c r="AI3" i="2"/>
  <c r="AC3" i="2"/>
  <c r="K62" i="1"/>
  <c r="O62" i="1" s="1" a="1"/>
  <c r="O62" i="1" s="1"/>
  <c r="L62" i="1"/>
  <c r="P62" i="1" s="1" a="1"/>
  <c r="P62" i="1" s="1"/>
  <c r="F5" i="16"/>
  <c r="E5" i="16"/>
  <c r="F8" i="16"/>
  <c r="F3" i="16"/>
  <c r="H2" i="16"/>
  <c r="G2" i="16"/>
  <c r="B2" i="16"/>
  <c r="E6" i="16"/>
  <c r="F6" i="16"/>
  <c r="E4" i="16"/>
  <c r="H24" i="17"/>
  <c r="C24" i="17"/>
  <c r="B24" i="17"/>
  <c r="A24" i="17"/>
  <c r="F21" i="17"/>
  <c r="E21" i="17"/>
  <c r="D21" i="17"/>
  <c r="F20" i="17"/>
  <c r="E20" i="17"/>
  <c r="D20" i="17"/>
  <c r="D24" i="17" s="1"/>
  <c r="F19" i="17"/>
  <c r="E19" i="17"/>
  <c r="D19" i="17"/>
  <c r="D18" i="17"/>
  <c r="E17" i="17"/>
  <c r="G16" i="17"/>
  <c r="G24" i="17" s="1"/>
  <c r="F16" i="17"/>
  <c r="F24" i="17" s="1"/>
  <c r="E16" i="17"/>
  <c r="E24" i="17" s="1"/>
  <c r="A16" i="17"/>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FY10" i="9"/>
  <c r="FZ10" i="9"/>
  <c r="GA10" i="9"/>
  <c r="GB10" i="9"/>
  <c r="GC10" i="9"/>
  <c r="FW11" i="9"/>
  <c r="FX11" i="9"/>
  <c r="FY11" i="9"/>
  <c r="FZ11" i="9"/>
  <c r="GA11" i="9"/>
  <c r="GB11" i="9"/>
  <c r="GC11" i="9"/>
  <c r="FW12" i="9"/>
  <c r="FX12" i="9"/>
  <c r="FY12" i="9"/>
  <c r="FZ12" i="9"/>
  <c r="GA12" i="9"/>
  <c r="GB12" i="9"/>
  <c r="GC12" i="9"/>
  <c r="FW13" i="9"/>
  <c r="FX13" i="9"/>
  <c r="FY13" i="9"/>
  <c r="FZ13" i="9"/>
  <c r="GA13" i="9"/>
  <c r="GB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I10" i="9"/>
  <c r="FJ10" i="9"/>
  <c r="FK10" i="9"/>
  <c r="FL10" i="9"/>
  <c r="FM10" i="9"/>
  <c r="FG11" i="9"/>
  <c r="FH11" i="9"/>
  <c r="FI11" i="9"/>
  <c r="FJ11" i="9"/>
  <c r="FK11" i="9"/>
  <c r="FL11" i="9"/>
  <c r="FM11" i="9"/>
  <c r="FG12" i="9"/>
  <c r="FH12" i="9"/>
  <c r="FI12" i="9"/>
  <c r="FJ12" i="9"/>
  <c r="FK12" i="9"/>
  <c r="FL12" i="9"/>
  <c r="FM12" i="9"/>
  <c r="FG13" i="9"/>
  <c r="FH13" i="9"/>
  <c r="FI13" i="9"/>
  <c r="FJ13" i="9"/>
  <c r="FK13" i="9"/>
  <c r="FL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S10" i="9"/>
  <c r="ET10" i="9"/>
  <c r="EU10" i="9"/>
  <c r="EV10" i="9"/>
  <c r="EW10" i="9"/>
  <c r="EQ11" i="9"/>
  <c r="ER11" i="9"/>
  <c r="ES11" i="9"/>
  <c r="ET11" i="9"/>
  <c r="EU11" i="9"/>
  <c r="EV11" i="9"/>
  <c r="EW11" i="9"/>
  <c r="EQ12" i="9"/>
  <c r="ER12" i="9"/>
  <c r="ES12" i="9"/>
  <c r="ET12" i="9"/>
  <c r="EU12" i="9"/>
  <c r="EV12" i="9"/>
  <c r="EW12" i="9"/>
  <c r="EQ13" i="9"/>
  <c r="ER13" i="9"/>
  <c r="ES13" i="9"/>
  <c r="ET13" i="9"/>
  <c r="EU13" i="9"/>
  <c r="EV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C10" i="9"/>
  <c r="ED10" i="9"/>
  <c r="EE10" i="9"/>
  <c r="EF10" i="9"/>
  <c r="EG10" i="9"/>
  <c r="EA11" i="9"/>
  <c r="EB11" i="9"/>
  <c r="EC11" i="9"/>
  <c r="ED11" i="9"/>
  <c r="EE11" i="9"/>
  <c r="EF11" i="9"/>
  <c r="EG11" i="9"/>
  <c r="EA12" i="9"/>
  <c r="EB12" i="9"/>
  <c r="EC12" i="9"/>
  <c r="ED12" i="9"/>
  <c r="EE12" i="9"/>
  <c r="EF12" i="9"/>
  <c r="EG12" i="9"/>
  <c r="EA13" i="9"/>
  <c r="EB13" i="9"/>
  <c r="EC13" i="9"/>
  <c r="ED13" i="9"/>
  <c r="EE13" i="9"/>
  <c r="EF13" i="9"/>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M10" i="9"/>
  <c r="DN10" i="9"/>
  <c r="DO10" i="9"/>
  <c r="DP10" i="9"/>
  <c r="DQ10" i="9"/>
  <c r="DK11" i="9"/>
  <c r="DL11" i="9"/>
  <c r="DM11" i="9"/>
  <c r="DN11" i="9"/>
  <c r="DO11" i="9"/>
  <c r="DP11" i="9"/>
  <c r="DQ11" i="9"/>
  <c r="DK12" i="9"/>
  <c r="DL12" i="9"/>
  <c r="DM12" i="9"/>
  <c r="DN12" i="9"/>
  <c r="DO12" i="9"/>
  <c r="DP12" i="9"/>
  <c r="DQ12" i="9"/>
  <c r="DK13" i="9"/>
  <c r="DL13" i="9"/>
  <c r="DM13" i="9"/>
  <c r="DN13" i="9"/>
  <c r="DO13" i="9"/>
  <c r="DP13" i="9"/>
  <c r="DQ13" i="9"/>
  <c r="DJ7" i="9"/>
  <c r="DJ8" i="9"/>
  <c r="DJ9" i="9"/>
  <c r="DJ10" i="9"/>
  <c r="DJ11" i="9"/>
  <c r="DJ12" i="9"/>
  <c r="DJ13" i="9"/>
  <c r="CZ13" i="9"/>
  <c r="CU12" i="9"/>
  <c r="CV12" i="9"/>
  <c r="CW12" i="9"/>
  <c r="CX12" i="9"/>
  <c r="CY12" i="9"/>
  <c r="CZ12" i="9"/>
  <c r="DA12" i="9"/>
  <c r="CU13" i="9"/>
  <c r="CV13" i="9"/>
  <c r="CW13" i="9"/>
  <c r="CX13" i="9"/>
  <c r="CY13" i="9"/>
  <c r="DA13" i="9"/>
  <c r="CT13" i="9"/>
  <c r="CE11" i="9"/>
  <c r="CF11" i="9"/>
  <c r="CV11" i="9" s="1"/>
  <c r="CG11" i="9"/>
  <c r="CH11" i="9"/>
  <c r="CX11" i="9" s="1"/>
  <c r="CI11" i="9"/>
  <c r="CJ11" i="9"/>
  <c r="CK11" i="9"/>
  <c r="DA11" i="9" s="1"/>
  <c r="CE12" i="9"/>
  <c r="CF12" i="9"/>
  <c r="CG12" i="9"/>
  <c r="CH12" i="9"/>
  <c r="CI12" i="9"/>
  <c r="CJ12" i="9"/>
  <c r="CK12" i="9"/>
  <c r="CE13" i="9"/>
  <c r="CF13" i="9"/>
  <c r="CG13" i="9"/>
  <c r="CH13" i="9"/>
  <c r="CI13" i="9"/>
  <c r="CJ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W10" i="9"/>
  <c r="CX10" i="9"/>
  <c r="CY10" i="9"/>
  <c r="CZ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G10" i="9"/>
  <c r="CH10" i="9"/>
  <c r="CI10" i="9"/>
  <c r="CJ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Q10" i="9"/>
  <c r="BR10" i="9"/>
  <c r="BS10" i="9"/>
  <c r="BT10" i="9"/>
  <c r="BU10" i="9"/>
  <c r="BO11" i="9"/>
  <c r="BP11" i="9"/>
  <c r="BQ11" i="9"/>
  <c r="BR11" i="9"/>
  <c r="BS11" i="9"/>
  <c r="BT11" i="9"/>
  <c r="BU11" i="9"/>
  <c r="BO12" i="9"/>
  <c r="BP12" i="9"/>
  <c r="BQ12" i="9"/>
  <c r="BR12" i="9"/>
  <c r="BS12" i="9"/>
  <c r="BT12" i="9"/>
  <c r="BU12" i="9"/>
  <c r="BO13" i="9"/>
  <c r="BP13" i="9"/>
  <c r="BQ13" i="9"/>
  <c r="BR13" i="9"/>
  <c r="BS13" i="9"/>
  <c r="BT13" i="9"/>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AL9" i="5"/>
  <c r="AM9" i="5"/>
  <c r="AN9" i="5"/>
  <c r="AO9" i="5"/>
  <c r="AI10" i="5"/>
  <c r="AJ10" i="5"/>
  <c r="AK10" i="5"/>
  <c r="AL10" i="5"/>
  <c r="AM10" i="5"/>
  <c r="AN10" i="5"/>
  <c r="AO10" i="5"/>
  <c r="AI11" i="5"/>
  <c r="AJ11" i="5"/>
  <c r="AK11" i="5"/>
  <c r="AL11" i="5"/>
  <c r="AM11" i="5"/>
  <c r="AN11" i="5"/>
  <c r="AO11" i="5"/>
  <c r="AI12" i="5"/>
  <c r="AJ12" i="5"/>
  <c r="AK12" i="5"/>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V9" i="5"/>
  <c r="W9" i="5"/>
  <c r="X9" i="5"/>
  <c r="Y9" i="5"/>
  <c r="S10" i="5"/>
  <c r="T10" i="5"/>
  <c r="U10" i="5"/>
  <c r="V10" i="5"/>
  <c r="W10" i="5"/>
  <c r="X10" i="5"/>
  <c r="Y10" i="5"/>
  <c r="S11" i="5"/>
  <c r="T11" i="5"/>
  <c r="U11" i="5"/>
  <c r="V11" i="5"/>
  <c r="W11" i="5"/>
  <c r="X11" i="5"/>
  <c r="Y11" i="5"/>
  <c r="S12" i="5"/>
  <c r="T12" i="5"/>
  <c r="U12" i="5"/>
  <c r="V12" i="5"/>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C10" i="16"/>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Q59" i="1" s="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G15" i="3" s="1" a="1"/>
  <c r="G15" i="3" s="1"/>
  <c r="K8" i="16" s="1"/>
  <c r="I45" i="2"/>
  <c r="I46" i="2"/>
  <c r="I47" i="2"/>
  <c r="A15" i="3" s="1" a="1"/>
  <c r="A15" i="3" s="1"/>
  <c r="K2" i="16" s="1"/>
  <c r="I48" i="2"/>
  <c r="I49" i="2"/>
  <c r="I50" i="2"/>
  <c r="I51" i="2"/>
  <c r="I52" i="2"/>
  <c r="I53" i="2"/>
  <c r="I54" i="2"/>
  <c r="I55" i="2"/>
  <c r="I56" i="2"/>
  <c r="I57" i="2"/>
  <c r="I58" i="2"/>
  <c r="I59" i="2"/>
  <c r="I60" i="2"/>
  <c r="I61" i="2"/>
  <c r="I3" i="2"/>
  <c r="K48" i="1"/>
  <c r="O48" i="1" s="1" a="1"/>
  <c r="O48" i="1" s="1"/>
  <c r="L48" i="1"/>
  <c r="P48" i="1" s="1" a="1"/>
  <c r="P48" i="1" s="1"/>
  <c r="K49" i="1"/>
  <c r="Q49" i="1" s="1"/>
  <c r="L49" i="1"/>
  <c r="P49" i="1" s="1" a="1"/>
  <c r="P49" i="1" s="1"/>
  <c r="L8" i="1"/>
  <c r="P8" i="1" s="1" a="1"/>
  <c r="P8" i="1" s="1"/>
  <c r="K8" i="1"/>
  <c r="J8" i="1"/>
  <c r="Q55" i="1" l="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H49" i="1" s="1"/>
  <c r="Q58" i="1"/>
  <c r="H58" i="1" s="1"/>
  <c r="O55" i="1" a="1"/>
  <c r="O55" i="1" s="1"/>
  <c r="H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54" i="1" l="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H40" i="1" s="1"/>
  <c r="O19" i="1" a="1"/>
  <c r="O19" i="1" s="1"/>
  <c r="Q19" i="1"/>
  <c r="Q11" i="1"/>
  <c r="O11" i="1" a="1"/>
  <c r="O11" i="1" s="1"/>
  <c r="H11" i="1" s="1"/>
  <c r="Q47" i="1"/>
  <c r="O47" i="1" a="1"/>
  <c r="O47" i="1" s="1"/>
  <c r="Q39" i="1"/>
  <c r="O39" i="1" a="1"/>
  <c r="O39" i="1" s="1"/>
  <c r="H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H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GL5" i="9" l="1"/>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<sst xmlns="http://schemas.openxmlformats.org/spreadsheetml/2006/main" count="785" uniqueCount="345">
  <si>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</si>
  <si>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</si>
  <si>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</si>
  <si>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</si>
  <si>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</si>
  <si>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</si>
  <si>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</si>
  <si>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</si>
  <si>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</si>
  <si>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</si>
  <si>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</si>
  <si>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</si>
  <si>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</si>
  <si>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</si>
  <si>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</si>
  <si>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</si>
  <si>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</si>
  <si>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</si>
  <si>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</si>
  <si>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</si>
  <si>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</si>
  <si>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</si>
  <si>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</si>
  <si>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</si>
  <si>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</si>
  <si>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</si>
  <si>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</si>
  <si>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</si>
  <si>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</si>
  <si>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</si>
  <si>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</si>
  <si>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</si>
  <si>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</si>
  <si>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</si>
  <si>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</si>
  <si>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</si>
  <si>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</si>
  <si>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</si>
  <si>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</si>
  <si>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</si>
  <si>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</si>
  <si>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</si>
  <si>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</si>
  <si>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</si>
  <si>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</si>
  <si>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</si>
  <si>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</si>
  <si>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</si>
  <si>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</si>
  <si>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</si>
  <si>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</si>
  <si>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</si>
  <si>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</si>
  <si>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</si>
  <si>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</si>
  <si>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</si>
  <si>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</si>
  <si>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</si>
  <si>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</si>
  <si>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</si>
  <si>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</si>
  <si>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</si>
  <si>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</si>
  <si>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</si>
  <si>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</si>
  <si>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</si>
  <si>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</si>
  <si>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</si>
  <si>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</si>
  <si>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</si>
  <si>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</si>
  <si>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</si>
  <si>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</si>
  <si>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</si>
  <si>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</si>
  <si>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</si>
  <si>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</si>
  <si>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</si>
  <si>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</si>
  <si>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</si>
  <si>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</si>
  <si>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</si>
  <si>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</si>
  <si>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</si>
  <si>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</si>
  <si>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</si>
  <si>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</si>
  <si>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</si>
  <si>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</si>
  <si>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</si>
  <si>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</si>
  <si>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</si>
  <si>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</si>
  <si>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</si>
  <si>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</si>
  <si>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</si>
  <si>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</si>
  <si>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</si>
  <si>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</si>
  <si>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</si>
  <si>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</si>
  <si>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</si>
  <si>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</si>
  <si>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</si>
  <si>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</si>
  <si>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</si>
  <si>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</si>
  <si>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</si>
  <si>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</si>
  <si>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</si>
  <si>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</si>
  <si>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</si>
  <si>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</si>
  <si>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</si>
  <si>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</si>
  <si>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</si>
  <si>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</si>
  <si>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</si>
  <si>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</si>
  <si>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</si>
  <si>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</si>
  <si>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</si>
  <si>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</si>
  <si>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</si>
  <si>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</si>
  <si>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</si>
  <si>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</si>
  <si>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</si>
  <si>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</si>
  <si>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</si>
  <si>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</si>
  <si>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</si>
  <si>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</si>
  <si>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</si>
  <si>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</si>
  <si>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</si>
  <si>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</si>
  <si>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</si>
  <si>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</si>
  <si>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</si>
  <si>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</si>
  <si>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</si>
  <si>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</si>
  <si>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</si>
  <si>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</si>
  <si>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</si>
  <si>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</si>
  <si>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</si>
  <si>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</si>
  <si>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</si>
  <si>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</si>
  <si>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</si>
  <si>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</si>
  <si>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</si>
  <si>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</si>
  <si>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</si>
  <si>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</si>
  <si>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</si>
  <si>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</si>
  <si>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</si>
  <si>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</si>
  <si>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</si>
  <si>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</si>
  <si>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</si>
  <si>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</si>
  <si>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</si>
  <si>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</si>
  <si>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</si>
  <si>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</si>
  <si>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</si>
  <si>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</si>
  <si>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</si>
  <si>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</si>
  <si>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</si>
  <si>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</si>
  <si>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</si>
  <si>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</si>
  <si>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</si>
  <si>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</si>
  <si>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</si>
  <si>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</si>
  <si>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</si>
  <si>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</si>
  <si>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</si>
  <si>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</si>
  <si>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</si>
  <si>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</si>
  <si>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</si>
  <si>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</si>
  <si>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</si>
  <si>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</si>
  <si>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</si>
  <si>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</si>
  <si>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</si>
  <si>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</si>
  <si>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</si>
  <si>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</si>
  <si>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</si>
  <si>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</si>
  <si>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</si>
  <si>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</si>
  <si>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</si>
  <si>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</si>
  <si>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</si>
  <si>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</si>
  <si>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</si>
  <si>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</si>
  <si>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</si>
  <si>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</si>
  <si>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</si>
  <si>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</si>
  <si>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</si>
  <si>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</si>
  <si>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</si>
  <si>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</si>
  <si>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</si>
  <si>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</si>
  <si>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</si>
  <si>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</si>
  <si>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</si>
  <si>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</si>
  <si>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</si>
  <si>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</si>
  <si>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</si>
  <si>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</si>
  <si>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</si>
  <si>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</si>
  <si>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</si>
  <si>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</si>
  <si>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</si>
  <si>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</si>
  <si>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</si>
  <si>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</si>
  <si>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</si>
  <si>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</si>
  <si>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</si>
  <si>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</si>
  <si>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</si>
  <si>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</si>
  <si>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</si>
  <si>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</si>
  <si>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</si>
  <si>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</si>
  <si>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</si>
  <si>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</si>
  <si>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</si>
  <si>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</si>
  <si>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</si>
  <si>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</si>
  <si>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</si>
  <si>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</si>
  <si>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</si>
  <si>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</si>
  <si>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</si>
  <si>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</si>
  <si>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</si>
  <si>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</si>
  <si>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</si>
  <si>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</si>
  <si>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</si>
  <si>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</si>
  <si>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</si>
  <si>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</si>
  <si>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</si>
  <si>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</si>
  <si>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</si>
  <si>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</si>
  <si>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</si>
  <si>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</si>
  <si>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</si>
  <si>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</si>
  <si>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</si>
  <si>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</si>
  <si>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</si>
  <si>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</si>
  <si>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</si>
  <si>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</si>
  <si>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</si>
  <si>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</si>
  <si>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</si>
  <si>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</si>
  <si>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</si>
  <si>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</si>
  <si>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</si>
  <si>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</si>
  <si>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</si>
  <si>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</si>
  <si>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</si>
  <si>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</si>
  <si>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</si>
  <si>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</si>
  <si>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</si>
  <si>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</si>
  <si>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</si>
  <si>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</si>
  <si>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</si>
  <si>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</si>
  <si>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</si>
  <si>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</si>
  <si>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</si>
  <si>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</si>
  <si>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</si>
  <si>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</si>
  <si>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</si>
  <si>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</si>
  <si>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</si>
  <si>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</si>
  <si>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</si>
  <si>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</si>
  <si>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</si>
  <si>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</si>
  <si>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</si>
  <si>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</si>
  <si>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</si>
  <si>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</si>
  <si>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</si>
  <si>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</si>
  <si>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</si>
  <si>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</si>
  <si>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</si>
  <si>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</si>
  <si>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</si>
  <si>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</si>
  <si>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</si>
  <si>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</si>
  <si>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</si>
  <si>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</si>
  <si>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</si>
  <si>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</si>
  <si>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</si>
  <si>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</si>
  <si>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</si>
  <si>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</si>
  <si>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</si>
  <si>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</si>
  <si>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</si>
  <si>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</si>
  <si>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</si>
  <si>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</si>
  <si>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</si>
  <si>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</si>
  <si>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</si>
  <si>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</si>
  <si>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 xml:space="preserve">JOHAN SVERDRUP RP </t>
  </si>
  <si>
    <t xml:space="preserve">STATFJORD 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</si>
</sst>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8">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zoomScale="108" zoomScaleNormal="108" workbookViewId="0">
      <selection activeCell="AB6" sqref="AB6"/>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v>3</v>
      </c>
      <c r="P3" s="2">
        <v>5</v>
      </c>
      <c r="Q3" s="2">
        <v>5</v>
      </c>
      <c r="R3" s="2">
        <v>5.2</v>
      </c>
      <c r="S3" s="2">
        <v>5.2</v>
      </c>
      <c r="T3" s="2">
        <v>5.4</v>
      </c>
      <c r="U3" s="2">
        <v>5.4</v>
      </c>
      <c r="V3" s="3">
        <v>5</v>
      </c>
      <c r="W3" s="3">
        <v>5</v>
      </c>
      <c r="X3" s="3">
        <v>0</v>
      </c>
      <c r="Y3" s="3">
        <v>0</v>
      </c>
      <c r="Z3" s="3">
        <v>0</v>
      </c>
      <c r="AA3" s="3">
        <f>M3</f>
        <v>10</v>
      </c>
      <c r="AB3" s="3">
        <v>0</v>
      </c>
      <c r="AC3" s="3">
        <f>O3</f>
        <v>3</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v>3</v>
      </c>
      <c r="P4" s="2">
        <v>5</v>
      </c>
      <c r="Q4" s="2">
        <v>5</v>
      </c>
      <c r="R4" s="2">
        <v>5.2</v>
      </c>
      <c r="S4" s="2">
        <v>5.2</v>
      </c>
      <c r="T4" s="2">
        <v>5.4</v>
      </c>
      <c r="U4" s="2">
        <v>5.4</v>
      </c>
      <c r="V4" s="3">
        <v>5</v>
      </c>
      <c r="W4" s="3">
        <v>5</v>
      </c>
      <c r="X4" s="3">
        <v>0</v>
      </c>
      <c r="Y4" s="3">
        <v>0</v>
      </c>
      <c r="Z4" s="3">
        <v>0</v>
      </c>
      <c r="AA4" s="3">
        <f t="shared" ref="AA4:AA61" si="1">M4</f>
        <v>10</v>
      </c>
      <c r="AB4" s="3">
        <v>0</v>
      </c>
      <c r="AC4" s="3">
        <f t="shared" ref="AC4:AC61" si="2">O4</f>
        <v>3</v>
      </c>
      <c r="AD4" s="3">
        <f t="shared" ref="AD4:AD61" si="3">P4</f>
        <v>5</v>
      </c>
      <c r="AE4" s="3">
        <f t="shared" ref="AE4:AE61" si="4">Q4</f>
        <v>5</v>
      </c>
      <c r="AF4" s="3">
        <f t="shared" ref="AF4:AF61" si="5">R4</f>
        <v>5.2</v>
      </c>
      <c r="AG4" s="3">
        <f t="shared" ref="AG4:AG61" si="6">S4</f>
        <v>5.2</v>
      </c>
      <c r="AH4" s="3">
        <f t="shared" ref="AH4:AH61" si="7">T4</f>
        <v>5.4</v>
      </c>
      <c r="AI4" s="3">
        <f t="shared" ref="AI4:AI61" si="8">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v>3</v>
      </c>
      <c r="P5" s="2">
        <v>5</v>
      </c>
      <c r="Q5" s="2">
        <v>5</v>
      </c>
      <c r="R5" s="2">
        <v>5.2</v>
      </c>
      <c r="S5" s="2">
        <v>5.2</v>
      </c>
      <c r="T5" s="2">
        <v>5.4</v>
      </c>
      <c r="U5" s="2">
        <v>5.4</v>
      </c>
      <c r="V5" s="3">
        <v>5</v>
      </c>
      <c r="W5" s="3">
        <v>5</v>
      </c>
      <c r="X5" s="3">
        <v>0</v>
      </c>
      <c r="Y5" s="3">
        <v>0</v>
      </c>
      <c r="Z5" s="3">
        <v>0</v>
      </c>
      <c r="AA5" s="3">
        <f t="shared" si="1"/>
        <v>10</v>
      </c>
      <c r="AB5" s="3">
        <v>0</v>
      </c>
      <c r="AC5" s="3">
        <f t="shared" si="2"/>
        <v>3</v>
      </c>
      <c r="AD5" s="3">
        <f t="shared" si="3"/>
        <v>5</v>
      </c>
      <c r="AE5" s="3">
        <f t="shared" si="4"/>
        <v>5</v>
      </c>
      <c r="AF5" s="3">
        <f t="shared" si="5"/>
        <v>5.2</v>
      </c>
      <c r="AG5" s="3">
        <f t="shared" si="6"/>
        <v>5.2</v>
      </c>
      <c r="AH5" s="3">
        <f t="shared" si="7"/>
        <v>5.4</v>
      </c>
      <c r="AI5" s="3">
        <f t="shared" si="8"/>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v>3</v>
      </c>
      <c r="P6" s="2">
        <v>5</v>
      </c>
      <c r="Q6" s="2">
        <v>5</v>
      </c>
      <c r="R6" s="2">
        <v>5.2</v>
      </c>
      <c r="S6" s="2">
        <v>5.2</v>
      </c>
      <c r="T6" s="2">
        <v>5.4</v>
      </c>
      <c r="U6" s="2">
        <v>5.4</v>
      </c>
      <c r="V6" s="3">
        <v>5</v>
      </c>
      <c r="W6" s="3">
        <v>5</v>
      </c>
      <c r="X6" s="3">
        <v>0</v>
      </c>
      <c r="Y6" s="3">
        <v>0</v>
      </c>
      <c r="Z6" s="3">
        <v>0</v>
      </c>
      <c r="AA6" s="3">
        <f t="shared" si="1"/>
        <v>10</v>
      </c>
      <c r="AB6" s="3">
        <v>0</v>
      </c>
      <c r="AC6" s="3">
        <f t="shared" si="2"/>
        <v>3</v>
      </c>
      <c r="AD6" s="3">
        <f t="shared" si="3"/>
        <v>5</v>
      </c>
      <c r="AE6" s="3">
        <f t="shared" si="4"/>
        <v>5</v>
      </c>
      <c r="AF6" s="3">
        <f t="shared" si="5"/>
        <v>5.2</v>
      </c>
      <c r="AG6" s="3">
        <f t="shared" si="6"/>
        <v>5.2</v>
      </c>
      <c r="AH6" s="3">
        <f t="shared" si="7"/>
        <v>5.4</v>
      </c>
      <c r="AI6" s="3">
        <f t="shared" si="8"/>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v>3</v>
      </c>
      <c r="P7" s="2">
        <v>5</v>
      </c>
      <c r="Q7" s="2">
        <v>5</v>
      </c>
      <c r="R7" s="2">
        <v>5.2</v>
      </c>
      <c r="S7" s="2">
        <v>5.2</v>
      </c>
      <c r="T7" s="2">
        <v>5.4</v>
      </c>
      <c r="U7" s="2">
        <v>5.4</v>
      </c>
      <c r="V7" s="3">
        <v>5</v>
      </c>
      <c r="W7" s="3">
        <v>5</v>
      </c>
      <c r="X7" s="3">
        <v>0</v>
      </c>
      <c r="Y7" s="3">
        <v>0</v>
      </c>
      <c r="Z7" s="3">
        <v>0</v>
      </c>
      <c r="AA7" s="3">
        <f t="shared" si="1"/>
        <v>10</v>
      </c>
      <c r="AB7" s="3">
        <v>0</v>
      </c>
      <c r="AC7" s="3">
        <f t="shared" si="2"/>
        <v>3</v>
      </c>
      <c r="AD7" s="3">
        <f t="shared" si="3"/>
        <v>5</v>
      </c>
      <c r="AE7" s="3">
        <f t="shared" si="4"/>
        <v>5</v>
      </c>
      <c r="AF7" s="3">
        <f t="shared" si="5"/>
        <v>5.2</v>
      </c>
      <c r="AG7" s="3">
        <f t="shared" si="6"/>
        <v>5.2</v>
      </c>
      <c r="AH7" s="3">
        <f t="shared" si="7"/>
        <v>5.4</v>
      </c>
      <c r="AI7" s="3">
        <f t="shared" si="8"/>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v>3</v>
      </c>
      <c r="P8" s="2">
        <v>5</v>
      </c>
      <c r="Q8" s="2">
        <v>5</v>
      </c>
      <c r="R8" s="2">
        <v>5.2</v>
      </c>
      <c r="S8" s="2">
        <v>5.2</v>
      </c>
      <c r="T8" s="2">
        <v>5.4</v>
      </c>
      <c r="U8" s="2">
        <v>5.4</v>
      </c>
      <c r="V8" s="3">
        <v>5</v>
      </c>
      <c r="W8" s="3">
        <v>5</v>
      </c>
      <c r="X8" s="3">
        <v>0</v>
      </c>
      <c r="Y8" s="3">
        <v>0</v>
      </c>
      <c r="Z8" s="3">
        <v>0</v>
      </c>
      <c r="AA8" s="3">
        <f t="shared" si="1"/>
        <v>10</v>
      </c>
      <c r="AB8" s="3">
        <v>0</v>
      </c>
      <c r="AC8" s="3">
        <f t="shared" si="2"/>
        <v>3</v>
      </c>
      <c r="AD8" s="3">
        <f t="shared" si="3"/>
        <v>5</v>
      </c>
      <c r="AE8" s="3">
        <f t="shared" si="4"/>
        <v>5</v>
      </c>
      <c r="AF8" s="3">
        <f t="shared" si="5"/>
        <v>5.2</v>
      </c>
      <c r="AG8" s="3">
        <f t="shared" si="6"/>
        <v>5.2</v>
      </c>
      <c r="AH8" s="3">
        <f t="shared" si="7"/>
        <v>5.4</v>
      </c>
      <c r="AI8" s="3">
        <f t="shared" si="8"/>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v>3</v>
      </c>
      <c r="P9" s="2">
        <v>5</v>
      </c>
      <c r="Q9" s="2">
        <v>5</v>
      </c>
      <c r="R9" s="2">
        <v>5.2</v>
      </c>
      <c r="S9" s="2">
        <v>5.2</v>
      </c>
      <c r="T9" s="2">
        <v>5.4</v>
      </c>
      <c r="U9" s="2">
        <v>5.4</v>
      </c>
      <c r="V9" s="3">
        <v>5</v>
      </c>
      <c r="W9" s="3">
        <v>5</v>
      </c>
      <c r="X9" s="3">
        <v>0</v>
      </c>
      <c r="Y9" s="3">
        <v>0</v>
      </c>
      <c r="Z9" s="3">
        <v>0</v>
      </c>
      <c r="AA9" s="3">
        <f t="shared" si="1"/>
        <v>10</v>
      </c>
      <c r="AB9" s="3">
        <v>0</v>
      </c>
      <c r="AC9" s="3">
        <f t="shared" si="2"/>
        <v>3</v>
      </c>
      <c r="AD9" s="3">
        <f t="shared" si="3"/>
        <v>5</v>
      </c>
      <c r="AE9" s="3">
        <f t="shared" si="4"/>
        <v>5</v>
      </c>
      <c r="AF9" s="3">
        <f t="shared" si="5"/>
        <v>5.2</v>
      </c>
      <c r="AG9" s="3">
        <f t="shared" si="6"/>
        <v>5.2</v>
      </c>
      <c r="AH9" s="3">
        <f t="shared" si="7"/>
        <v>5.4</v>
      </c>
      <c r="AI9" s="3">
        <f t="shared" si="8"/>
        <v>5.4</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v>100</v>
      </c>
      <c r="O10" s="2">
        <v>3</v>
      </c>
      <c r="P10" s="2">
        <v>5</v>
      </c>
      <c r="Q10" s="2">
        <v>5</v>
      </c>
      <c r="R10" s="2">
        <v>5.2</v>
      </c>
      <c r="S10" s="2">
        <v>5.2</v>
      </c>
      <c r="T10" s="2">
        <v>5.4</v>
      </c>
      <c r="U10" s="2">
        <v>5.4</v>
      </c>
      <c r="V10" s="3">
        <v>5</v>
      </c>
      <c r="W10" s="3">
        <v>5</v>
      </c>
      <c r="X10" s="3">
        <v>0</v>
      </c>
      <c r="Y10" s="3">
        <v>0</v>
      </c>
      <c r="Z10" s="3">
        <v>0</v>
      </c>
      <c r="AA10" s="3">
        <f t="shared" si="1"/>
        <v>10</v>
      </c>
      <c r="AB10" s="3">
        <v>0</v>
      </c>
      <c r="AC10" s="3">
        <f t="shared" si="2"/>
        <v>3</v>
      </c>
      <c r="AD10" s="3">
        <f t="shared" si="3"/>
        <v>5</v>
      </c>
      <c r="AE10" s="3">
        <f t="shared" si="4"/>
        <v>5</v>
      </c>
      <c r="AF10" s="3">
        <f t="shared" si="5"/>
        <v>5.2</v>
      </c>
      <c r="AG10" s="3">
        <f t="shared" si="6"/>
        <v>5.2</v>
      </c>
      <c r="AH10" s="3">
        <f t="shared" si="7"/>
        <v>5.4</v>
      </c>
      <c r="AI10" s="3">
        <f t="shared" si="8"/>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v>3</v>
      </c>
      <c r="P11" s="2">
        <v>5</v>
      </c>
      <c r="Q11" s="2">
        <v>5</v>
      </c>
      <c r="R11" s="2">
        <v>5.2</v>
      </c>
      <c r="S11" s="2">
        <v>5.2</v>
      </c>
      <c r="T11" s="2">
        <v>5.4</v>
      </c>
      <c r="U11" s="2">
        <v>5.4</v>
      </c>
      <c r="V11" s="3">
        <v>5</v>
      </c>
      <c r="W11" s="3">
        <v>5</v>
      </c>
      <c r="X11" s="3">
        <v>0</v>
      </c>
      <c r="Y11" s="3">
        <v>0</v>
      </c>
      <c r="Z11" s="3">
        <v>0</v>
      </c>
      <c r="AA11" s="3">
        <f t="shared" si="1"/>
        <v>10</v>
      </c>
      <c r="AB11" s="3">
        <v>0</v>
      </c>
      <c r="AC11" s="3">
        <f t="shared" si="2"/>
        <v>3</v>
      </c>
      <c r="AD11" s="3">
        <f t="shared" si="3"/>
        <v>5</v>
      </c>
      <c r="AE11" s="3">
        <f t="shared" si="4"/>
        <v>5</v>
      </c>
      <c r="AF11" s="3">
        <f t="shared" si="5"/>
        <v>5.2</v>
      </c>
      <c r="AG11" s="3">
        <f t="shared" si="6"/>
        <v>5.2</v>
      </c>
      <c r="AH11" s="3">
        <f t="shared" si="7"/>
        <v>5.4</v>
      </c>
      <c r="AI11" s="3">
        <f t="shared" si="8"/>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v>3</v>
      </c>
      <c r="P12" s="2">
        <v>5</v>
      </c>
      <c r="Q12" s="2">
        <v>5</v>
      </c>
      <c r="R12" s="2">
        <v>5.2</v>
      </c>
      <c r="S12" s="2">
        <v>5.2</v>
      </c>
      <c r="T12" s="2">
        <v>5.4</v>
      </c>
      <c r="U12" s="2">
        <v>5.4</v>
      </c>
      <c r="V12" s="3">
        <v>5</v>
      </c>
      <c r="W12" s="3">
        <v>5</v>
      </c>
      <c r="X12" s="3">
        <v>0</v>
      </c>
      <c r="Y12" s="3">
        <v>0</v>
      </c>
      <c r="Z12" s="3">
        <v>0</v>
      </c>
      <c r="AA12" s="3">
        <f t="shared" si="1"/>
        <v>10</v>
      </c>
      <c r="AB12" s="3">
        <v>0</v>
      </c>
      <c r="AC12" s="3">
        <f t="shared" si="2"/>
        <v>3</v>
      </c>
      <c r="AD12" s="3">
        <f t="shared" si="3"/>
        <v>5</v>
      </c>
      <c r="AE12" s="3">
        <f t="shared" si="4"/>
        <v>5</v>
      </c>
      <c r="AF12" s="3">
        <f t="shared" si="5"/>
        <v>5.2</v>
      </c>
      <c r="AG12" s="3">
        <f t="shared" si="6"/>
        <v>5.2</v>
      </c>
      <c r="AH12" s="3">
        <f t="shared" si="7"/>
        <v>5.4</v>
      </c>
      <c r="AI12" s="3">
        <f t="shared" si="8"/>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v>3</v>
      </c>
      <c r="P13" s="2">
        <v>5</v>
      </c>
      <c r="Q13" s="2">
        <v>5</v>
      </c>
      <c r="R13" s="2">
        <v>5.2</v>
      </c>
      <c r="S13" s="2">
        <v>5.2</v>
      </c>
      <c r="T13" s="2">
        <v>5.4</v>
      </c>
      <c r="U13" s="2">
        <v>5.4</v>
      </c>
      <c r="V13" s="3">
        <v>5</v>
      </c>
      <c r="W13" s="3">
        <v>5</v>
      </c>
      <c r="X13" s="3">
        <v>0</v>
      </c>
      <c r="Y13" s="3">
        <v>0</v>
      </c>
      <c r="Z13" s="3">
        <v>0</v>
      </c>
      <c r="AA13" s="3">
        <f t="shared" si="1"/>
        <v>10</v>
      </c>
      <c r="AB13" s="3">
        <v>0</v>
      </c>
      <c r="AC13" s="3">
        <f t="shared" si="2"/>
        <v>3</v>
      </c>
      <c r="AD13" s="3">
        <f t="shared" si="3"/>
        <v>5</v>
      </c>
      <c r="AE13" s="3">
        <f t="shared" si="4"/>
        <v>5</v>
      </c>
      <c r="AF13" s="3">
        <f t="shared" si="5"/>
        <v>5.2</v>
      </c>
      <c r="AG13" s="3">
        <f t="shared" si="6"/>
        <v>5.2</v>
      </c>
      <c r="AH13" s="3">
        <f t="shared" si="7"/>
        <v>5.4</v>
      </c>
      <c r="AI13" s="3">
        <f t="shared" si="8"/>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v>3</v>
      </c>
      <c r="P14" s="2">
        <v>5</v>
      </c>
      <c r="Q14" s="2">
        <v>5</v>
      </c>
      <c r="R14" s="2">
        <v>5.2</v>
      </c>
      <c r="S14" s="2">
        <v>5.2</v>
      </c>
      <c r="T14" s="2">
        <v>5.4</v>
      </c>
      <c r="U14" s="2">
        <v>5.4</v>
      </c>
      <c r="V14" s="3">
        <v>5</v>
      </c>
      <c r="W14" s="3">
        <v>5</v>
      </c>
      <c r="X14" s="3">
        <v>0</v>
      </c>
      <c r="Y14" s="3">
        <v>0</v>
      </c>
      <c r="Z14" s="3">
        <v>0</v>
      </c>
      <c r="AA14" s="3">
        <f t="shared" si="1"/>
        <v>10</v>
      </c>
      <c r="AB14" s="3">
        <v>0</v>
      </c>
      <c r="AC14" s="3">
        <f t="shared" si="2"/>
        <v>3</v>
      </c>
      <c r="AD14" s="3">
        <f t="shared" si="3"/>
        <v>5</v>
      </c>
      <c r="AE14" s="3">
        <f t="shared" si="4"/>
        <v>5</v>
      </c>
      <c r="AF14" s="3">
        <f t="shared" si="5"/>
        <v>5.2</v>
      </c>
      <c r="AG14" s="3">
        <f t="shared" si="6"/>
        <v>5.2</v>
      </c>
      <c r="AH14" s="3">
        <f t="shared" si="7"/>
        <v>5.4</v>
      </c>
      <c r="AI14" s="3">
        <f t="shared" si="8"/>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v>3</v>
      </c>
      <c r="P15" s="2">
        <v>5</v>
      </c>
      <c r="Q15" s="2">
        <v>5</v>
      </c>
      <c r="R15" s="2">
        <v>5.2</v>
      </c>
      <c r="S15" s="2">
        <v>5.2</v>
      </c>
      <c r="T15" s="2">
        <v>5.4</v>
      </c>
      <c r="U15" s="2">
        <v>5.4</v>
      </c>
      <c r="V15" s="3">
        <v>5</v>
      </c>
      <c r="W15" s="3">
        <v>5</v>
      </c>
      <c r="X15" s="3">
        <v>0</v>
      </c>
      <c r="Y15" s="3">
        <v>0</v>
      </c>
      <c r="Z15" s="3">
        <v>0</v>
      </c>
      <c r="AA15" s="3">
        <f t="shared" si="1"/>
        <v>10</v>
      </c>
      <c r="AB15" s="3">
        <v>0</v>
      </c>
      <c r="AC15" s="3">
        <f t="shared" si="2"/>
        <v>3</v>
      </c>
      <c r="AD15" s="3">
        <f t="shared" si="3"/>
        <v>5</v>
      </c>
      <c r="AE15" s="3">
        <f t="shared" si="4"/>
        <v>5</v>
      </c>
      <c r="AF15" s="3">
        <f t="shared" si="5"/>
        <v>5.2</v>
      </c>
      <c r="AG15" s="3">
        <f t="shared" si="6"/>
        <v>5.2</v>
      </c>
      <c r="AH15" s="3">
        <f t="shared" si="7"/>
        <v>5.4</v>
      </c>
      <c r="AI15" s="3">
        <f t="shared" si="8"/>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v>3</v>
      </c>
      <c r="P16" s="2">
        <v>5</v>
      </c>
      <c r="Q16" s="2">
        <v>5</v>
      </c>
      <c r="R16" s="2">
        <v>5.2</v>
      </c>
      <c r="S16" s="2">
        <v>5.2</v>
      </c>
      <c r="T16" s="2">
        <v>5.4</v>
      </c>
      <c r="U16" s="2">
        <v>5.4</v>
      </c>
      <c r="V16" s="3">
        <v>5</v>
      </c>
      <c r="W16" s="3">
        <v>5</v>
      </c>
      <c r="X16" s="3">
        <v>0</v>
      </c>
      <c r="Y16" s="3">
        <v>0</v>
      </c>
      <c r="Z16" s="3">
        <v>0</v>
      </c>
      <c r="AA16" s="3">
        <f t="shared" si="1"/>
        <v>10</v>
      </c>
      <c r="AB16" s="3">
        <v>0</v>
      </c>
      <c r="AC16" s="3">
        <f t="shared" si="2"/>
        <v>3</v>
      </c>
      <c r="AD16" s="3">
        <f t="shared" si="3"/>
        <v>5</v>
      </c>
      <c r="AE16" s="3">
        <f t="shared" si="4"/>
        <v>5</v>
      </c>
      <c r="AF16" s="3">
        <f t="shared" si="5"/>
        <v>5.2</v>
      </c>
      <c r="AG16" s="3">
        <f t="shared" si="6"/>
        <v>5.2</v>
      </c>
      <c r="AH16" s="3">
        <f t="shared" si="7"/>
        <v>5.4</v>
      </c>
      <c r="AI16" s="3">
        <f t="shared" si="8"/>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v>3</v>
      </c>
      <c r="P17" s="2">
        <v>5</v>
      </c>
      <c r="Q17" s="2">
        <v>5</v>
      </c>
      <c r="R17" s="2">
        <v>5.2</v>
      </c>
      <c r="S17" s="2">
        <v>5.2</v>
      </c>
      <c r="T17" s="2">
        <v>5.4</v>
      </c>
      <c r="U17" s="2">
        <v>5.4</v>
      </c>
      <c r="V17" s="3">
        <v>5</v>
      </c>
      <c r="W17" s="3">
        <v>5</v>
      </c>
      <c r="X17" s="3">
        <v>0</v>
      </c>
      <c r="Y17" s="3">
        <v>0</v>
      </c>
      <c r="Z17" s="3">
        <v>0</v>
      </c>
      <c r="AA17" s="3">
        <f t="shared" si="1"/>
        <v>10</v>
      </c>
      <c r="AB17" s="3">
        <v>0</v>
      </c>
      <c r="AC17" s="3">
        <f t="shared" si="2"/>
        <v>3</v>
      </c>
      <c r="AD17" s="3">
        <f t="shared" si="3"/>
        <v>5</v>
      </c>
      <c r="AE17" s="3">
        <f t="shared" si="4"/>
        <v>5</v>
      </c>
      <c r="AF17" s="3">
        <f t="shared" si="5"/>
        <v>5.2</v>
      </c>
      <c r="AG17" s="3">
        <f t="shared" si="6"/>
        <v>5.2</v>
      </c>
      <c r="AH17" s="3">
        <f t="shared" si="7"/>
        <v>5.4</v>
      </c>
      <c r="AI17" s="3">
        <f t="shared" si="8"/>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v>3</v>
      </c>
      <c r="P18" s="2">
        <v>5</v>
      </c>
      <c r="Q18" s="2">
        <v>5</v>
      </c>
      <c r="R18" s="2">
        <v>5.2</v>
      </c>
      <c r="S18" s="2">
        <v>5.2</v>
      </c>
      <c r="T18" s="2">
        <v>5.4</v>
      </c>
      <c r="U18" s="2">
        <v>5.4</v>
      </c>
      <c r="V18" s="3">
        <v>5</v>
      </c>
      <c r="W18" s="3">
        <v>5</v>
      </c>
      <c r="X18" s="3">
        <v>0</v>
      </c>
      <c r="Y18" s="3">
        <v>0</v>
      </c>
      <c r="Z18" s="3">
        <v>0</v>
      </c>
      <c r="AA18" s="3">
        <f t="shared" si="1"/>
        <v>10</v>
      </c>
      <c r="AB18" s="3">
        <v>0</v>
      </c>
      <c r="AC18" s="3">
        <f t="shared" si="2"/>
        <v>3</v>
      </c>
      <c r="AD18" s="3">
        <f t="shared" si="3"/>
        <v>5</v>
      </c>
      <c r="AE18" s="3">
        <f t="shared" si="4"/>
        <v>5</v>
      </c>
      <c r="AF18" s="3">
        <f t="shared" si="5"/>
        <v>5.2</v>
      </c>
      <c r="AG18" s="3">
        <f t="shared" si="6"/>
        <v>5.2</v>
      </c>
      <c r="AH18" s="3">
        <f t="shared" si="7"/>
        <v>5.4</v>
      </c>
      <c r="AI18" s="3">
        <f t="shared" si="8"/>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v>2.9990000000000001</v>
      </c>
      <c r="P19" s="2">
        <v>5</v>
      </c>
      <c r="Q19" s="2">
        <v>5</v>
      </c>
      <c r="R19" s="2">
        <v>5.2</v>
      </c>
      <c r="S19" s="2">
        <v>5.2</v>
      </c>
      <c r="T19" s="2">
        <v>5.4</v>
      </c>
      <c r="U19" s="2">
        <v>5.4</v>
      </c>
      <c r="V19" s="3">
        <v>5</v>
      </c>
      <c r="W19" s="3">
        <v>5</v>
      </c>
      <c r="X19" s="3">
        <v>0</v>
      </c>
      <c r="Y19" s="3">
        <v>0</v>
      </c>
      <c r="Z19" s="3">
        <v>0</v>
      </c>
      <c r="AA19" s="3">
        <f t="shared" si="1"/>
        <v>10</v>
      </c>
      <c r="AB19" s="3">
        <v>0</v>
      </c>
      <c r="AC19" s="3">
        <f t="shared" si="2"/>
        <v>2.9990000000000001</v>
      </c>
      <c r="AD19" s="3">
        <f t="shared" si="3"/>
        <v>5</v>
      </c>
      <c r="AE19" s="3">
        <f t="shared" si="4"/>
        <v>5</v>
      </c>
      <c r="AF19" s="3">
        <f t="shared" si="5"/>
        <v>5.2</v>
      </c>
      <c r="AG19" s="3">
        <f t="shared" si="6"/>
        <v>5.2</v>
      </c>
      <c r="AH19" s="3">
        <f t="shared" si="7"/>
        <v>5.4</v>
      </c>
      <c r="AI19" s="3">
        <f t="shared" si="8"/>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v>2.9990000000000001</v>
      </c>
      <c r="P20" s="2">
        <v>5</v>
      </c>
      <c r="Q20" s="2">
        <v>5</v>
      </c>
      <c r="R20" s="2">
        <v>5.2</v>
      </c>
      <c r="S20" s="2">
        <v>5.2</v>
      </c>
      <c r="T20" s="2">
        <v>5.4</v>
      </c>
      <c r="U20" s="2">
        <v>5.4</v>
      </c>
      <c r="V20" s="3">
        <v>5</v>
      </c>
      <c r="W20" s="3">
        <v>5</v>
      </c>
      <c r="X20" s="3">
        <v>0</v>
      </c>
      <c r="Y20" s="3">
        <v>0</v>
      </c>
      <c r="Z20" s="3">
        <v>0</v>
      </c>
      <c r="AA20" s="3">
        <f t="shared" si="1"/>
        <v>10</v>
      </c>
      <c r="AB20" s="3">
        <v>0</v>
      </c>
      <c r="AC20" s="3">
        <f t="shared" si="2"/>
        <v>2.9990000000000001</v>
      </c>
      <c r="AD20" s="3">
        <f t="shared" si="3"/>
        <v>5</v>
      </c>
      <c r="AE20" s="3">
        <f t="shared" si="4"/>
        <v>5</v>
      </c>
      <c r="AF20" s="3">
        <f t="shared" si="5"/>
        <v>5.2</v>
      </c>
      <c r="AG20" s="3">
        <f t="shared" si="6"/>
        <v>5.2</v>
      </c>
      <c r="AH20" s="3">
        <f t="shared" si="7"/>
        <v>5.4</v>
      </c>
      <c r="AI20" s="3">
        <f t="shared" si="8"/>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v>3</v>
      </c>
      <c r="P21" s="2">
        <v>5</v>
      </c>
      <c r="Q21" s="2">
        <v>5</v>
      </c>
      <c r="R21" s="2">
        <v>5.2</v>
      </c>
      <c r="S21" s="2">
        <v>5.2</v>
      </c>
      <c r="T21" s="2">
        <v>5.4</v>
      </c>
      <c r="U21" s="2">
        <v>5.4</v>
      </c>
      <c r="V21" s="3">
        <v>5</v>
      </c>
      <c r="W21" s="3">
        <v>5</v>
      </c>
      <c r="X21" s="3">
        <v>0</v>
      </c>
      <c r="Y21" s="3">
        <v>0</v>
      </c>
      <c r="Z21" s="3">
        <v>0</v>
      </c>
      <c r="AA21" s="3">
        <f t="shared" si="1"/>
        <v>10</v>
      </c>
      <c r="AB21" s="3">
        <v>0</v>
      </c>
      <c r="AC21" s="3">
        <f t="shared" si="2"/>
        <v>3</v>
      </c>
      <c r="AD21" s="3">
        <f t="shared" si="3"/>
        <v>5</v>
      </c>
      <c r="AE21" s="3">
        <f t="shared" si="4"/>
        <v>5</v>
      </c>
      <c r="AF21" s="3">
        <f t="shared" si="5"/>
        <v>5.2</v>
      </c>
      <c r="AG21" s="3">
        <f t="shared" si="6"/>
        <v>5.2</v>
      </c>
      <c r="AH21" s="3">
        <f t="shared" si="7"/>
        <v>5.4</v>
      </c>
      <c r="AI21" s="3">
        <f t="shared" si="8"/>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v>3</v>
      </c>
      <c r="P22" s="2">
        <v>5</v>
      </c>
      <c r="Q22" s="2">
        <v>5</v>
      </c>
      <c r="R22" s="2">
        <v>5.2</v>
      </c>
      <c r="S22" s="2">
        <v>5.2</v>
      </c>
      <c r="T22" s="2">
        <v>5.4</v>
      </c>
      <c r="U22" s="2">
        <v>5.4</v>
      </c>
      <c r="V22" s="3">
        <v>5</v>
      </c>
      <c r="W22" s="3">
        <v>5</v>
      </c>
      <c r="X22" s="3">
        <v>0</v>
      </c>
      <c r="Y22" s="3">
        <v>0</v>
      </c>
      <c r="Z22" s="3">
        <v>0</v>
      </c>
      <c r="AA22" s="3">
        <f t="shared" si="1"/>
        <v>10</v>
      </c>
      <c r="AB22" s="3">
        <v>0</v>
      </c>
      <c r="AC22" s="3">
        <f t="shared" si="2"/>
        <v>3</v>
      </c>
      <c r="AD22" s="3">
        <f t="shared" si="3"/>
        <v>5</v>
      </c>
      <c r="AE22" s="3">
        <f t="shared" si="4"/>
        <v>5</v>
      </c>
      <c r="AF22" s="3">
        <f t="shared" si="5"/>
        <v>5.2</v>
      </c>
      <c r="AG22" s="3">
        <f t="shared" si="6"/>
        <v>5.2</v>
      </c>
      <c r="AH22" s="3">
        <f t="shared" si="7"/>
        <v>5.4</v>
      </c>
      <c r="AI22" s="3">
        <f t="shared" si="8"/>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v>2.9990000000000001</v>
      </c>
      <c r="P23" s="2">
        <v>5</v>
      </c>
      <c r="Q23" s="2">
        <v>5</v>
      </c>
      <c r="R23" s="2">
        <v>5.2</v>
      </c>
      <c r="S23" s="2">
        <v>5.2</v>
      </c>
      <c r="T23" s="2">
        <v>5.4</v>
      </c>
      <c r="U23" s="2">
        <v>5.4</v>
      </c>
      <c r="V23" s="3">
        <v>5</v>
      </c>
      <c r="W23" s="3">
        <v>5</v>
      </c>
      <c r="X23" s="3">
        <v>0</v>
      </c>
      <c r="Y23" s="3">
        <v>0</v>
      </c>
      <c r="Z23" s="3">
        <v>0</v>
      </c>
      <c r="AA23" s="3">
        <f t="shared" si="1"/>
        <v>10</v>
      </c>
      <c r="AB23" s="3">
        <v>0</v>
      </c>
      <c r="AC23" s="3">
        <f t="shared" si="2"/>
        <v>2.9990000000000001</v>
      </c>
      <c r="AD23" s="3">
        <f t="shared" si="3"/>
        <v>5</v>
      </c>
      <c r="AE23" s="3">
        <f t="shared" si="4"/>
        <v>5</v>
      </c>
      <c r="AF23" s="3">
        <f t="shared" si="5"/>
        <v>5.2</v>
      </c>
      <c r="AG23" s="3">
        <f t="shared" si="6"/>
        <v>5.2</v>
      </c>
      <c r="AH23" s="3">
        <f t="shared" si="7"/>
        <v>5.4</v>
      </c>
      <c r="AI23" s="3">
        <f t="shared" si="8"/>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v>2.9990000000000001</v>
      </c>
      <c r="P24" s="2">
        <v>5</v>
      </c>
      <c r="Q24" s="2">
        <v>5</v>
      </c>
      <c r="R24" s="2">
        <v>5.2</v>
      </c>
      <c r="S24" s="2">
        <v>5.2</v>
      </c>
      <c r="T24" s="2">
        <v>5.4</v>
      </c>
      <c r="U24" s="2">
        <v>5.4</v>
      </c>
      <c r="V24" s="3">
        <v>5</v>
      </c>
      <c r="W24" s="3">
        <v>5</v>
      </c>
      <c r="X24" s="3">
        <v>0</v>
      </c>
      <c r="Y24" s="3">
        <v>0</v>
      </c>
      <c r="Z24" s="3">
        <v>0</v>
      </c>
      <c r="AA24" s="3">
        <f t="shared" si="1"/>
        <v>10</v>
      </c>
      <c r="AB24" s="3">
        <v>0</v>
      </c>
      <c r="AC24" s="3">
        <f t="shared" si="2"/>
        <v>2.9990000000000001</v>
      </c>
      <c r="AD24" s="3">
        <f t="shared" si="3"/>
        <v>5</v>
      </c>
      <c r="AE24" s="3">
        <f t="shared" si="4"/>
        <v>5</v>
      </c>
      <c r="AF24" s="3">
        <f t="shared" si="5"/>
        <v>5.2</v>
      </c>
      <c r="AG24" s="3">
        <f t="shared" si="6"/>
        <v>5.2</v>
      </c>
      <c r="AH24" s="3">
        <f t="shared" si="7"/>
        <v>5.4</v>
      </c>
      <c r="AI24" s="3">
        <f t="shared" si="8"/>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v>3</v>
      </c>
      <c r="P25" s="2">
        <v>5</v>
      </c>
      <c r="Q25" s="2">
        <v>5</v>
      </c>
      <c r="R25" s="2">
        <v>5.2</v>
      </c>
      <c r="S25" s="2">
        <v>5.2</v>
      </c>
      <c r="T25" s="2">
        <v>5.4</v>
      </c>
      <c r="U25" s="2">
        <v>5.4</v>
      </c>
      <c r="V25" s="3">
        <v>5</v>
      </c>
      <c r="W25" s="3">
        <v>5</v>
      </c>
      <c r="X25" s="3">
        <v>0</v>
      </c>
      <c r="Y25" s="3">
        <v>0</v>
      </c>
      <c r="Z25" s="3">
        <v>0</v>
      </c>
      <c r="AA25" s="3">
        <f t="shared" si="1"/>
        <v>10</v>
      </c>
      <c r="AB25" s="3">
        <v>0</v>
      </c>
      <c r="AC25" s="3">
        <f t="shared" si="2"/>
        <v>3</v>
      </c>
      <c r="AD25" s="3">
        <f t="shared" si="3"/>
        <v>5</v>
      </c>
      <c r="AE25" s="3">
        <f t="shared" si="4"/>
        <v>5</v>
      </c>
      <c r="AF25" s="3">
        <f t="shared" si="5"/>
        <v>5.2</v>
      </c>
      <c r="AG25" s="3">
        <f t="shared" si="6"/>
        <v>5.2</v>
      </c>
      <c r="AH25" s="3">
        <f t="shared" si="7"/>
        <v>5.4</v>
      </c>
      <c r="AI25" s="3">
        <f t="shared" si="8"/>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v>3</v>
      </c>
      <c r="P26" s="2">
        <v>5</v>
      </c>
      <c r="Q26" s="2">
        <v>5</v>
      </c>
      <c r="R26" s="2">
        <v>5.2</v>
      </c>
      <c r="S26" s="2">
        <v>5.2</v>
      </c>
      <c r="T26" s="2">
        <v>5.4</v>
      </c>
      <c r="U26" s="2">
        <v>5.4</v>
      </c>
      <c r="V26" s="3">
        <v>5</v>
      </c>
      <c r="W26" s="3">
        <v>5</v>
      </c>
      <c r="X26" s="3">
        <v>0</v>
      </c>
      <c r="Y26" s="3">
        <v>0</v>
      </c>
      <c r="Z26" s="3">
        <v>0</v>
      </c>
      <c r="AA26" s="3">
        <f t="shared" si="1"/>
        <v>10</v>
      </c>
      <c r="AB26" s="3">
        <v>0</v>
      </c>
      <c r="AC26" s="3">
        <f t="shared" si="2"/>
        <v>3</v>
      </c>
      <c r="AD26" s="3">
        <f t="shared" si="3"/>
        <v>5</v>
      </c>
      <c r="AE26" s="3">
        <f t="shared" si="4"/>
        <v>5</v>
      </c>
      <c r="AF26" s="3">
        <f t="shared" si="5"/>
        <v>5.2</v>
      </c>
      <c r="AG26" s="3">
        <f t="shared" si="6"/>
        <v>5.2</v>
      </c>
      <c r="AH26" s="3">
        <f t="shared" si="7"/>
        <v>5.4</v>
      </c>
      <c r="AI26" s="3">
        <f t="shared" si="8"/>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v>3</v>
      </c>
      <c r="P27" s="2">
        <v>5</v>
      </c>
      <c r="Q27" s="2">
        <v>5</v>
      </c>
      <c r="R27" s="2">
        <v>5.2</v>
      </c>
      <c r="S27" s="2">
        <v>5.2</v>
      </c>
      <c r="T27" s="2">
        <v>5.4</v>
      </c>
      <c r="U27" s="2">
        <v>5.4</v>
      </c>
      <c r="V27" s="3">
        <v>5</v>
      </c>
      <c r="W27" s="3">
        <v>5</v>
      </c>
      <c r="X27" s="3">
        <v>0</v>
      </c>
      <c r="Y27" s="3">
        <v>0</v>
      </c>
      <c r="Z27" s="3">
        <v>0</v>
      </c>
      <c r="AA27" s="3">
        <f t="shared" si="1"/>
        <v>10</v>
      </c>
      <c r="AB27" s="3">
        <v>0</v>
      </c>
      <c r="AC27" s="3">
        <f t="shared" si="2"/>
        <v>3</v>
      </c>
      <c r="AD27" s="3">
        <f t="shared" si="3"/>
        <v>5</v>
      </c>
      <c r="AE27" s="3">
        <f t="shared" si="4"/>
        <v>5</v>
      </c>
      <c r="AF27" s="3">
        <f t="shared" si="5"/>
        <v>5.2</v>
      </c>
      <c r="AG27" s="3">
        <f t="shared" si="6"/>
        <v>5.2</v>
      </c>
      <c r="AH27" s="3">
        <f t="shared" si="7"/>
        <v>5.4</v>
      </c>
      <c r="AI27" s="3">
        <f t="shared" si="8"/>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v>3</v>
      </c>
      <c r="P28" s="2">
        <v>5</v>
      </c>
      <c r="Q28" s="2">
        <v>5</v>
      </c>
      <c r="R28" s="2">
        <v>5.2</v>
      </c>
      <c r="S28" s="2">
        <v>5.2</v>
      </c>
      <c r="T28" s="2">
        <v>5.4</v>
      </c>
      <c r="U28" s="2">
        <v>5.4</v>
      </c>
      <c r="V28" s="3">
        <v>5</v>
      </c>
      <c r="W28" s="3">
        <v>5</v>
      </c>
      <c r="X28" s="3">
        <v>0</v>
      </c>
      <c r="Y28" s="3">
        <v>0</v>
      </c>
      <c r="Z28" s="3">
        <v>0</v>
      </c>
      <c r="AA28" s="3">
        <f t="shared" si="1"/>
        <v>10</v>
      </c>
      <c r="AB28" s="3">
        <v>0</v>
      </c>
      <c r="AC28" s="3">
        <f t="shared" si="2"/>
        <v>3</v>
      </c>
      <c r="AD28" s="3">
        <f t="shared" si="3"/>
        <v>5</v>
      </c>
      <c r="AE28" s="3">
        <f t="shared" si="4"/>
        <v>5</v>
      </c>
      <c r="AF28" s="3">
        <f t="shared" si="5"/>
        <v>5.2</v>
      </c>
      <c r="AG28" s="3">
        <f t="shared" si="6"/>
        <v>5.2</v>
      </c>
      <c r="AH28" s="3">
        <f t="shared" si="7"/>
        <v>5.4</v>
      </c>
      <c r="AI28" s="3">
        <f t="shared" si="8"/>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v>3</v>
      </c>
      <c r="P29" s="2">
        <v>5</v>
      </c>
      <c r="Q29" s="2">
        <v>5</v>
      </c>
      <c r="R29" s="2">
        <v>5.2</v>
      </c>
      <c r="S29" s="2">
        <v>5.2</v>
      </c>
      <c r="T29" s="2">
        <v>5.4</v>
      </c>
      <c r="U29" s="2">
        <v>5.4</v>
      </c>
      <c r="V29" s="3">
        <v>5</v>
      </c>
      <c r="W29" s="3">
        <v>5</v>
      </c>
      <c r="X29" s="3">
        <v>0</v>
      </c>
      <c r="Y29" s="3">
        <v>0</v>
      </c>
      <c r="Z29" s="3">
        <v>0</v>
      </c>
      <c r="AA29" s="3">
        <f t="shared" si="1"/>
        <v>10</v>
      </c>
      <c r="AB29" s="3">
        <v>0</v>
      </c>
      <c r="AC29" s="3">
        <f t="shared" si="2"/>
        <v>3</v>
      </c>
      <c r="AD29" s="3">
        <f t="shared" si="3"/>
        <v>5</v>
      </c>
      <c r="AE29" s="3">
        <f t="shared" si="4"/>
        <v>5</v>
      </c>
      <c r="AF29" s="3">
        <f t="shared" si="5"/>
        <v>5.2</v>
      </c>
      <c r="AG29" s="3">
        <f t="shared" si="6"/>
        <v>5.2</v>
      </c>
      <c r="AH29" s="3">
        <f t="shared" si="7"/>
        <v>5.4</v>
      </c>
      <c r="AI29" s="3">
        <f t="shared" si="8"/>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v>3</v>
      </c>
      <c r="P30" s="2">
        <v>5</v>
      </c>
      <c r="Q30" s="2">
        <v>5</v>
      </c>
      <c r="R30" s="2">
        <v>5.2</v>
      </c>
      <c r="S30" s="2">
        <v>5.2</v>
      </c>
      <c r="T30" s="2">
        <v>5.4</v>
      </c>
      <c r="U30" s="2">
        <v>5.4</v>
      </c>
      <c r="V30" s="3">
        <v>5</v>
      </c>
      <c r="W30" s="3">
        <v>5</v>
      </c>
      <c r="X30" s="3">
        <v>0</v>
      </c>
      <c r="Y30" s="3">
        <v>0</v>
      </c>
      <c r="Z30" s="3">
        <v>0</v>
      </c>
      <c r="AA30" s="3">
        <f t="shared" si="1"/>
        <v>10</v>
      </c>
      <c r="AB30" s="3">
        <v>0</v>
      </c>
      <c r="AC30" s="3">
        <f t="shared" si="2"/>
        <v>3</v>
      </c>
      <c r="AD30" s="3">
        <f t="shared" si="3"/>
        <v>5</v>
      </c>
      <c r="AE30" s="3">
        <f t="shared" si="4"/>
        <v>5</v>
      </c>
      <c r="AF30" s="3">
        <f t="shared" si="5"/>
        <v>5.2</v>
      </c>
      <c r="AG30" s="3">
        <f t="shared" si="6"/>
        <v>5.2</v>
      </c>
      <c r="AH30" s="3">
        <f t="shared" si="7"/>
        <v>5.4</v>
      </c>
      <c r="AI30" s="3">
        <f t="shared" si="8"/>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v>3</v>
      </c>
      <c r="P31" s="2">
        <v>5</v>
      </c>
      <c r="Q31" s="2">
        <v>5</v>
      </c>
      <c r="R31" s="2">
        <v>5.2</v>
      </c>
      <c r="S31" s="2">
        <v>5.2</v>
      </c>
      <c r="T31" s="2">
        <v>5.4</v>
      </c>
      <c r="U31" s="2">
        <v>5.4</v>
      </c>
      <c r="V31" s="3">
        <v>5</v>
      </c>
      <c r="W31" s="3">
        <v>5</v>
      </c>
      <c r="X31" s="3">
        <v>0</v>
      </c>
      <c r="Y31" s="3">
        <v>0</v>
      </c>
      <c r="Z31" s="3">
        <v>0</v>
      </c>
      <c r="AA31" s="3">
        <f t="shared" si="1"/>
        <v>10</v>
      </c>
      <c r="AB31" s="3">
        <v>0</v>
      </c>
      <c r="AC31" s="3">
        <f t="shared" si="2"/>
        <v>3</v>
      </c>
      <c r="AD31" s="3">
        <f t="shared" si="3"/>
        <v>5</v>
      </c>
      <c r="AE31" s="3">
        <f t="shared" si="4"/>
        <v>5</v>
      </c>
      <c r="AF31" s="3">
        <f t="shared" si="5"/>
        <v>5.2</v>
      </c>
      <c r="AG31" s="3">
        <f t="shared" si="6"/>
        <v>5.2</v>
      </c>
      <c r="AH31" s="3">
        <f t="shared" si="7"/>
        <v>5.4</v>
      </c>
      <c r="AI31" s="3">
        <f t="shared" si="8"/>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v>3</v>
      </c>
      <c r="P32" s="2">
        <v>5</v>
      </c>
      <c r="Q32" s="2">
        <v>5</v>
      </c>
      <c r="R32" s="2">
        <v>5.2</v>
      </c>
      <c r="S32" s="2">
        <v>5.2</v>
      </c>
      <c r="T32" s="2">
        <v>5.4</v>
      </c>
      <c r="U32" s="2">
        <v>5.4</v>
      </c>
      <c r="V32" s="3">
        <v>5</v>
      </c>
      <c r="W32" s="3">
        <v>5</v>
      </c>
      <c r="X32" s="3">
        <v>0</v>
      </c>
      <c r="Y32" s="3">
        <v>0</v>
      </c>
      <c r="Z32" s="3">
        <v>0</v>
      </c>
      <c r="AA32" s="3">
        <f t="shared" si="1"/>
        <v>10</v>
      </c>
      <c r="AB32" s="3">
        <v>0</v>
      </c>
      <c r="AC32" s="3">
        <f t="shared" si="2"/>
        <v>3</v>
      </c>
      <c r="AD32" s="3">
        <f t="shared" si="3"/>
        <v>5</v>
      </c>
      <c r="AE32" s="3">
        <f t="shared" si="4"/>
        <v>5</v>
      </c>
      <c r="AF32" s="3">
        <f t="shared" si="5"/>
        <v>5.2</v>
      </c>
      <c r="AG32" s="3">
        <f t="shared" si="6"/>
        <v>5.2</v>
      </c>
      <c r="AH32" s="3">
        <f t="shared" si="7"/>
        <v>5.4</v>
      </c>
      <c r="AI32" s="3">
        <f t="shared" si="8"/>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v>3</v>
      </c>
      <c r="P33" s="2">
        <v>5</v>
      </c>
      <c r="Q33" s="2">
        <v>5</v>
      </c>
      <c r="R33" s="2">
        <v>5.2</v>
      </c>
      <c r="S33" s="2">
        <v>5.2</v>
      </c>
      <c r="T33" s="2">
        <v>5.4</v>
      </c>
      <c r="U33" s="2">
        <v>5.4</v>
      </c>
      <c r="V33" s="3">
        <v>5</v>
      </c>
      <c r="W33" s="3">
        <v>5</v>
      </c>
      <c r="X33" s="3">
        <v>0</v>
      </c>
      <c r="Y33" s="3">
        <v>0</v>
      </c>
      <c r="Z33" s="3">
        <v>0</v>
      </c>
      <c r="AA33" s="3">
        <f t="shared" si="1"/>
        <v>10</v>
      </c>
      <c r="AB33" s="3">
        <v>0</v>
      </c>
      <c r="AC33" s="3">
        <f t="shared" si="2"/>
        <v>3</v>
      </c>
      <c r="AD33" s="3">
        <f t="shared" si="3"/>
        <v>5</v>
      </c>
      <c r="AE33" s="3">
        <f t="shared" si="4"/>
        <v>5</v>
      </c>
      <c r="AF33" s="3">
        <f t="shared" si="5"/>
        <v>5.2</v>
      </c>
      <c r="AG33" s="3">
        <f t="shared" si="6"/>
        <v>5.2</v>
      </c>
      <c r="AH33" s="3">
        <f t="shared" si="7"/>
        <v>5.4</v>
      </c>
      <c r="AI33" s="3">
        <f t="shared" si="8"/>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v>3</v>
      </c>
      <c r="P34" s="2">
        <v>5</v>
      </c>
      <c r="Q34" s="2">
        <v>5</v>
      </c>
      <c r="R34" s="2">
        <v>5.2</v>
      </c>
      <c r="S34" s="2">
        <v>5.2</v>
      </c>
      <c r="T34" s="2">
        <v>5.4</v>
      </c>
      <c r="U34" s="2">
        <v>5.4</v>
      </c>
      <c r="V34" s="3">
        <v>5</v>
      </c>
      <c r="W34" s="3">
        <v>5</v>
      </c>
      <c r="X34" s="3">
        <v>0</v>
      </c>
      <c r="Y34" s="3">
        <v>0</v>
      </c>
      <c r="Z34" s="3">
        <v>0</v>
      </c>
      <c r="AA34" s="3">
        <f t="shared" si="1"/>
        <v>10</v>
      </c>
      <c r="AB34" s="3">
        <v>0</v>
      </c>
      <c r="AC34" s="3">
        <f t="shared" si="2"/>
        <v>3</v>
      </c>
      <c r="AD34" s="3">
        <f t="shared" si="3"/>
        <v>5</v>
      </c>
      <c r="AE34" s="3">
        <f t="shared" si="4"/>
        <v>5</v>
      </c>
      <c r="AF34" s="3">
        <f t="shared" si="5"/>
        <v>5.2</v>
      </c>
      <c r="AG34" s="3">
        <f t="shared" si="6"/>
        <v>5.2</v>
      </c>
      <c r="AH34" s="3">
        <f t="shared" si="7"/>
        <v>5.4</v>
      </c>
      <c r="AI34" s="3">
        <f t="shared" si="8"/>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v>3</v>
      </c>
      <c r="P35" s="2">
        <v>5</v>
      </c>
      <c r="Q35" s="2">
        <v>5</v>
      </c>
      <c r="R35" s="2">
        <v>5.2</v>
      </c>
      <c r="S35" s="2">
        <v>5.2</v>
      </c>
      <c r="T35" s="2">
        <v>5.4</v>
      </c>
      <c r="U35" s="2">
        <v>5.4</v>
      </c>
      <c r="V35" s="3">
        <v>5</v>
      </c>
      <c r="W35" s="3">
        <v>5</v>
      </c>
      <c r="X35" s="3">
        <v>0</v>
      </c>
      <c r="Y35" s="3">
        <v>0</v>
      </c>
      <c r="Z35" s="3">
        <v>0</v>
      </c>
      <c r="AA35" s="3">
        <f t="shared" si="1"/>
        <v>10</v>
      </c>
      <c r="AB35" s="3">
        <v>0</v>
      </c>
      <c r="AC35" s="3">
        <f t="shared" si="2"/>
        <v>3</v>
      </c>
      <c r="AD35" s="3">
        <f t="shared" si="3"/>
        <v>5</v>
      </c>
      <c r="AE35" s="3">
        <f t="shared" si="4"/>
        <v>5</v>
      </c>
      <c r="AF35" s="3">
        <f t="shared" si="5"/>
        <v>5.2</v>
      </c>
      <c r="AG35" s="3">
        <f t="shared" si="6"/>
        <v>5.2</v>
      </c>
      <c r="AH35" s="3">
        <f t="shared" si="7"/>
        <v>5.4</v>
      </c>
      <c r="AI35" s="3">
        <f t="shared" si="8"/>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v>3</v>
      </c>
      <c r="P36" s="2">
        <v>5</v>
      </c>
      <c r="Q36" s="2">
        <v>5</v>
      </c>
      <c r="R36" s="2">
        <v>5.2</v>
      </c>
      <c r="S36" s="2">
        <v>5.2</v>
      </c>
      <c r="T36" s="2">
        <v>5.4</v>
      </c>
      <c r="U36" s="2">
        <v>5.4</v>
      </c>
      <c r="V36" s="3">
        <v>5</v>
      </c>
      <c r="W36" s="3">
        <v>5</v>
      </c>
      <c r="X36" s="3">
        <v>0</v>
      </c>
      <c r="Y36" s="3">
        <v>0</v>
      </c>
      <c r="Z36" s="3">
        <v>0</v>
      </c>
      <c r="AA36" s="3">
        <f t="shared" si="1"/>
        <v>10</v>
      </c>
      <c r="AB36" s="3">
        <v>0</v>
      </c>
      <c r="AC36" s="3">
        <f t="shared" si="2"/>
        <v>3</v>
      </c>
      <c r="AD36" s="3">
        <f t="shared" si="3"/>
        <v>5</v>
      </c>
      <c r="AE36" s="3">
        <f t="shared" si="4"/>
        <v>5</v>
      </c>
      <c r="AF36" s="3">
        <f t="shared" si="5"/>
        <v>5.2</v>
      </c>
      <c r="AG36" s="3">
        <f t="shared" si="6"/>
        <v>5.2</v>
      </c>
      <c r="AH36" s="3">
        <f t="shared" si="7"/>
        <v>5.4</v>
      </c>
      <c r="AI36" s="3">
        <f t="shared" si="8"/>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v>3</v>
      </c>
      <c r="P37" s="2">
        <v>5</v>
      </c>
      <c r="Q37" s="2">
        <v>5</v>
      </c>
      <c r="R37" s="2">
        <v>5.2</v>
      </c>
      <c r="S37" s="2">
        <v>5.2</v>
      </c>
      <c r="T37" s="2">
        <v>5.4</v>
      </c>
      <c r="U37" s="2">
        <v>5.4</v>
      </c>
      <c r="V37" s="3">
        <v>5</v>
      </c>
      <c r="W37" s="3">
        <v>5</v>
      </c>
      <c r="X37" s="3">
        <v>0</v>
      </c>
      <c r="Y37" s="3">
        <v>0</v>
      </c>
      <c r="Z37" s="3">
        <v>0</v>
      </c>
      <c r="AA37" s="3">
        <f t="shared" si="1"/>
        <v>10</v>
      </c>
      <c r="AB37" s="3">
        <v>0</v>
      </c>
      <c r="AC37" s="3">
        <f t="shared" si="2"/>
        <v>3</v>
      </c>
      <c r="AD37" s="3">
        <f t="shared" si="3"/>
        <v>5</v>
      </c>
      <c r="AE37" s="3">
        <f t="shared" si="4"/>
        <v>5</v>
      </c>
      <c r="AF37" s="3">
        <f t="shared" si="5"/>
        <v>5.2</v>
      </c>
      <c r="AG37" s="3">
        <f t="shared" si="6"/>
        <v>5.2</v>
      </c>
      <c r="AH37" s="3">
        <f t="shared" si="7"/>
        <v>5.4</v>
      </c>
      <c r="AI37" s="3">
        <f t="shared" si="8"/>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v>3</v>
      </c>
      <c r="P38" s="2">
        <v>5</v>
      </c>
      <c r="Q38" s="2">
        <v>5</v>
      </c>
      <c r="R38" s="2">
        <v>5.2</v>
      </c>
      <c r="S38" s="2">
        <v>5.2</v>
      </c>
      <c r="T38" s="2">
        <v>5.4</v>
      </c>
      <c r="U38" s="2">
        <v>5.4</v>
      </c>
      <c r="V38" s="3">
        <v>5</v>
      </c>
      <c r="W38" s="3">
        <v>5</v>
      </c>
      <c r="X38" s="3">
        <v>0</v>
      </c>
      <c r="Y38" s="3">
        <v>0</v>
      </c>
      <c r="Z38" s="3">
        <v>0</v>
      </c>
      <c r="AA38" s="3">
        <f t="shared" si="1"/>
        <v>10</v>
      </c>
      <c r="AB38" s="3">
        <v>0</v>
      </c>
      <c r="AC38" s="3">
        <f t="shared" si="2"/>
        <v>3</v>
      </c>
      <c r="AD38" s="3">
        <f t="shared" si="3"/>
        <v>5</v>
      </c>
      <c r="AE38" s="3">
        <f t="shared" si="4"/>
        <v>5</v>
      </c>
      <c r="AF38" s="3">
        <f t="shared" si="5"/>
        <v>5.2</v>
      </c>
      <c r="AG38" s="3">
        <f t="shared" si="6"/>
        <v>5.2</v>
      </c>
      <c r="AH38" s="3">
        <f t="shared" si="7"/>
        <v>5.4</v>
      </c>
      <c r="AI38" s="3">
        <f t="shared" si="8"/>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v>3</v>
      </c>
      <c r="P39" s="2">
        <v>5</v>
      </c>
      <c r="Q39" s="2">
        <v>5</v>
      </c>
      <c r="R39" s="2">
        <v>5.2</v>
      </c>
      <c r="S39" s="2">
        <v>5.2</v>
      </c>
      <c r="T39" s="2">
        <v>5.4</v>
      </c>
      <c r="U39" s="2">
        <v>5.4</v>
      </c>
      <c r="V39" s="3">
        <v>5</v>
      </c>
      <c r="W39" s="3">
        <v>5</v>
      </c>
      <c r="X39" s="3">
        <v>0</v>
      </c>
      <c r="Y39" s="3">
        <v>0</v>
      </c>
      <c r="Z39" s="3">
        <v>0</v>
      </c>
      <c r="AA39" s="3">
        <f t="shared" si="1"/>
        <v>10</v>
      </c>
      <c r="AB39" s="3">
        <v>0</v>
      </c>
      <c r="AC39" s="3">
        <f t="shared" si="2"/>
        <v>3</v>
      </c>
      <c r="AD39" s="3">
        <f t="shared" si="3"/>
        <v>5</v>
      </c>
      <c r="AE39" s="3">
        <f t="shared" si="4"/>
        <v>5</v>
      </c>
      <c r="AF39" s="3">
        <f t="shared" si="5"/>
        <v>5.2</v>
      </c>
      <c r="AG39" s="3">
        <f t="shared" si="6"/>
        <v>5.2</v>
      </c>
      <c r="AH39" s="3">
        <f t="shared" si="7"/>
        <v>5.4</v>
      </c>
      <c r="AI39" s="3">
        <f t="shared" si="8"/>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v>3</v>
      </c>
      <c r="P40" s="2">
        <v>5</v>
      </c>
      <c r="Q40" s="2">
        <v>5</v>
      </c>
      <c r="R40" s="2">
        <v>5.2</v>
      </c>
      <c r="S40" s="2">
        <v>5.2</v>
      </c>
      <c r="T40" s="2">
        <v>5.4</v>
      </c>
      <c r="U40" s="2">
        <v>5.4</v>
      </c>
      <c r="V40" s="3">
        <v>5</v>
      </c>
      <c r="W40" s="3">
        <v>5</v>
      </c>
      <c r="X40" s="3">
        <v>0</v>
      </c>
      <c r="Y40" s="3">
        <v>0</v>
      </c>
      <c r="Z40" s="3">
        <v>0</v>
      </c>
      <c r="AA40" s="3">
        <f t="shared" si="1"/>
        <v>10</v>
      </c>
      <c r="AB40" s="3">
        <v>0</v>
      </c>
      <c r="AC40" s="3">
        <f t="shared" si="2"/>
        <v>3</v>
      </c>
      <c r="AD40" s="3">
        <f t="shared" si="3"/>
        <v>5</v>
      </c>
      <c r="AE40" s="3">
        <f t="shared" si="4"/>
        <v>5</v>
      </c>
      <c r="AF40" s="3">
        <f t="shared" si="5"/>
        <v>5.2</v>
      </c>
      <c r="AG40" s="3">
        <f t="shared" si="6"/>
        <v>5.2</v>
      </c>
      <c r="AH40" s="3">
        <f t="shared" si="7"/>
        <v>5.4</v>
      </c>
      <c r="AI40" s="3">
        <f t="shared" si="8"/>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v>3</v>
      </c>
      <c r="P41" s="2">
        <v>5</v>
      </c>
      <c r="Q41" s="2">
        <v>5</v>
      </c>
      <c r="R41" s="2">
        <v>5.2</v>
      </c>
      <c r="S41" s="2">
        <v>5.2</v>
      </c>
      <c r="T41" s="2">
        <v>5.4</v>
      </c>
      <c r="U41" s="2">
        <v>5.4</v>
      </c>
      <c r="V41" s="3">
        <v>5</v>
      </c>
      <c r="W41" s="3">
        <v>5</v>
      </c>
      <c r="X41" s="3">
        <v>0</v>
      </c>
      <c r="Y41" s="3">
        <v>0</v>
      </c>
      <c r="Z41" s="3">
        <v>0</v>
      </c>
      <c r="AA41" s="3">
        <f t="shared" si="1"/>
        <v>10</v>
      </c>
      <c r="AB41" s="3">
        <v>0</v>
      </c>
      <c r="AC41" s="3">
        <f t="shared" si="2"/>
        <v>3</v>
      </c>
      <c r="AD41" s="3">
        <f t="shared" si="3"/>
        <v>5</v>
      </c>
      <c r="AE41" s="3">
        <f t="shared" si="4"/>
        <v>5</v>
      </c>
      <c r="AF41" s="3">
        <f t="shared" si="5"/>
        <v>5.2</v>
      </c>
      <c r="AG41" s="3">
        <f t="shared" si="6"/>
        <v>5.2</v>
      </c>
      <c r="AH41" s="3">
        <f t="shared" si="7"/>
        <v>5.4</v>
      </c>
      <c r="AI41" s="3">
        <f t="shared" si="8"/>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v>3</v>
      </c>
      <c r="P42" s="2">
        <v>5</v>
      </c>
      <c r="Q42" s="2">
        <v>5</v>
      </c>
      <c r="R42" s="2">
        <v>5.2</v>
      </c>
      <c r="S42" s="2">
        <v>5.2</v>
      </c>
      <c r="T42" s="2">
        <v>5.4</v>
      </c>
      <c r="U42" s="2">
        <v>5.4</v>
      </c>
      <c r="V42" s="3">
        <v>5</v>
      </c>
      <c r="W42" s="3">
        <v>5</v>
      </c>
      <c r="X42" s="3">
        <v>0</v>
      </c>
      <c r="Y42" s="3">
        <v>0</v>
      </c>
      <c r="Z42" s="3">
        <v>0</v>
      </c>
      <c r="AA42" s="3">
        <f t="shared" si="1"/>
        <v>10</v>
      </c>
      <c r="AB42" s="3">
        <v>0</v>
      </c>
      <c r="AC42" s="3">
        <f t="shared" si="2"/>
        <v>3</v>
      </c>
      <c r="AD42" s="3">
        <f t="shared" si="3"/>
        <v>5</v>
      </c>
      <c r="AE42" s="3">
        <f t="shared" si="4"/>
        <v>5</v>
      </c>
      <c r="AF42" s="3">
        <f t="shared" si="5"/>
        <v>5.2</v>
      </c>
      <c r="AG42" s="3">
        <f t="shared" si="6"/>
        <v>5.2</v>
      </c>
      <c r="AH42" s="3">
        <f t="shared" si="7"/>
        <v>5.4</v>
      </c>
      <c r="AI42" s="3">
        <f t="shared" si="8"/>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v>3</v>
      </c>
      <c r="P43" s="2">
        <v>5</v>
      </c>
      <c r="Q43" s="2">
        <v>5</v>
      </c>
      <c r="R43" s="2">
        <v>5.2</v>
      </c>
      <c r="S43" s="2">
        <v>5.2</v>
      </c>
      <c r="T43" s="2">
        <v>5.4</v>
      </c>
      <c r="U43" s="2">
        <v>5.4</v>
      </c>
      <c r="V43" s="3">
        <v>5</v>
      </c>
      <c r="W43" s="3">
        <v>5</v>
      </c>
      <c r="X43" s="3">
        <v>0</v>
      </c>
      <c r="Y43" s="3">
        <v>0</v>
      </c>
      <c r="Z43" s="3">
        <v>0</v>
      </c>
      <c r="AA43" s="3">
        <f t="shared" si="1"/>
        <v>10</v>
      </c>
      <c r="AB43" s="3">
        <v>0</v>
      </c>
      <c r="AC43" s="3">
        <f t="shared" si="2"/>
        <v>3</v>
      </c>
      <c r="AD43" s="3">
        <f t="shared" si="3"/>
        <v>5</v>
      </c>
      <c r="AE43" s="3">
        <f t="shared" si="4"/>
        <v>5</v>
      </c>
      <c r="AF43" s="3">
        <f t="shared" si="5"/>
        <v>5.2</v>
      </c>
      <c r="AG43" s="3">
        <f t="shared" si="6"/>
        <v>5.2</v>
      </c>
      <c r="AH43" s="3">
        <f t="shared" si="7"/>
        <v>5.4</v>
      </c>
      <c r="AI43" s="3">
        <f t="shared" si="8"/>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v>3</v>
      </c>
      <c r="P44" s="2">
        <v>5</v>
      </c>
      <c r="Q44" s="2">
        <v>5</v>
      </c>
      <c r="R44" s="2">
        <v>5.2</v>
      </c>
      <c r="S44" s="2">
        <v>5.2</v>
      </c>
      <c r="T44" s="2">
        <v>5.4</v>
      </c>
      <c r="U44" s="2">
        <v>5.4</v>
      </c>
      <c r="V44" s="3">
        <v>5</v>
      </c>
      <c r="W44" s="3">
        <v>5</v>
      </c>
      <c r="X44" s="3">
        <v>0</v>
      </c>
      <c r="Y44" s="3">
        <v>0</v>
      </c>
      <c r="Z44" s="3">
        <v>0</v>
      </c>
      <c r="AA44" s="3">
        <f t="shared" si="1"/>
        <v>10</v>
      </c>
      <c r="AB44" s="3">
        <v>0</v>
      </c>
      <c r="AC44" s="3">
        <f t="shared" si="2"/>
        <v>3</v>
      </c>
      <c r="AD44" s="3">
        <f t="shared" si="3"/>
        <v>5</v>
      </c>
      <c r="AE44" s="3">
        <f t="shared" si="4"/>
        <v>5</v>
      </c>
      <c r="AF44" s="3">
        <f t="shared" si="5"/>
        <v>5.2</v>
      </c>
      <c r="AG44" s="3">
        <f t="shared" si="6"/>
        <v>5.2</v>
      </c>
      <c r="AH44" s="3">
        <f t="shared" si="7"/>
        <v>5.4</v>
      </c>
      <c r="AI44" s="3">
        <f t="shared" si="8"/>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v>3</v>
      </c>
      <c r="P45" s="2">
        <v>5</v>
      </c>
      <c r="Q45" s="2">
        <v>5</v>
      </c>
      <c r="R45" s="2">
        <v>5.2</v>
      </c>
      <c r="S45" s="2">
        <v>5.2</v>
      </c>
      <c r="T45" s="2">
        <v>5.4</v>
      </c>
      <c r="U45" s="2">
        <v>5.4</v>
      </c>
      <c r="V45" s="3">
        <v>5</v>
      </c>
      <c r="W45" s="3">
        <v>5</v>
      </c>
      <c r="X45" s="3">
        <v>0</v>
      </c>
      <c r="Y45" s="3">
        <v>0</v>
      </c>
      <c r="Z45" s="3">
        <v>0</v>
      </c>
      <c r="AA45" s="3">
        <f t="shared" si="1"/>
        <v>10</v>
      </c>
      <c r="AB45" s="3">
        <v>0</v>
      </c>
      <c r="AC45" s="3">
        <f t="shared" si="2"/>
        <v>3</v>
      </c>
      <c r="AD45" s="3">
        <f t="shared" si="3"/>
        <v>5</v>
      </c>
      <c r="AE45" s="3">
        <f t="shared" si="4"/>
        <v>5</v>
      </c>
      <c r="AF45" s="3">
        <f t="shared" si="5"/>
        <v>5.2</v>
      </c>
      <c r="AG45" s="3">
        <f t="shared" si="6"/>
        <v>5.2</v>
      </c>
      <c r="AH45" s="3">
        <f t="shared" si="7"/>
        <v>5.4</v>
      </c>
      <c r="AI45" s="3">
        <f t="shared" si="8"/>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v>3</v>
      </c>
      <c r="P46" s="2">
        <v>5</v>
      </c>
      <c r="Q46" s="2">
        <v>5</v>
      </c>
      <c r="R46" s="2">
        <v>5.2</v>
      </c>
      <c r="S46" s="2">
        <v>5.2</v>
      </c>
      <c r="T46" s="2">
        <v>5.4</v>
      </c>
      <c r="U46" s="2">
        <v>5.4</v>
      </c>
      <c r="V46" s="3">
        <v>5</v>
      </c>
      <c r="W46" s="3">
        <v>5</v>
      </c>
      <c r="X46" s="3">
        <v>0</v>
      </c>
      <c r="Y46" s="3">
        <v>0</v>
      </c>
      <c r="Z46" s="3">
        <v>0</v>
      </c>
      <c r="AA46" s="3">
        <f t="shared" si="1"/>
        <v>10</v>
      </c>
      <c r="AB46" s="3">
        <v>0</v>
      </c>
      <c r="AC46" s="3">
        <f t="shared" si="2"/>
        <v>3</v>
      </c>
      <c r="AD46" s="3">
        <f t="shared" si="3"/>
        <v>5</v>
      </c>
      <c r="AE46" s="3">
        <f t="shared" si="4"/>
        <v>5</v>
      </c>
      <c r="AF46" s="3">
        <f t="shared" si="5"/>
        <v>5.2</v>
      </c>
      <c r="AG46" s="3">
        <f t="shared" si="6"/>
        <v>5.2</v>
      </c>
      <c r="AH46" s="3">
        <f t="shared" si="7"/>
        <v>5.4</v>
      </c>
      <c r="AI46" s="3">
        <f t="shared" si="8"/>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v>3</v>
      </c>
      <c r="P47" s="2">
        <v>5</v>
      </c>
      <c r="Q47" s="2">
        <v>5</v>
      </c>
      <c r="R47" s="2">
        <v>5.2</v>
      </c>
      <c r="S47" s="2">
        <v>5.2</v>
      </c>
      <c r="T47" s="2">
        <v>5.4</v>
      </c>
      <c r="U47" s="2">
        <v>5.4</v>
      </c>
      <c r="V47" s="3">
        <v>5</v>
      </c>
      <c r="W47" s="3">
        <v>5</v>
      </c>
      <c r="X47" s="3">
        <v>0</v>
      </c>
      <c r="Y47" s="3">
        <v>0</v>
      </c>
      <c r="Z47" s="3">
        <v>0</v>
      </c>
      <c r="AA47" s="3">
        <f t="shared" si="1"/>
        <v>10</v>
      </c>
      <c r="AB47" s="3">
        <v>0</v>
      </c>
      <c r="AC47" s="3">
        <f t="shared" si="2"/>
        <v>3</v>
      </c>
      <c r="AD47" s="3">
        <f t="shared" si="3"/>
        <v>5</v>
      </c>
      <c r="AE47" s="3">
        <f t="shared" si="4"/>
        <v>5</v>
      </c>
      <c r="AF47" s="3">
        <f t="shared" si="5"/>
        <v>5.2</v>
      </c>
      <c r="AG47" s="3">
        <f t="shared" si="6"/>
        <v>5.2</v>
      </c>
      <c r="AH47" s="3">
        <f t="shared" si="7"/>
        <v>5.4</v>
      </c>
      <c r="AI47" s="3">
        <f t="shared" si="8"/>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v>3</v>
      </c>
      <c r="P48" s="2">
        <v>5</v>
      </c>
      <c r="Q48" s="2">
        <v>5</v>
      </c>
      <c r="R48" s="2">
        <v>5.2</v>
      </c>
      <c r="S48" s="2">
        <v>5.2</v>
      </c>
      <c r="T48" s="2">
        <v>5.4</v>
      </c>
      <c r="U48" s="2">
        <v>5.4</v>
      </c>
      <c r="V48" s="3">
        <v>5</v>
      </c>
      <c r="W48" s="3">
        <v>5</v>
      </c>
      <c r="X48" s="3">
        <v>0</v>
      </c>
      <c r="Y48" s="3">
        <v>0</v>
      </c>
      <c r="Z48" s="3">
        <v>0</v>
      </c>
      <c r="AA48" s="3">
        <f t="shared" si="1"/>
        <v>10</v>
      </c>
      <c r="AB48" s="3">
        <v>0</v>
      </c>
      <c r="AC48" s="3">
        <f t="shared" si="2"/>
        <v>3</v>
      </c>
      <c r="AD48" s="3">
        <f t="shared" si="3"/>
        <v>5</v>
      </c>
      <c r="AE48" s="3">
        <f t="shared" si="4"/>
        <v>5</v>
      </c>
      <c r="AF48" s="3">
        <f t="shared" si="5"/>
        <v>5.2</v>
      </c>
      <c r="AG48" s="3">
        <f t="shared" si="6"/>
        <v>5.2</v>
      </c>
      <c r="AH48" s="3">
        <f t="shared" si="7"/>
        <v>5.4</v>
      </c>
      <c r="AI48" s="3">
        <f t="shared" si="8"/>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v>2.9990000000000001</v>
      </c>
      <c r="P49" s="2">
        <v>5</v>
      </c>
      <c r="Q49" s="2">
        <v>5</v>
      </c>
      <c r="R49" s="2">
        <v>5.2</v>
      </c>
      <c r="S49" s="2">
        <v>5.2</v>
      </c>
      <c r="T49" s="2">
        <v>5.4</v>
      </c>
      <c r="U49" s="2">
        <v>5.4</v>
      </c>
      <c r="V49" s="3">
        <v>5</v>
      </c>
      <c r="W49" s="3">
        <v>5</v>
      </c>
      <c r="X49" s="3">
        <v>0</v>
      </c>
      <c r="Y49" s="3">
        <v>0</v>
      </c>
      <c r="Z49" s="3">
        <v>0</v>
      </c>
      <c r="AA49" s="3">
        <f t="shared" si="1"/>
        <v>10</v>
      </c>
      <c r="AB49" s="3">
        <v>0</v>
      </c>
      <c r="AC49" s="3">
        <f t="shared" si="2"/>
        <v>2.9990000000000001</v>
      </c>
      <c r="AD49" s="3">
        <f t="shared" si="3"/>
        <v>5</v>
      </c>
      <c r="AE49" s="3">
        <f t="shared" si="4"/>
        <v>5</v>
      </c>
      <c r="AF49" s="3">
        <f t="shared" si="5"/>
        <v>5.2</v>
      </c>
      <c r="AG49" s="3">
        <f t="shared" si="6"/>
        <v>5.2</v>
      </c>
      <c r="AH49" s="3">
        <f t="shared" si="7"/>
        <v>5.4</v>
      </c>
      <c r="AI49" s="3">
        <f t="shared" si="8"/>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v>3</v>
      </c>
      <c r="P50" s="2">
        <v>5</v>
      </c>
      <c r="Q50" s="2">
        <v>5</v>
      </c>
      <c r="R50" s="2">
        <v>5.2</v>
      </c>
      <c r="S50" s="2">
        <v>5.2</v>
      </c>
      <c r="T50" s="2">
        <v>5.4</v>
      </c>
      <c r="U50" s="2">
        <v>5.4</v>
      </c>
      <c r="V50" s="3">
        <v>5</v>
      </c>
      <c r="W50" s="3">
        <v>5</v>
      </c>
      <c r="X50" s="3">
        <v>0</v>
      </c>
      <c r="Y50" s="3">
        <v>0</v>
      </c>
      <c r="Z50" s="3">
        <v>0</v>
      </c>
      <c r="AA50" s="3">
        <f t="shared" si="1"/>
        <v>10</v>
      </c>
      <c r="AB50" s="3">
        <v>0</v>
      </c>
      <c r="AC50" s="3">
        <f t="shared" si="2"/>
        <v>3</v>
      </c>
      <c r="AD50" s="3">
        <f t="shared" si="3"/>
        <v>5</v>
      </c>
      <c r="AE50" s="3">
        <f t="shared" si="4"/>
        <v>5</v>
      </c>
      <c r="AF50" s="3">
        <f t="shared" si="5"/>
        <v>5.2</v>
      </c>
      <c r="AG50" s="3">
        <f t="shared" si="6"/>
        <v>5.2</v>
      </c>
      <c r="AH50" s="3">
        <f t="shared" si="7"/>
        <v>5.4</v>
      </c>
      <c r="AI50" s="3">
        <f t="shared" si="8"/>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v>3</v>
      </c>
      <c r="P51" s="2">
        <v>5</v>
      </c>
      <c r="Q51" s="2">
        <v>5</v>
      </c>
      <c r="R51" s="2">
        <v>5.2</v>
      </c>
      <c r="S51" s="2">
        <v>5.2</v>
      </c>
      <c r="T51" s="2">
        <v>5.4</v>
      </c>
      <c r="U51" s="2">
        <v>5.4</v>
      </c>
      <c r="V51" s="3">
        <v>5</v>
      </c>
      <c r="W51" s="3">
        <v>5</v>
      </c>
      <c r="X51" s="3">
        <v>0</v>
      </c>
      <c r="Y51" s="3">
        <v>0</v>
      </c>
      <c r="Z51" s="3">
        <v>0</v>
      </c>
      <c r="AA51" s="3">
        <f t="shared" si="1"/>
        <v>10</v>
      </c>
      <c r="AB51" s="3">
        <v>0</v>
      </c>
      <c r="AC51" s="3">
        <f t="shared" si="2"/>
        <v>3</v>
      </c>
      <c r="AD51" s="3">
        <f t="shared" si="3"/>
        <v>5</v>
      </c>
      <c r="AE51" s="3">
        <f t="shared" si="4"/>
        <v>5</v>
      </c>
      <c r="AF51" s="3">
        <f t="shared" si="5"/>
        <v>5.2</v>
      </c>
      <c r="AG51" s="3">
        <f t="shared" si="6"/>
        <v>5.2</v>
      </c>
      <c r="AH51" s="3">
        <f t="shared" si="7"/>
        <v>5.4</v>
      </c>
      <c r="AI51" s="3">
        <f t="shared" si="8"/>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v>3</v>
      </c>
      <c r="P52" s="2">
        <v>5</v>
      </c>
      <c r="Q52" s="2">
        <v>5</v>
      </c>
      <c r="R52" s="2">
        <v>5.2</v>
      </c>
      <c r="S52" s="2">
        <v>5.2</v>
      </c>
      <c r="T52" s="2">
        <v>5.4</v>
      </c>
      <c r="U52" s="2">
        <v>5.4</v>
      </c>
      <c r="V52" s="3">
        <v>5</v>
      </c>
      <c r="W52" s="3">
        <v>5</v>
      </c>
      <c r="X52" s="3">
        <v>0</v>
      </c>
      <c r="Y52" s="3">
        <v>0</v>
      </c>
      <c r="Z52" s="3">
        <v>0</v>
      </c>
      <c r="AA52" s="3">
        <f t="shared" si="1"/>
        <v>10</v>
      </c>
      <c r="AB52" s="3">
        <v>0</v>
      </c>
      <c r="AC52" s="3">
        <f t="shared" si="2"/>
        <v>3</v>
      </c>
      <c r="AD52" s="3">
        <f t="shared" si="3"/>
        <v>5</v>
      </c>
      <c r="AE52" s="3">
        <f t="shared" si="4"/>
        <v>5</v>
      </c>
      <c r="AF52" s="3">
        <f t="shared" si="5"/>
        <v>5.2</v>
      </c>
      <c r="AG52" s="3">
        <f t="shared" si="6"/>
        <v>5.2</v>
      </c>
      <c r="AH52" s="3">
        <f t="shared" si="7"/>
        <v>5.4</v>
      </c>
      <c r="AI52" s="3">
        <f t="shared" si="8"/>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v>3</v>
      </c>
      <c r="P53" s="2">
        <v>5</v>
      </c>
      <c r="Q53" s="2">
        <v>5</v>
      </c>
      <c r="R53" s="2">
        <v>5.2</v>
      </c>
      <c r="S53" s="2">
        <v>5.2</v>
      </c>
      <c r="T53" s="2">
        <v>5.4</v>
      </c>
      <c r="U53" s="2">
        <v>5.4</v>
      </c>
      <c r="V53" s="3">
        <v>5</v>
      </c>
      <c r="W53" s="3">
        <v>5</v>
      </c>
      <c r="X53" s="3">
        <v>0</v>
      </c>
      <c r="Y53" s="3">
        <v>0</v>
      </c>
      <c r="Z53" s="3">
        <v>0</v>
      </c>
      <c r="AA53" s="3">
        <f t="shared" si="1"/>
        <v>10</v>
      </c>
      <c r="AB53" s="3">
        <v>0</v>
      </c>
      <c r="AC53" s="3">
        <f t="shared" si="2"/>
        <v>3</v>
      </c>
      <c r="AD53" s="3">
        <f t="shared" si="3"/>
        <v>5</v>
      </c>
      <c r="AE53" s="3">
        <f t="shared" si="4"/>
        <v>5</v>
      </c>
      <c r="AF53" s="3">
        <f t="shared" si="5"/>
        <v>5.2</v>
      </c>
      <c r="AG53" s="3">
        <f t="shared" si="6"/>
        <v>5.2</v>
      </c>
      <c r="AH53" s="3">
        <f t="shared" si="7"/>
        <v>5.4</v>
      </c>
      <c r="AI53" s="3">
        <f t="shared" si="8"/>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v>2.9990000000000001</v>
      </c>
      <c r="P54" s="2">
        <v>5</v>
      </c>
      <c r="Q54" s="2">
        <v>5</v>
      </c>
      <c r="R54" s="2">
        <v>5.2</v>
      </c>
      <c r="S54" s="2">
        <v>5.2</v>
      </c>
      <c r="T54" s="2">
        <v>5.4</v>
      </c>
      <c r="U54" s="2">
        <v>5.4</v>
      </c>
      <c r="V54" s="3">
        <v>5</v>
      </c>
      <c r="W54" s="3">
        <v>5</v>
      </c>
      <c r="X54" s="3">
        <v>0</v>
      </c>
      <c r="Y54" s="3">
        <v>0</v>
      </c>
      <c r="Z54" s="3">
        <v>0</v>
      </c>
      <c r="AA54" s="3">
        <f t="shared" si="1"/>
        <v>10</v>
      </c>
      <c r="AB54" s="3">
        <v>0</v>
      </c>
      <c r="AC54" s="3">
        <f t="shared" si="2"/>
        <v>2.9990000000000001</v>
      </c>
      <c r="AD54" s="3">
        <f t="shared" si="3"/>
        <v>5</v>
      </c>
      <c r="AE54" s="3">
        <f t="shared" si="4"/>
        <v>5</v>
      </c>
      <c r="AF54" s="3">
        <f t="shared" si="5"/>
        <v>5.2</v>
      </c>
      <c r="AG54" s="3">
        <f t="shared" si="6"/>
        <v>5.2</v>
      </c>
      <c r="AH54" s="3">
        <f t="shared" si="7"/>
        <v>5.4</v>
      </c>
      <c r="AI54" s="3">
        <f t="shared" si="8"/>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v>3</v>
      </c>
      <c r="P55" s="2">
        <v>5</v>
      </c>
      <c r="Q55" s="2">
        <v>5</v>
      </c>
      <c r="R55" s="2">
        <v>5.2</v>
      </c>
      <c r="S55" s="2">
        <v>5.2</v>
      </c>
      <c r="T55" s="2">
        <v>5.4</v>
      </c>
      <c r="U55" s="2">
        <v>5.4</v>
      </c>
      <c r="V55" s="3">
        <v>5</v>
      </c>
      <c r="W55" s="3">
        <v>5</v>
      </c>
      <c r="X55" s="3">
        <v>0</v>
      </c>
      <c r="Y55" s="3">
        <v>0</v>
      </c>
      <c r="Z55" s="3">
        <v>0</v>
      </c>
      <c r="AA55" s="3">
        <f t="shared" si="1"/>
        <v>10</v>
      </c>
      <c r="AB55" s="3">
        <v>0</v>
      </c>
      <c r="AC55" s="3">
        <f t="shared" si="2"/>
        <v>3</v>
      </c>
      <c r="AD55" s="3">
        <f t="shared" si="3"/>
        <v>5</v>
      </c>
      <c r="AE55" s="3">
        <f t="shared" si="4"/>
        <v>5</v>
      </c>
      <c r="AF55" s="3">
        <f t="shared" si="5"/>
        <v>5.2</v>
      </c>
      <c r="AG55" s="3">
        <f t="shared" si="6"/>
        <v>5.2</v>
      </c>
      <c r="AH55" s="3">
        <f t="shared" si="7"/>
        <v>5.4</v>
      </c>
      <c r="AI55" s="3">
        <f t="shared" si="8"/>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v>3</v>
      </c>
      <c r="P56" s="2">
        <v>5</v>
      </c>
      <c r="Q56" s="2">
        <v>5</v>
      </c>
      <c r="R56" s="2">
        <v>5.2</v>
      </c>
      <c r="S56" s="2">
        <v>5.2</v>
      </c>
      <c r="T56" s="2">
        <v>5.4</v>
      </c>
      <c r="U56" s="2">
        <v>5.4</v>
      </c>
      <c r="V56" s="3">
        <v>5</v>
      </c>
      <c r="W56" s="3">
        <v>5</v>
      </c>
      <c r="X56" s="3">
        <v>0</v>
      </c>
      <c r="Y56" s="3">
        <v>0</v>
      </c>
      <c r="Z56" s="3">
        <v>0</v>
      </c>
      <c r="AA56" s="3">
        <f t="shared" si="1"/>
        <v>10</v>
      </c>
      <c r="AB56" s="3">
        <v>0</v>
      </c>
      <c r="AC56" s="3">
        <f t="shared" si="2"/>
        <v>3</v>
      </c>
      <c r="AD56" s="3">
        <f t="shared" si="3"/>
        <v>5</v>
      </c>
      <c r="AE56" s="3">
        <f t="shared" si="4"/>
        <v>5</v>
      </c>
      <c r="AF56" s="3">
        <f t="shared" si="5"/>
        <v>5.2</v>
      </c>
      <c r="AG56" s="3">
        <f t="shared" si="6"/>
        <v>5.2</v>
      </c>
      <c r="AH56" s="3">
        <f t="shared" si="7"/>
        <v>5.4</v>
      </c>
      <c r="AI56" s="3">
        <f t="shared" si="8"/>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v>2.9990000000000001</v>
      </c>
      <c r="P57" s="2">
        <v>5</v>
      </c>
      <c r="Q57" s="2">
        <v>5</v>
      </c>
      <c r="R57" s="2">
        <v>5.2</v>
      </c>
      <c r="S57" s="2">
        <v>5.2</v>
      </c>
      <c r="T57" s="2">
        <v>5.4</v>
      </c>
      <c r="U57" s="2">
        <v>5.4</v>
      </c>
      <c r="V57" s="3">
        <v>5</v>
      </c>
      <c r="W57" s="3">
        <v>5</v>
      </c>
      <c r="X57" s="3">
        <v>0</v>
      </c>
      <c r="Y57" s="3">
        <v>0</v>
      </c>
      <c r="Z57" s="3">
        <v>0</v>
      </c>
      <c r="AA57" s="3">
        <f t="shared" si="1"/>
        <v>10</v>
      </c>
      <c r="AB57" s="3">
        <v>0</v>
      </c>
      <c r="AC57" s="3">
        <f t="shared" si="2"/>
        <v>2.9990000000000001</v>
      </c>
      <c r="AD57" s="3">
        <f t="shared" si="3"/>
        <v>5</v>
      </c>
      <c r="AE57" s="3">
        <f t="shared" si="4"/>
        <v>5</v>
      </c>
      <c r="AF57" s="3">
        <f t="shared" si="5"/>
        <v>5.2</v>
      </c>
      <c r="AG57" s="3">
        <f t="shared" si="6"/>
        <v>5.2</v>
      </c>
      <c r="AH57" s="3">
        <f t="shared" si="7"/>
        <v>5.4</v>
      </c>
      <c r="AI57" s="3">
        <f t="shared" si="8"/>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v>3</v>
      </c>
      <c r="P58" s="2">
        <v>5</v>
      </c>
      <c r="Q58" s="2">
        <v>5</v>
      </c>
      <c r="R58" s="2">
        <v>5.2</v>
      </c>
      <c r="S58" s="2">
        <v>5.2</v>
      </c>
      <c r="T58" s="2">
        <v>5.4</v>
      </c>
      <c r="U58" s="2">
        <v>5.4</v>
      </c>
      <c r="V58" s="3">
        <v>5</v>
      </c>
      <c r="W58" s="3">
        <v>5</v>
      </c>
      <c r="X58" s="3">
        <v>0</v>
      </c>
      <c r="Y58" s="3">
        <v>0</v>
      </c>
      <c r="Z58" s="3">
        <v>0</v>
      </c>
      <c r="AA58" s="3">
        <f t="shared" si="1"/>
        <v>10</v>
      </c>
      <c r="AB58" s="3">
        <v>0</v>
      </c>
      <c r="AC58" s="3">
        <f t="shared" si="2"/>
        <v>3</v>
      </c>
      <c r="AD58" s="3">
        <f t="shared" si="3"/>
        <v>5</v>
      </c>
      <c r="AE58" s="3">
        <f t="shared" si="4"/>
        <v>5</v>
      </c>
      <c r="AF58" s="3">
        <f t="shared" si="5"/>
        <v>5.2</v>
      </c>
      <c r="AG58" s="3">
        <f t="shared" si="6"/>
        <v>5.2</v>
      </c>
      <c r="AH58" s="3">
        <f t="shared" si="7"/>
        <v>5.4</v>
      </c>
      <c r="AI58" s="3">
        <f t="shared" si="8"/>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v>3</v>
      </c>
      <c r="P59" s="2">
        <v>5</v>
      </c>
      <c r="Q59" s="2">
        <v>5</v>
      </c>
      <c r="R59" s="2">
        <v>5.2</v>
      </c>
      <c r="S59" s="2">
        <v>5.2</v>
      </c>
      <c r="T59" s="2">
        <v>5.4</v>
      </c>
      <c r="U59" s="2">
        <v>5.4</v>
      </c>
      <c r="V59" s="3">
        <v>5</v>
      </c>
      <c r="W59" s="3">
        <v>5</v>
      </c>
      <c r="X59" s="3">
        <v>0</v>
      </c>
      <c r="Y59" s="3">
        <v>0</v>
      </c>
      <c r="Z59" s="3">
        <v>0</v>
      </c>
      <c r="AA59" s="3">
        <f t="shared" si="1"/>
        <v>10</v>
      </c>
      <c r="AB59" s="3">
        <v>0</v>
      </c>
      <c r="AC59" s="3">
        <f t="shared" si="2"/>
        <v>3</v>
      </c>
      <c r="AD59" s="3">
        <f t="shared" si="3"/>
        <v>5</v>
      </c>
      <c r="AE59" s="3">
        <f t="shared" si="4"/>
        <v>5</v>
      </c>
      <c r="AF59" s="3">
        <f t="shared" si="5"/>
        <v>5.2</v>
      </c>
      <c r="AG59" s="3">
        <f t="shared" si="6"/>
        <v>5.2</v>
      </c>
      <c r="AH59" s="3">
        <f t="shared" si="7"/>
        <v>5.4</v>
      </c>
      <c r="AI59" s="3">
        <f t="shared" si="8"/>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v>2.9990000000000001</v>
      </c>
      <c r="P60" s="2">
        <v>5</v>
      </c>
      <c r="Q60" s="2">
        <v>5</v>
      </c>
      <c r="R60" s="2">
        <v>5.2</v>
      </c>
      <c r="S60" s="2">
        <v>5.2</v>
      </c>
      <c r="T60" s="2">
        <v>5.4</v>
      </c>
      <c r="U60" s="2">
        <v>5.4</v>
      </c>
      <c r="V60" s="3">
        <v>5</v>
      </c>
      <c r="W60" s="3">
        <v>5</v>
      </c>
      <c r="X60" s="3">
        <v>0</v>
      </c>
      <c r="Y60" s="3">
        <v>0</v>
      </c>
      <c r="Z60" s="3">
        <v>0</v>
      </c>
      <c r="AA60" s="3">
        <f t="shared" si="1"/>
        <v>10</v>
      </c>
      <c r="AB60" s="3">
        <v>0</v>
      </c>
      <c r="AC60" s="3">
        <f t="shared" si="2"/>
        <v>2.9990000000000001</v>
      </c>
      <c r="AD60" s="3">
        <f t="shared" si="3"/>
        <v>5</v>
      </c>
      <c r="AE60" s="3">
        <f t="shared" si="4"/>
        <v>5</v>
      </c>
      <c r="AF60" s="3">
        <f t="shared" si="5"/>
        <v>5.2</v>
      </c>
      <c r="AG60" s="3">
        <f t="shared" si="6"/>
        <v>5.2</v>
      </c>
      <c r="AH60" s="3">
        <f t="shared" si="7"/>
        <v>5.4</v>
      </c>
      <c r="AI60" s="3">
        <f t="shared" si="8"/>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v>3</v>
      </c>
      <c r="P61" s="2">
        <v>5</v>
      </c>
      <c r="Q61" s="2">
        <v>5</v>
      </c>
      <c r="R61" s="2">
        <v>5.2</v>
      </c>
      <c r="S61" s="2">
        <v>5.2</v>
      </c>
      <c r="T61" s="2">
        <v>5.4</v>
      </c>
      <c r="U61" s="2">
        <v>5.4</v>
      </c>
      <c r="V61" s="3">
        <v>5</v>
      </c>
      <c r="W61" s="3">
        <v>5</v>
      </c>
      <c r="X61" s="3">
        <v>0</v>
      </c>
      <c r="Y61" s="3">
        <v>0</v>
      </c>
      <c r="Z61" s="3">
        <v>0</v>
      </c>
      <c r="AA61" s="3">
        <f t="shared" si="1"/>
        <v>10</v>
      </c>
      <c r="AB61" s="3">
        <v>0</v>
      </c>
      <c r="AC61" s="3">
        <f t="shared" si="2"/>
        <v>3</v>
      </c>
      <c r="AD61" s="3">
        <f t="shared" si="3"/>
        <v>5</v>
      </c>
      <c r="AE61" s="3">
        <f t="shared" si="4"/>
        <v>5</v>
      </c>
      <c r="AF61" s="3">
        <f t="shared" si="5"/>
        <v>5.2</v>
      </c>
      <c r="AG61" s="3">
        <f t="shared" si="6"/>
        <v>5.2</v>
      </c>
      <c r="AH61" s="3">
        <f t="shared" si="7"/>
        <v>5.4</v>
      </c>
      <c r="AI61" s="3">
        <f t="shared" si="8"/>
        <v>5.4</v>
      </c>
    </row>
    <row r="64" spans="1:35" x14ac:dyDescent="0.2">
      <c r="H64" t="s">
        <v>323</v>
      </c>
      <c r="I64">
        <f>SUM(I3:I61)-SUMIF(F3:F61,"Los",I3:I61)</f>
        <v>272.52532054794517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I12" sqref="I12"/>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zoomScale="125" zoomScaleNormal="200" workbookViewId="0">
      <selection activeCell="B9" sqref="B9"/>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5</v>
      </c>
      <c r="C1" s="58"/>
      <c r="D1" s="58"/>
      <c r="E1" s="58"/>
      <c r="F1" s="58"/>
      <c r="G1" s="58"/>
      <c r="H1" s="58"/>
      <c r="I1" s="58"/>
      <c r="J1" s="58"/>
      <c r="K1" s="58"/>
      <c r="L1" s="58"/>
      <c r="M1" s="58"/>
      <c r="N1" s="58"/>
      <c r="O1" s="58"/>
      <c r="P1" s="58"/>
      <c r="Q1" s="58"/>
      <c r="R1" s="58">
        <f>B1+Parameters!$B$7</f>
        <v>13</v>
      </c>
      <c r="S1" s="58"/>
      <c r="T1" s="58"/>
      <c r="U1" s="58"/>
      <c r="V1" s="58"/>
      <c r="W1" s="58"/>
      <c r="X1" s="58"/>
      <c r="Y1" s="58"/>
      <c r="Z1" s="58"/>
      <c r="AA1" s="58"/>
      <c r="AB1" s="58"/>
      <c r="AC1" s="58"/>
      <c r="AD1" s="58"/>
      <c r="AE1" s="58"/>
      <c r="AF1" s="58"/>
      <c r="AG1" s="58"/>
      <c r="AH1" s="58">
        <f>R1+Parameters!$B$7</f>
        <v>21</v>
      </c>
      <c r="AI1" s="58"/>
      <c r="AJ1" s="58"/>
      <c r="AK1" s="58"/>
      <c r="AL1" s="58"/>
      <c r="AM1" s="58"/>
      <c r="AN1" s="58"/>
      <c r="AO1" s="58"/>
      <c r="AP1" s="58"/>
      <c r="AQ1" s="58"/>
      <c r="AR1" s="58"/>
      <c r="AS1" s="58"/>
      <c r="AT1" s="58"/>
      <c r="AU1" s="58"/>
      <c r="AV1" s="58"/>
      <c r="AW1" s="58"/>
      <c r="AX1" s="58">
        <f>AH1+Parameters!$B$7</f>
        <v>29</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40</v>
      </c>
      <c r="V9" s="2">
        <f t="shared" si="8"/>
        <v>40</v>
      </c>
      <c r="W9" s="2">
        <f t="shared" si="8"/>
        <v>40</v>
      </c>
      <c r="X9" s="2">
        <f t="shared" si="8"/>
        <v>50</v>
      </c>
      <c r="Y9" s="2">
        <f t="shared" si="8"/>
        <v>20</v>
      </c>
      <c r="Z9" s="3"/>
      <c r="AA9" s="3"/>
      <c r="AB9" s="3"/>
      <c r="AC9" s="3"/>
      <c r="AD9" s="3"/>
      <c r="AE9" s="3"/>
      <c r="AF9" s="3"/>
      <c r="AG9" s="3"/>
      <c r="AH9" s="2">
        <f t="shared" si="13"/>
        <v>10</v>
      </c>
      <c r="AI9" s="2">
        <f t="shared" si="9"/>
        <v>10</v>
      </c>
      <c r="AJ9" s="2">
        <f t="shared" si="9"/>
        <v>10</v>
      </c>
      <c r="AK9" s="2">
        <f t="shared" si="9"/>
        <v>50</v>
      </c>
      <c r="AL9" s="2">
        <f t="shared" si="9"/>
        <v>50</v>
      </c>
      <c r="AM9" s="2">
        <f t="shared" si="9"/>
        <v>40</v>
      </c>
      <c r="AN9" s="2">
        <f t="shared" si="9"/>
        <v>40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40</v>
      </c>
      <c r="V12" s="2">
        <f t="shared" si="8"/>
        <v>40</v>
      </c>
      <c r="W12" s="2">
        <f t="shared" si="8"/>
        <v>40</v>
      </c>
      <c r="X12" s="2">
        <f t="shared" si="8"/>
        <v>45</v>
      </c>
      <c r="Y12" s="2">
        <f t="shared" si="8"/>
        <v>20</v>
      </c>
      <c r="Z12" s="3"/>
      <c r="AA12" s="3"/>
      <c r="AB12" s="3"/>
      <c r="AC12" s="3"/>
      <c r="AD12" s="3"/>
      <c r="AE12" s="3"/>
      <c r="AF12" s="3"/>
      <c r="AG12" s="3"/>
      <c r="AH12" s="2">
        <f t="shared" si="13"/>
        <v>10</v>
      </c>
      <c r="AI12" s="2">
        <f t="shared" si="9"/>
        <v>10</v>
      </c>
      <c r="AJ12" s="2">
        <f t="shared" si="9"/>
        <v>10</v>
      </c>
      <c r="AK12" s="2">
        <f t="shared" si="9"/>
        <v>50</v>
      </c>
      <c r="AL12" s="2">
        <f t="shared" si="9"/>
        <v>50</v>
      </c>
      <c r="AM12" s="2">
        <f t="shared" si="9"/>
        <v>40</v>
      </c>
      <c r="AN12" s="2">
        <f t="shared" si="9"/>
        <v>35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AH1:AW1"/>
    <mergeCell ref="AH2:AW2"/>
    <mergeCell ref="AH3:AO3"/>
    <mergeCell ref="AP3:AW3"/>
    <mergeCell ref="AX1:BM1"/>
    <mergeCell ref="AX2:BM2"/>
    <mergeCell ref="AX3:BE3"/>
    <mergeCell ref="BF3:BM3"/>
    <mergeCell ref="B3:I3"/>
    <mergeCell ref="J3:Q3"/>
    <mergeCell ref="B1:Q1"/>
    <mergeCell ref="B2:Q2"/>
    <mergeCell ref="R1:AG1"/>
    <mergeCell ref="R2:AG2"/>
    <mergeCell ref="R3:Y3"/>
    <mergeCell ref="Z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50" zoomScaleNormal="90" workbookViewId="0">
      <selection activeCell="JA13" sqref="JA13"/>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1">
        <v>9</v>
      </c>
      <c r="C3" s="62"/>
      <c r="D3" s="62"/>
      <c r="E3" s="62"/>
      <c r="F3" s="62"/>
      <c r="G3" s="62"/>
      <c r="H3" s="62"/>
      <c r="I3" s="62"/>
      <c r="J3" s="62"/>
      <c r="K3" s="62"/>
      <c r="L3" s="62"/>
      <c r="M3" s="62"/>
      <c r="N3" s="62"/>
      <c r="O3" s="62"/>
      <c r="P3" s="62"/>
      <c r="Q3" s="63"/>
      <c r="R3" s="61">
        <v>9</v>
      </c>
      <c r="S3" s="62"/>
      <c r="T3" s="62"/>
      <c r="U3" s="62"/>
      <c r="V3" s="62"/>
      <c r="W3" s="62"/>
      <c r="X3" s="62"/>
      <c r="Y3" s="62"/>
      <c r="Z3" s="62"/>
      <c r="AA3" s="62"/>
      <c r="AB3" s="62"/>
      <c r="AC3" s="62"/>
      <c r="AD3" s="62"/>
      <c r="AE3" s="62"/>
      <c r="AF3" s="62"/>
      <c r="AG3" s="63"/>
      <c r="AH3" s="61">
        <v>9</v>
      </c>
      <c r="AI3" s="62"/>
      <c r="AJ3" s="62"/>
      <c r="AK3" s="62"/>
      <c r="AL3" s="62"/>
      <c r="AM3" s="62"/>
      <c r="AN3" s="62"/>
      <c r="AO3" s="62"/>
      <c r="AP3" s="62"/>
      <c r="AQ3" s="62"/>
      <c r="AR3" s="62"/>
      <c r="AS3" s="62"/>
      <c r="AT3" s="62"/>
      <c r="AU3" s="62"/>
      <c r="AV3" s="62"/>
      <c r="AW3" s="63"/>
      <c r="AX3" s="61">
        <v>9</v>
      </c>
      <c r="AY3" s="62"/>
      <c r="AZ3" s="62"/>
      <c r="BA3" s="62"/>
      <c r="BB3" s="62"/>
      <c r="BC3" s="62"/>
      <c r="BD3" s="62"/>
      <c r="BE3" s="62"/>
      <c r="BF3" s="62"/>
      <c r="BG3" s="62"/>
      <c r="BH3" s="62"/>
      <c r="BI3" s="62"/>
      <c r="BJ3" s="62"/>
      <c r="BK3" s="62"/>
      <c r="BL3" s="62"/>
      <c r="BM3" s="63"/>
      <c r="BN3" s="61">
        <v>17</v>
      </c>
      <c r="BO3" s="62"/>
      <c r="BP3" s="62"/>
      <c r="BQ3" s="62"/>
      <c r="BR3" s="62"/>
      <c r="BS3" s="62"/>
      <c r="BT3" s="62"/>
      <c r="BU3" s="62"/>
      <c r="BV3" s="62"/>
      <c r="BW3" s="62"/>
      <c r="BX3" s="62"/>
      <c r="BY3" s="62"/>
      <c r="BZ3" s="62"/>
      <c r="CA3" s="62"/>
      <c r="CB3" s="62"/>
      <c r="CC3" s="63"/>
      <c r="CD3" s="61">
        <v>17</v>
      </c>
      <c r="CE3" s="62"/>
      <c r="CF3" s="62"/>
      <c r="CG3" s="62"/>
      <c r="CH3" s="62"/>
      <c r="CI3" s="62"/>
      <c r="CJ3" s="62"/>
      <c r="CK3" s="62"/>
      <c r="CL3" s="62"/>
      <c r="CM3" s="62"/>
      <c r="CN3" s="62"/>
      <c r="CO3" s="62"/>
      <c r="CP3" s="62"/>
      <c r="CQ3" s="62"/>
      <c r="CR3" s="62"/>
      <c r="CS3" s="63"/>
      <c r="CT3" s="61">
        <v>17</v>
      </c>
      <c r="CU3" s="62"/>
      <c r="CV3" s="62"/>
      <c r="CW3" s="62"/>
      <c r="CX3" s="62"/>
      <c r="CY3" s="62"/>
      <c r="CZ3" s="62"/>
      <c r="DA3" s="62"/>
      <c r="DB3" s="62"/>
      <c r="DC3" s="62"/>
      <c r="DD3" s="62"/>
      <c r="DE3" s="62"/>
      <c r="DF3" s="62"/>
      <c r="DG3" s="62"/>
      <c r="DH3" s="62"/>
      <c r="DI3" s="63"/>
      <c r="DJ3" s="61">
        <v>17</v>
      </c>
      <c r="DK3" s="62"/>
      <c r="DL3" s="62"/>
      <c r="DM3" s="62"/>
      <c r="DN3" s="62"/>
      <c r="DO3" s="62"/>
      <c r="DP3" s="62"/>
      <c r="DQ3" s="62"/>
      <c r="DR3" s="62"/>
      <c r="DS3" s="62"/>
      <c r="DT3" s="62"/>
      <c r="DU3" s="62"/>
      <c r="DV3" s="62"/>
      <c r="DW3" s="62"/>
      <c r="DX3" s="62"/>
      <c r="DY3" s="63"/>
      <c r="DZ3" s="64">
        <v>25</v>
      </c>
      <c r="EA3" s="65"/>
      <c r="EB3" s="65"/>
      <c r="EC3" s="65"/>
      <c r="ED3" s="65"/>
      <c r="EE3" s="65"/>
      <c r="EF3" s="65"/>
      <c r="EG3" s="65"/>
      <c r="EH3" s="65"/>
      <c r="EI3" s="65"/>
      <c r="EJ3" s="65"/>
      <c r="EK3" s="65"/>
      <c r="EL3" s="65"/>
      <c r="EM3" s="65"/>
      <c r="EN3" s="65"/>
      <c r="EO3" s="66"/>
      <c r="EP3" s="67">
        <v>25</v>
      </c>
      <c r="EQ3" s="65"/>
      <c r="ER3" s="65"/>
      <c r="ES3" s="65"/>
      <c r="ET3" s="65"/>
      <c r="EU3" s="65"/>
      <c r="EV3" s="65"/>
      <c r="EW3" s="65"/>
      <c r="EX3" s="65"/>
      <c r="EY3" s="65"/>
      <c r="EZ3" s="65"/>
      <c r="FA3" s="65"/>
      <c r="FB3" s="65"/>
      <c r="FC3" s="65"/>
      <c r="FD3" s="65"/>
      <c r="FE3" s="66"/>
      <c r="FF3" s="67">
        <v>25</v>
      </c>
      <c r="FG3" s="65"/>
      <c r="FH3" s="65"/>
      <c r="FI3" s="65"/>
      <c r="FJ3" s="65"/>
      <c r="FK3" s="65"/>
      <c r="FL3" s="65"/>
      <c r="FM3" s="65"/>
      <c r="FN3" s="65"/>
      <c r="FO3" s="65"/>
      <c r="FP3" s="65"/>
      <c r="FQ3" s="65"/>
      <c r="FR3" s="65"/>
      <c r="FS3" s="65"/>
      <c r="FT3" s="65"/>
      <c r="FU3" s="66"/>
      <c r="FV3" s="67">
        <v>25</v>
      </c>
      <c r="FW3" s="65"/>
      <c r="FX3" s="65"/>
      <c r="FY3" s="65"/>
      <c r="FZ3" s="65"/>
      <c r="GA3" s="65"/>
      <c r="GB3" s="65"/>
      <c r="GC3" s="65"/>
      <c r="GD3" s="65"/>
      <c r="GE3" s="65"/>
      <c r="GF3" s="65"/>
      <c r="GG3" s="65"/>
      <c r="GH3" s="65"/>
      <c r="GI3" s="65"/>
      <c r="GJ3" s="65"/>
      <c r="GK3" s="66"/>
      <c r="GL3" s="67">
        <v>33</v>
      </c>
      <c r="GM3" s="65"/>
      <c r="GN3" s="65"/>
      <c r="GO3" s="65"/>
      <c r="GP3" s="65"/>
      <c r="GQ3" s="65"/>
      <c r="GR3" s="65"/>
      <c r="GS3" s="65"/>
      <c r="GT3" s="65"/>
      <c r="GU3" s="65"/>
      <c r="GV3" s="65"/>
      <c r="GW3" s="65"/>
      <c r="GX3" s="65"/>
      <c r="GY3" s="65"/>
      <c r="GZ3" s="65"/>
      <c r="HA3" s="66"/>
      <c r="HB3" s="67">
        <v>33</v>
      </c>
      <c r="HC3" s="65"/>
      <c r="HD3" s="65"/>
      <c r="HE3" s="65"/>
      <c r="HF3" s="65"/>
      <c r="HG3" s="65"/>
      <c r="HH3" s="65"/>
      <c r="HI3" s="65"/>
      <c r="HJ3" s="65"/>
      <c r="HK3" s="65"/>
      <c r="HL3" s="65"/>
      <c r="HM3" s="65"/>
      <c r="HN3" s="65"/>
      <c r="HO3" s="65"/>
      <c r="HP3" s="65"/>
      <c r="HQ3" s="66"/>
      <c r="HR3" s="67">
        <v>33</v>
      </c>
      <c r="HS3" s="65"/>
      <c r="HT3" s="65"/>
      <c r="HU3" s="65"/>
      <c r="HV3" s="65"/>
      <c r="HW3" s="65"/>
      <c r="HX3" s="65"/>
      <c r="HY3" s="65"/>
      <c r="HZ3" s="65"/>
      <c r="IA3" s="65"/>
      <c r="IB3" s="65"/>
      <c r="IC3" s="65"/>
      <c r="ID3" s="65"/>
      <c r="IE3" s="65"/>
      <c r="IF3" s="65"/>
      <c r="IG3" s="66"/>
      <c r="IH3" s="67">
        <v>33</v>
      </c>
      <c r="II3" s="65"/>
      <c r="IJ3" s="65"/>
      <c r="IK3" s="65"/>
      <c r="IL3" s="65"/>
      <c r="IM3" s="65"/>
      <c r="IN3" s="65"/>
      <c r="IO3" s="65"/>
      <c r="IP3" s="65"/>
      <c r="IQ3" s="65"/>
      <c r="IR3" s="65"/>
      <c r="IS3" s="65"/>
      <c r="IT3" s="65"/>
      <c r="IU3" s="65"/>
      <c r="IV3" s="65"/>
      <c r="IW3" s="66"/>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40</v>
      </c>
      <c r="BR10" s="2">
        <f>'Demand Stage 2'!V9</f>
        <v>40</v>
      </c>
      <c r="BS10" s="2">
        <f>'Demand Stage 2'!W9</f>
        <v>40</v>
      </c>
      <c r="BT10" s="2">
        <f>'Demand Stage 2'!X9</f>
        <v>50</v>
      </c>
      <c r="BU10" s="2">
        <f>'Demand Stage 2'!Y9</f>
        <v>20</v>
      </c>
      <c r="BV10" s="3"/>
      <c r="BW10" s="3"/>
      <c r="BX10" s="3"/>
      <c r="BY10" s="3"/>
      <c r="BZ10" s="3"/>
      <c r="CA10" s="3"/>
      <c r="CB10" s="3"/>
      <c r="CC10" s="3"/>
      <c r="CD10" s="2">
        <f t="shared" si="38"/>
        <v>10</v>
      </c>
      <c r="CE10" s="2">
        <f t="shared" si="14"/>
        <v>10</v>
      </c>
      <c r="CF10" s="2">
        <f t="shared" si="14"/>
        <v>10</v>
      </c>
      <c r="CG10" s="2">
        <f t="shared" si="14"/>
        <v>40</v>
      </c>
      <c r="CH10" s="2">
        <f t="shared" si="14"/>
        <v>40</v>
      </c>
      <c r="CI10" s="2">
        <f t="shared" si="14"/>
        <v>40</v>
      </c>
      <c r="CJ10" s="2">
        <f t="shared" si="14"/>
        <v>50</v>
      </c>
      <c r="CK10" s="2">
        <f t="shared" si="14"/>
        <v>20</v>
      </c>
      <c r="CL10" s="3"/>
      <c r="CM10" s="3"/>
      <c r="CN10" s="3"/>
      <c r="CO10" s="3"/>
      <c r="CP10" s="3"/>
      <c r="CQ10" s="3"/>
      <c r="CR10" s="3"/>
      <c r="CS10" s="3"/>
      <c r="CT10" s="2">
        <f t="shared" si="74"/>
        <v>10</v>
      </c>
      <c r="CU10" s="2">
        <f t="shared" si="16"/>
        <v>10</v>
      </c>
      <c r="CV10" s="2">
        <f t="shared" si="16"/>
        <v>10</v>
      </c>
      <c r="CW10" s="2">
        <f t="shared" si="16"/>
        <v>40</v>
      </c>
      <c r="CX10" s="2">
        <f t="shared" si="16"/>
        <v>40</v>
      </c>
      <c r="CY10" s="2">
        <f t="shared" si="16"/>
        <v>40</v>
      </c>
      <c r="CZ10" s="2">
        <f t="shared" si="16"/>
        <v>50</v>
      </c>
      <c r="DA10" s="2">
        <f t="shared" si="16"/>
        <v>20</v>
      </c>
      <c r="DB10" s="3"/>
      <c r="DC10" s="3"/>
      <c r="DD10" s="3"/>
      <c r="DE10" s="3"/>
      <c r="DF10" s="3"/>
      <c r="DG10" s="3"/>
      <c r="DH10" s="3"/>
      <c r="DI10" s="3"/>
      <c r="DJ10" s="2">
        <f t="shared" si="40"/>
        <v>10</v>
      </c>
      <c r="DK10" s="2">
        <f t="shared" si="24"/>
        <v>10</v>
      </c>
      <c r="DL10" s="2">
        <f t="shared" si="24"/>
        <v>10</v>
      </c>
      <c r="DM10" s="2">
        <f t="shared" si="24"/>
        <v>40</v>
      </c>
      <c r="DN10" s="2">
        <f t="shared" si="24"/>
        <v>40</v>
      </c>
      <c r="DO10" s="2">
        <f t="shared" si="24"/>
        <v>40</v>
      </c>
      <c r="DP10" s="2">
        <f t="shared" si="24"/>
        <v>50</v>
      </c>
      <c r="DQ10" s="2">
        <f t="shared" si="24"/>
        <v>20</v>
      </c>
      <c r="DR10" s="3"/>
      <c r="DS10" s="3"/>
      <c r="DT10" s="3"/>
      <c r="DU10" s="3"/>
      <c r="DV10" s="3"/>
      <c r="DW10" s="3"/>
      <c r="DX10" s="3"/>
      <c r="DY10" s="3"/>
      <c r="DZ10" s="2">
        <f>'Demand Stage 2'!AH9</f>
        <v>10</v>
      </c>
      <c r="EA10" s="2">
        <f>'Demand Stage 2'!AI9</f>
        <v>10</v>
      </c>
      <c r="EB10" s="2">
        <f>'Demand Stage 2'!AJ9</f>
        <v>10</v>
      </c>
      <c r="EC10" s="2">
        <f>'Demand Stage 2'!AK9</f>
        <v>50</v>
      </c>
      <c r="ED10" s="2">
        <f>'Demand Stage 2'!AL9</f>
        <v>50</v>
      </c>
      <c r="EE10" s="2">
        <f>'Demand Stage 2'!AM9</f>
        <v>40</v>
      </c>
      <c r="EF10" s="2">
        <f>'Demand Stage 2'!AN9</f>
        <v>40</v>
      </c>
      <c r="EG10" s="2">
        <f>'Demand Stage 2'!AO9</f>
        <v>20</v>
      </c>
      <c r="EH10" s="3"/>
      <c r="EI10" s="3"/>
      <c r="EJ10" s="3"/>
      <c r="EK10" s="3"/>
      <c r="EL10" s="3"/>
      <c r="EM10" s="3"/>
      <c r="EN10" s="3"/>
      <c r="EO10" s="3"/>
      <c r="EP10" s="2">
        <f t="shared" si="49"/>
        <v>10</v>
      </c>
      <c r="EQ10" s="2">
        <f t="shared" si="26"/>
        <v>10</v>
      </c>
      <c r="ER10" s="2">
        <f t="shared" si="26"/>
        <v>10</v>
      </c>
      <c r="ES10" s="2">
        <f t="shared" si="26"/>
        <v>50</v>
      </c>
      <c r="ET10" s="2">
        <f t="shared" si="26"/>
        <v>50</v>
      </c>
      <c r="EU10" s="2">
        <f t="shared" si="26"/>
        <v>40</v>
      </c>
      <c r="EV10" s="2">
        <f t="shared" si="26"/>
        <v>40</v>
      </c>
      <c r="EW10" s="2">
        <f t="shared" si="26"/>
        <v>20</v>
      </c>
      <c r="EX10" s="3"/>
      <c r="EY10" s="3"/>
      <c r="EZ10" s="3"/>
      <c r="FA10" s="3"/>
      <c r="FB10" s="3"/>
      <c r="FC10" s="3"/>
      <c r="FD10" s="3"/>
      <c r="FE10" s="3"/>
      <c r="FF10" s="2">
        <f t="shared" si="51"/>
        <v>10</v>
      </c>
      <c r="FG10" s="2">
        <f t="shared" si="28"/>
        <v>10</v>
      </c>
      <c r="FH10" s="2">
        <f t="shared" si="28"/>
        <v>10</v>
      </c>
      <c r="FI10" s="2">
        <f t="shared" si="28"/>
        <v>50</v>
      </c>
      <c r="FJ10" s="2">
        <f t="shared" si="28"/>
        <v>50</v>
      </c>
      <c r="FK10" s="2">
        <f t="shared" si="28"/>
        <v>40</v>
      </c>
      <c r="FL10" s="2">
        <f t="shared" si="28"/>
        <v>40</v>
      </c>
      <c r="FM10" s="2">
        <f t="shared" si="28"/>
        <v>20</v>
      </c>
      <c r="FN10" s="3"/>
      <c r="FO10" s="3"/>
      <c r="FP10" s="3"/>
      <c r="FQ10" s="3"/>
      <c r="FR10" s="3"/>
      <c r="FS10" s="3"/>
      <c r="FT10" s="3"/>
      <c r="FU10" s="3"/>
      <c r="FV10" s="2">
        <f t="shared" si="60"/>
        <v>10</v>
      </c>
      <c r="FW10" s="2">
        <f t="shared" si="30"/>
        <v>10</v>
      </c>
      <c r="FX10" s="2">
        <f t="shared" si="30"/>
        <v>10</v>
      </c>
      <c r="FY10" s="2">
        <f t="shared" si="30"/>
        <v>50</v>
      </c>
      <c r="FZ10" s="2">
        <f t="shared" si="30"/>
        <v>50</v>
      </c>
      <c r="GA10" s="2">
        <f t="shared" si="30"/>
        <v>40</v>
      </c>
      <c r="GB10" s="2">
        <f t="shared" si="30"/>
        <v>40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40</v>
      </c>
      <c r="BR13" s="2">
        <f>'Demand Stage 2'!V12</f>
        <v>40</v>
      </c>
      <c r="BS13" s="2">
        <f>'Demand Stage 2'!W12</f>
        <v>40</v>
      </c>
      <c r="BT13" s="2">
        <f>'Demand Stage 2'!X12</f>
        <v>45</v>
      </c>
      <c r="BU13" s="2">
        <f>'Demand Stage 2'!Y12</f>
        <v>20</v>
      </c>
      <c r="BV13" s="3"/>
      <c r="BW13" s="3"/>
      <c r="BX13" s="3"/>
      <c r="BY13" s="3"/>
      <c r="BZ13" s="3"/>
      <c r="CA13" s="3"/>
      <c r="CB13" s="3"/>
      <c r="CC13" s="3"/>
      <c r="CD13" s="2">
        <f t="shared" si="38"/>
        <v>10</v>
      </c>
      <c r="CE13" s="2">
        <f t="shared" si="14"/>
        <v>10</v>
      </c>
      <c r="CF13" s="2">
        <f t="shared" si="14"/>
        <v>10</v>
      </c>
      <c r="CG13" s="2">
        <f t="shared" si="14"/>
        <v>40</v>
      </c>
      <c r="CH13" s="2">
        <f t="shared" si="14"/>
        <v>40</v>
      </c>
      <c r="CI13" s="2">
        <f t="shared" si="14"/>
        <v>40</v>
      </c>
      <c r="CJ13" s="2">
        <f t="shared" si="14"/>
        <v>45</v>
      </c>
      <c r="CK13" s="2">
        <f t="shared" si="14"/>
        <v>20</v>
      </c>
      <c r="CL13" s="3"/>
      <c r="CM13" s="3"/>
      <c r="CN13" s="3"/>
      <c r="CO13" s="3"/>
      <c r="CP13" s="3"/>
      <c r="CQ13" s="3"/>
      <c r="CR13" s="3"/>
      <c r="CS13" s="3"/>
      <c r="CT13" s="2">
        <f t="shared" si="74"/>
        <v>10</v>
      </c>
      <c r="CU13" s="2">
        <f t="shared" si="16"/>
        <v>10</v>
      </c>
      <c r="CV13" s="2">
        <f t="shared" si="16"/>
        <v>10</v>
      </c>
      <c r="CW13" s="2">
        <f t="shared" si="16"/>
        <v>40</v>
      </c>
      <c r="CX13" s="2">
        <f t="shared" si="16"/>
        <v>40</v>
      </c>
      <c r="CY13" s="2">
        <f t="shared" si="16"/>
        <v>40</v>
      </c>
      <c r="CZ13" s="2">
        <f>CJ13</f>
        <v>45</v>
      </c>
      <c r="DA13" s="2">
        <f t="shared" si="16"/>
        <v>20</v>
      </c>
      <c r="DB13" s="3"/>
      <c r="DC13" s="3"/>
      <c r="DD13" s="3"/>
      <c r="DE13" s="3"/>
      <c r="DF13" s="3"/>
      <c r="DG13" s="3"/>
      <c r="DH13" s="3"/>
      <c r="DI13" s="3"/>
      <c r="DJ13" s="2">
        <f t="shared" si="40"/>
        <v>10</v>
      </c>
      <c r="DK13" s="2">
        <f t="shared" si="24"/>
        <v>10</v>
      </c>
      <c r="DL13" s="2">
        <f t="shared" si="24"/>
        <v>10</v>
      </c>
      <c r="DM13" s="2">
        <f t="shared" si="24"/>
        <v>40</v>
      </c>
      <c r="DN13" s="2">
        <f t="shared" si="24"/>
        <v>40</v>
      </c>
      <c r="DO13" s="2">
        <f t="shared" si="24"/>
        <v>40</v>
      </c>
      <c r="DP13" s="2">
        <f t="shared" si="24"/>
        <v>45</v>
      </c>
      <c r="DQ13" s="2">
        <f t="shared" si="24"/>
        <v>20</v>
      </c>
      <c r="DR13" s="3"/>
      <c r="DS13" s="3"/>
      <c r="DT13" s="3"/>
      <c r="DU13" s="3"/>
      <c r="DV13" s="3"/>
      <c r="DW13" s="3"/>
      <c r="DX13" s="3"/>
      <c r="DY13" s="3"/>
      <c r="DZ13" s="2">
        <f>'Demand Stage 2'!AH12</f>
        <v>10</v>
      </c>
      <c r="EA13" s="2">
        <f>'Demand Stage 2'!AI12</f>
        <v>10</v>
      </c>
      <c r="EB13" s="2">
        <f>'Demand Stage 2'!AJ12</f>
        <v>10</v>
      </c>
      <c r="EC13" s="2">
        <f>'Demand Stage 2'!AK12</f>
        <v>50</v>
      </c>
      <c r="ED13" s="2">
        <f>'Demand Stage 2'!AL12</f>
        <v>50</v>
      </c>
      <c r="EE13" s="2">
        <f>'Demand Stage 2'!AM12</f>
        <v>40</v>
      </c>
      <c r="EF13" s="2">
        <f>'Demand Stage 2'!AN12</f>
        <v>35</v>
      </c>
      <c r="EG13" s="2">
        <f>'Demand Stage 2'!AO12</f>
        <v>20</v>
      </c>
      <c r="EH13" s="3"/>
      <c r="EI13" s="3"/>
      <c r="EJ13" s="3"/>
      <c r="EK13" s="3"/>
      <c r="EL13" s="3"/>
      <c r="EM13" s="3"/>
      <c r="EN13" s="3"/>
      <c r="EO13" s="3"/>
      <c r="EP13" s="2">
        <f t="shared" si="49"/>
        <v>10</v>
      </c>
      <c r="EQ13" s="2">
        <f t="shared" si="26"/>
        <v>10</v>
      </c>
      <c r="ER13" s="2">
        <f t="shared" si="26"/>
        <v>10</v>
      </c>
      <c r="ES13" s="2">
        <f t="shared" si="26"/>
        <v>50</v>
      </c>
      <c r="ET13" s="2">
        <f t="shared" si="26"/>
        <v>50</v>
      </c>
      <c r="EU13" s="2">
        <f t="shared" si="26"/>
        <v>40</v>
      </c>
      <c r="EV13" s="2">
        <f t="shared" si="26"/>
        <v>35</v>
      </c>
      <c r="EW13" s="2">
        <f t="shared" si="26"/>
        <v>20</v>
      </c>
      <c r="EX13" s="3"/>
      <c r="EY13" s="3"/>
      <c r="EZ13" s="3"/>
      <c r="FA13" s="3"/>
      <c r="FB13" s="3"/>
      <c r="FC13" s="3"/>
      <c r="FD13" s="3"/>
      <c r="FE13" s="3"/>
      <c r="FF13" s="2">
        <f t="shared" si="51"/>
        <v>10</v>
      </c>
      <c r="FG13" s="2">
        <f t="shared" si="28"/>
        <v>10</v>
      </c>
      <c r="FH13" s="2">
        <f t="shared" si="28"/>
        <v>10</v>
      </c>
      <c r="FI13" s="2">
        <f t="shared" si="28"/>
        <v>50</v>
      </c>
      <c r="FJ13" s="2">
        <f t="shared" si="28"/>
        <v>50</v>
      </c>
      <c r="FK13" s="2">
        <f t="shared" si="28"/>
        <v>40</v>
      </c>
      <c r="FL13" s="2">
        <f t="shared" si="28"/>
        <v>35</v>
      </c>
      <c r="FM13" s="2">
        <f t="shared" si="28"/>
        <v>20</v>
      </c>
      <c r="FN13" s="3"/>
      <c r="FO13" s="3"/>
      <c r="FP13" s="3"/>
      <c r="FQ13" s="3"/>
      <c r="FR13" s="3"/>
      <c r="FS13" s="3"/>
      <c r="FT13" s="3"/>
      <c r="FU13" s="3"/>
      <c r="FV13" s="2">
        <f t="shared" si="60"/>
        <v>10</v>
      </c>
      <c r="FW13" s="2">
        <f t="shared" si="30"/>
        <v>10</v>
      </c>
      <c r="FX13" s="2">
        <f t="shared" si="30"/>
        <v>10</v>
      </c>
      <c r="FY13" s="2">
        <f t="shared" si="30"/>
        <v>50</v>
      </c>
      <c r="FZ13" s="2">
        <f t="shared" si="30"/>
        <v>50</v>
      </c>
      <c r="GA13" s="2">
        <f t="shared" si="30"/>
        <v>40</v>
      </c>
      <c r="GB13" s="2">
        <f t="shared" si="30"/>
        <v>35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HB2:HQ2"/>
    <mergeCell ref="HR2:IG2"/>
    <mergeCell ref="IH2:IW2"/>
    <mergeCell ref="DZ2:EO2"/>
    <mergeCell ref="EP2:FE2"/>
    <mergeCell ref="FF2:FU2"/>
    <mergeCell ref="FV2:GK2"/>
    <mergeCell ref="GL2:HA2"/>
    <mergeCell ref="AX2:BM2"/>
    <mergeCell ref="BN2:CC2"/>
    <mergeCell ref="CD2:CS2"/>
    <mergeCell ref="CT2:DI2"/>
    <mergeCell ref="DJ2:DY2"/>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GL4:GS4"/>
    <mergeCell ref="GT4:HA4"/>
    <mergeCell ref="HB4:HI4"/>
    <mergeCell ref="HJ4:HQ4"/>
    <mergeCell ref="HR4:HY4"/>
    <mergeCell ref="EX4:FE4"/>
    <mergeCell ref="FF4:FM4"/>
    <mergeCell ref="FN4:FU4"/>
    <mergeCell ref="FV4:GC4"/>
    <mergeCell ref="GD4:GK4"/>
    <mergeCell ref="DJ4:DQ4"/>
    <mergeCell ref="DR4:DY4"/>
    <mergeCell ref="DZ4:EG4"/>
    <mergeCell ref="EH4:EO4"/>
    <mergeCell ref="EP4:EW4"/>
    <mergeCell ref="BV4:CC4"/>
    <mergeCell ref="CD4:CK4"/>
    <mergeCell ref="CL4:CS4"/>
    <mergeCell ref="CT4:DA4"/>
    <mergeCell ref="DB4:DI4"/>
    <mergeCell ref="AH4:AO4"/>
    <mergeCell ref="AP4:AW4"/>
    <mergeCell ref="AX4:BE4"/>
    <mergeCell ref="BF4:BM4"/>
    <mergeCell ref="BN4:BU4"/>
    <mergeCell ref="B1:Q1"/>
    <mergeCell ref="R1:AG1"/>
    <mergeCell ref="B2:Q2"/>
    <mergeCell ref="R2:AG2"/>
    <mergeCell ref="B4:I4"/>
    <mergeCell ref="J4:Q4"/>
    <mergeCell ref="R4:Y4"/>
    <mergeCell ref="Z4:AG4"/>
    <mergeCell ref="B3:Q3"/>
    <mergeCell ref="R3:A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K2" sqref="K2"/>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2"/>
  <sheetViews>
    <sheetView zoomScale="180" zoomScaleNormal="180" workbookViewId="0">
      <selection activeCell="A13" sqref="A13"/>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2"/>
  <sheetViews>
    <sheetView topLeftCell="F1" zoomScale="160" zoomScaleNormal="160" workbookViewId="0">
      <selection activeCell="N3" sqref="N3"/>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0.1</v>
      </c>
      <c r="N2" s="3">
        <v>0.1</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0.1</v>
      </c>
      <c r="N3" s="3">
        <v>0.1</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0.1</v>
      </c>
      <c r="N4" s="3">
        <v>0.1</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0.1</v>
      </c>
      <c r="N5" s="3">
        <v>0.1</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0.1</v>
      </c>
      <c r="N6" s="3">
        <v>0.1</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0.1</v>
      </c>
      <c r="N7" s="3">
        <v>0.1</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0.1</v>
      </c>
      <c r="N8" s="3">
        <v>0.1</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0.1</v>
      </c>
      <c r="N9" s="3">
        <v>0.1</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0.1</v>
      </c>
      <c r="N10" s="3">
        <v>0.1</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0.1</v>
      </c>
      <c r="N11" s="3">
        <v>0.1</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0.1</v>
      </c>
      <c r="N12" s="3">
        <v>0.1</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0.1</v>
      </c>
      <c r="N13" s="3">
        <v>0.1</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0.1</v>
      </c>
      <c r="N14" s="3">
        <v>0.1</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0.1</v>
      </c>
      <c r="N15" s="3">
        <v>0.1</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0.1</v>
      </c>
      <c r="N16" s="3">
        <v>0.1</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0.1</v>
      </c>
      <c r="N17" s="3">
        <v>0.1</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0.1</v>
      </c>
      <c r="N18" s="3">
        <v>0.1</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0.1</v>
      </c>
      <c r="N19" s="3">
        <v>0.1</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0.1</v>
      </c>
      <c r="N20" s="3">
        <v>0.1</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0.1</v>
      </c>
      <c r="N21" s="3">
        <v>0.1</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0.1</v>
      </c>
      <c r="N22" s="3">
        <v>0.1</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0.1</v>
      </c>
      <c r="N23" s="3">
        <v>0.1</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0.1</v>
      </c>
      <c r="N24" s="3">
        <v>0.1</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0.1</v>
      </c>
      <c r="N25" s="3">
        <v>0.1</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0.1</v>
      </c>
      <c r="N26" s="3">
        <v>0.1</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0.1</v>
      </c>
      <c r="N27" s="3">
        <v>0.1</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0.1</v>
      </c>
      <c r="N28" s="3">
        <v>0.1</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0.1</v>
      </c>
      <c r="N29" s="3">
        <v>0.1</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0.1</v>
      </c>
      <c r="N30" s="3">
        <v>0.1</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0.1</v>
      </c>
      <c r="N31" s="3">
        <v>0.1</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0.1</v>
      </c>
      <c r="N32" s="3">
        <v>0.1</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0.1</v>
      </c>
      <c r="N33" s="3">
        <v>0.1</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0.1</v>
      </c>
      <c r="N34" s="3">
        <v>0.1</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0.1</v>
      </c>
      <c r="N35" s="3">
        <v>0.1</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0.1</v>
      </c>
      <c r="N36" s="3">
        <v>0.1</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0.1</v>
      </c>
      <c r="N37" s="3">
        <v>0.1</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0.1</v>
      </c>
      <c r="N38" s="3">
        <v>0.1</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0.1</v>
      </c>
      <c r="N39" s="3">
        <v>0.1</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0.1</v>
      </c>
      <c r="N40" s="3">
        <v>0.1</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0.1</v>
      </c>
      <c r="N41" s="3">
        <v>0.1</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0.1</v>
      </c>
      <c r="N42" s="3">
        <v>0.1</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0.1</v>
      </c>
      <c r="N43" s="3">
        <v>0.1</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0.1</v>
      </c>
      <c r="N44" s="3">
        <v>0.1</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0.1</v>
      </c>
      <c r="N45" s="3">
        <v>0.1</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0.1</v>
      </c>
      <c r="N46" s="3">
        <v>0.1</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0.1</v>
      </c>
      <c r="N47" s="3">
        <v>0.1</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0.1</v>
      </c>
      <c r="N48" s="3">
        <v>0.1</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0.1</v>
      </c>
      <c r="N49" s="3">
        <v>0.1</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0.1</v>
      </c>
      <c r="N50" s="3">
        <v>0.1</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0.1</v>
      </c>
      <c r="N51" s="3">
        <v>0.1</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0.1</v>
      </c>
      <c r="N52" s="3">
        <v>0.1</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0.1</v>
      </c>
      <c r="N53" s="3">
        <v>0.1</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0.1</v>
      </c>
      <c r="N54" s="3">
        <v>0.1</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0.1</v>
      </c>
      <c r="N55" s="3">
        <v>0.1</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0.1</v>
      </c>
      <c r="N56" s="3">
        <v>0.1</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0.1</v>
      </c>
      <c r="N57" s="3">
        <v>0.1</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0.1</v>
      </c>
      <c r="N58" s="3">
        <v>0.1</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0.1</v>
      </c>
      <c r="N59" s="3">
        <v>0.1</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0.1</v>
      </c>
      <c r="N60" s="3">
        <v>0.1</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0.1</v>
      </c>
      <c r="N61" s="3">
        <v>0.1</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row r="62" spans="1:17"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0.1</v>
      </c>
      <c r="N62" s="3">
        <v>0.1</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topLeftCell="B1" zoomScale="200" zoomScaleNormal="200" workbookViewId="0">
      <selection activeCell="C7" sqref="C7"/>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26" t="s">
        <v>102</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8.8860904109589036</v>
      </c>
      <c r="C15" cm="1">
        <f t="array" ref="C15">SUM(IF(ISNUMBER(VLOOKUP(C2:C13,Nodes!$B$3:$I$61,8)),VLOOKUP(C2:C13,Nodes!$B$3:$I$61,8)))</f>
        <v>3.8482712328767121</v>
      </c>
      <c r="D15" cm="1">
        <f t="array" ref="D15">SUM(IF(ISNUMBER(VLOOKUP(D2:D13,Nodes!$B$3:$I$61,8)),VLOOKUP(D2:D13,Nodes!$B$3:$I$61,8)))</f>
        <v>240.19259726027397</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0.35852054794520549</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B1" sqref="B1"/>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v>
      </c>
      <c r="D2">
        <v>0</v>
      </c>
      <c r="E2">
        <v>0</v>
      </c>
      <c r="F2">
        <v>0</v>
      </c>
      <c r="G2">
        <f>12.5/40</f>
        <v>0.3125</v>
      </c>
      <c r="H2">
        <f>12.5/40</f>
        <v>0.3125</v>
      </c>
      <c r="I2">
        <v>0</v>
      </c>
      <c r="K2">
        <f>HLOOKUP(A2,Traders!$A$1:$H$15,15,)</f>
        <v>32.633767123287676</v>
      </c>
      <c r="L2" cm="1">
        <f t="array" ref="L2">SUM(B2:I2*MAX('Demand Stage 1'!$B$5:$I$12))</f>
        <v>46.125</v>
      </c>
    </row>
    <row r="3" spans="1:12" x14ac:dyDescent="0.2">
      <c r="A3" t="s">
        <v>177</v>
      </c>
      <c r="B3">
        <v>0</v>
      </c>
      <c r="C3">
        <v>0</v>
      </c>
      <c r="D3">
        <v>0</v>
      </c>
      <c r="E3">
        <v>0</v>
      </c>
      <c r="F3">
        <f>2.5/45</f>
        <v>5.5555555555555552E-2</v>
      </c>
      <c r="G3">
        <v>0</v>
      </c>
      <c r="H3">
        <v>0</v>
      </c>
      <c r="I3">
        <v>0.2</v>
      </c>
      <c r="K3">
        <f>HLOOKUP(A3,Traders!$A$1:$H$15,15,)</f>
        <v>8.8860904109589036</v>
      </c>
      <c r="L3" cm="1">
        <f t="array" ref="L3">SUM(B3:I3*MAX('Demand Stage 1'!$B$5:$I$12))</f>
        <v>11.5</v>
      </c>
    </row>
    <row r="4" spans="1:12" x14ac:dyDescent="0.2">
      <c r="A4" t="s">
        <v>210</v>
      </c>
      <c r="B4">
        <v>0</v>
      </c>
      <c r="C4">
        <v>0</v>
      </c>
      <c r="D4">
        <v>0</v>
      </c>
      <c r="E4">
        <f>3.5/45</f>
        <v>7.7777777777777779E-2</v>
      </c>
      <c r="F4">
        <v>0</v>
      </c>
      <c r="G4">
        <v>0</v>
      </c>
      <c r="H4">
        <v>0</v>
      </c>
      <c r="I4">
        <v>0</v>
      </c>
      <c r="K4">
        <f>HLOOKUP(A4,Traders!$A$1:$H$15,15,)</f>
        <v>3.8482712328767121</v>
      </c>
      <c r="L4" cm="1">
        <f t="array" ref="L4">SUM(B4:I4*MAX('Demand Stage 1'!$B$5:$I$12))</f>
        <v>3.5</v>
      </c>
    </row>
    <row r="5" spans="1:12" x14ac:dyDescent="0.2">
      <c r="A5" t="s">
        <v>163</v>
      </c>
      <c r="B5">
        <v>0.4</v>
      </c>
      <c r="C5">
        <v>0.6</v>
      </c>
      <c r="D5">
        <v>1</v>
      </c>
      <c r="E5">
        <f>8/9</f>
        <v>0.88888888888888884</v>
      </c>
      <c r="F5">
        <f>8/9</f>
        <v>0.88888888888888884</v>
      </c>
      <c r="G5">
        <v>0.6875</v>
      </c>
      <c r="H5">
        <v>0.6875</v>
      </c>
      <c r="I5">
        <v>0.8</v>
      </c>
      <c r="K5">
        <f>HLOOKUP(A5,Traders!$A$1:$H$15,15,)</f>
        <v>240.19259726027397</v>
      </c>
      <c r="L5" cm="1">
        <f t="array" ref="L5">SUM(B5:I5*MAX('Demand Stage 1'!$B$5:$I$12))</f>
        <v>267.875</v>
      </c>
    </row>
    <row r="6" spans="1:12" x14ac:dyDescent="0.2">
      <c r="A6" t="s">
        <v>211</v>
      </c>
      <c r="B6">
        <v>0</v>
      </c>
      <c r="C6">
        <v>0</v>
      </c>
      <c r="D6">
        <v>0</v>
      </c>
      <c r="E6">
        <f>1.5/45</f>
        <v>3.3333333333333333E-2</v>
      </c>
      <c r="F6">
        <f>1.5/45</f>
        <v>3.3333333333333333E-2</v>
      </c>
      <c r="G6">
        <v>0</v>
      </c>
      <c r="H6">
        <v>0</v>
      </c>
      <c r="I6">
        <v>0</v>
      </c>
      <c r="K6">
        <f>HLOOKUP(A6,Traders!$A$1:$H$15,15,)</f>
        <v>4.0645178082191773</v>
      </c>
      <c r="L6" cm="1">
        <f t="array" ref="L6">SUM(B6:I6*MAX('Demand Stage 1'!$B$5:$I$12))</f>
        <v>3</v>
      </c>
    </row>
    <row r="7" spans="1:12" x14ac:dyDescent="0.2">
      <c r="A7" t="s">
        <v>212</v>
      </c>
      <c r="B7">
        <v>0.57499999999999996</v>
      </c>
      <c r="C7">
        <v>0</v>
      </c>
      <c r="D7">
        <v>0</v>
      </c>
      <c r="E7">
        <v>0</v>
      </c>
      <c r="F7">
        <v>0</v>
      </c>
      <c r="G7">
        <v>0</v>
      </c>
      <c r="H7">
        <v>0</v>
      </c>
      <c r="I7">
        <v>0</v>
      </c>
      <c r="K7">
        <f>HLOOKUP(A7,Traders!$A$1:$H$15,15,)</f>
        <v>10.738131506849314</v>
      </c>
      <c r="L7" cm="1">
        <f t="array" ref="L7">SUM(B7:I7*MAX('Demand Stage 1'!$B$5:$I$12))</f>
        <v>25.874999999999996</v>
      </c>
    </row>
    <row r="8" spans="1:12" x14ac:dyDescent="0.2">
      <c r="A8" t="s">
        <v>214</v>
      </c>
      <c r="B8">
        <v>0</v>
      </c>
      <c r="C8">
        <v>0</v>
      </c>
      <c r="D8">
        <v>0</v>
      </c>
      <c r="E8">
        <v>0</v>
      </c>
      <c r="F8">
        <f>1/45</f>
        <v>2.2222222222222223E-2</v>
      </c>
      <c r="G8">
        <v>0</v>
      </c>
      <c r="H8">
        <v>0</v>
      </c>
      <c r="I8">
        <v>0</v>
      </c>
      <c r="K8">
        <f>HLOOKUP(A8,Traders!$A$1:$H$15,15,)</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HLOOKUP(A9,Traders!$A$1:$H$15,15,)</f>
        <v>0.35852054794520549</v>
      </c>
      <c r="L9" s="40" cm="1">
        <f t="array" ref="L9">SUM(B9:I9*MAX('Demand Stage 1'!$B$5:$I$12))</f>
        <v>1.125</v>
      </c>
    </row>
    <row r="10" spans="1:12" ht="17" thickTop="1" x14ac:dyDescent="0.2">
      <c r="A10" s="8" t="s">
        <v>308</v>
      </c>
      <c r="B10">
        <f>SUM(B2:B9)</f>
        <v>1</v>
      </c>
      <c r="C10">
        <f t="shared" ref="C10:I10" si="0">SUM(C2:C9)</f>
        <v>1</v>
      </c>
      <c r="D10">
        <f t="shared" si="0"/>
        <v>1</v>
      </c>
      <c r="E10">
        <f>SUM(E2:E9)</f>
        <v>0.99999999999999989</v>
      </c>
      <c r="F10">
        <f>SUM(F2:F9)</f>
        <v>1</v>
      </c>
      <c r="G10">
        <f t="shared" si="0"/>
        <v>1</v>
      </c>
      <c r="H10">
        <f t="shared" si="0"/>
        <v>1</v>
      </c>
      <c r="I10">
        <f t="shared" si="0"/>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C2" sqref="C2"/>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17"/>
  <sheetViews>
    <sheetView workbookViewId="0">
      <selection activeCell="B2" sqref="B2"/>
    </sheetView>
  </sheetViews>
  <sheetFormatPr baseColWidth="10" defaultRowHeight="16" x14ac:dyDescent="0.2"/>
  <cols>
    <col min="1" max="1" width="21.5" bestFit="1" customWidth="1"/>
  </cols>
  <sheetData>
    <row r="1" spans="1:3" x14ac:dyDescent="0.2">
      <c r="A1" s="55" t="s">
        <v>343</v>
      </c>
      <c r="B1" s="55" t="s">
        <v>344</v>
      </c>
      <c r="C1" s="8" t="s">
        <v>26</v>
      </c>
    </row>
    <row r="2" spans="1:3" x14ac:dyDescent="0.2">
      <c r="A2">
        <v>0</v>
      </c>
      <c r="B2">
        <v>0</v>
      </c>
      <c r="C2">
        <v>0.12</v>
      </c>
    </row>
    <row r="3" spans="1:3" x14ac:dyDescent="0.2">
      <c r="A3">
        <v>0</v>
      </c>
      <c r="B3">
        <v>0.5</v>
      </c>
      <c r="C3">
        <v>0.06</v>
      </c>
    </row>
    <row r="4" spans="1:3" x14ac:dyDescent="0.2">
      <c r="A4">
        <v>0</v>
      </c>
      <c r="B4">
        <v>1</v>
      </c>
      <c r="C4">
        <v>0</v>
      </c>
    </row>
    <row r="5" spans="1:3" x14ac:dyDescent="0.2">
      <c r="A5">
        <v>0</v>
      </c>
      <c r="B5">
        <v>1.5</v>
      </c>
      <c r="C5">
        <v>0</v>
      </c>
    </row>
    <row r="6" spans="1:3" x14ac:dyDescent="0.2">
      <c r="A6">
        <v>0.15</v>
      </c>
      <c r="B6">
        <v>0</v>
      </c>
      <c r="C6">
        <v>0.1</v>
      </c>
    </row>
    <row r="7" spans="1:3" x14ac:dyDescent="0.2">
      <c r="A7">
        <v>0.15</v>
      </c>
      <c r="B7">
        <v>0.5</v>
      </c>
      <c r="C7">
        <v>0.12</v>
      </c>
    </row>
    <row r="8" spans="1:3" x14ac:dyDescent="0.2">
      <c r="A8">
        <v>0.15</v>
      </c>
      <c r="B8">
        <v>1</v>
      </c>
      <c r="C8">
        <v>0.06</v>
      </c>
    </row>
    <row r="9" spans="1:3" x14ac:dyDescent="0.2">
      <c r="A9">
        <v>0.15</v>
      </c>
      <c r="B9">
        <v>1.5</v>
      </c>
      <c r="C9">
        <v>0</v>
      </c>
    </row>
    <row r="10" spans="1:3" x14ac:dyDescent="0.2">
      <c r="A10">
        <v>0.3</v>
      </c>
      <c r="B10">
        <v>0</v>
      </c>
      <c r="C10">
        <v>0.02</v>
      </c>
    </row>
    <row r="11" spans="1:3" x14ac:dyDescent="0.2">
      <c r="A11">
        <v>0.3</v>
      </c>
      <c r="B11">
        <v>0.5</v>
      </c>
      <c r="C11">
        <v>0.1</v>
      </c>
    </row>
    <row r="12" spans="1:3" x14ac:dyDescent="0.2">
      <c r="A12">
        <v>0.3</v>
      </c>
      <c r="B12">
        <v>1</v>
      </c>
      <c r="C12">
        <v>0.12</v>
      </c>
    </row>
    <row r="13" spans="1:3" x14ac:dyDescent="0.2">
      <c r="A13">
        <v>0.3</v>
      </c>
      <c r="B13">
        <v>1.5</v>
      </c>
      <c r="C13">
        <v>0.06</v>
      </c>
    </row>
    <row r="14" spans="1:3" x14ac:dyDescent="0.2">
      <c r="A14">
        <v>0.45</v>
      </c>
      <c r="B14">
        <v>0</v>
      </c>
      <c r="C14">
        <v>0</v>
      </c>
    </row>
    <row r="15" spans="1:3" x14ac:dyDescent="0.2">
      <c r="A15">
        <v>0.45</v>
      </c>
      <c r="B15">
        <v>0.5</v>
      </c>
      <c r="C15">
        <v>0.02</v>
      </c>
    </row>
    <row r="16" spans="1:3" x14ac:dyDescent="0.2">
      <c r="A16">
        <v>0.45</v>
      </c>
      <c r="B16">
        <v>1</v>
      </c>
      <c r="C16">
        <v>0.1</v>
      </c>
    </row>
    <row r="17" spans="1:3" x14ac:dyDescent="0.2">
      <c r="A17">
        <v>0.45</v>
      </c>
      <c r="B17">
        <v>1.5</v>
      </c>
      <c r="C17">
        <v>0.12</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tabSelected="1" workbookViewId="0">
      <selection activeCell="H16" sqref="A16:H16"/>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2025-03-27T15:58:16Z</dcterms:modified>
</cp:coreProperties>
</file>